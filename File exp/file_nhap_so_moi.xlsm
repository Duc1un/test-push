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9.xml" ContentType="application/vnd.openxmlformats-officedocument.spreadsheetml.comments+xml"/>
  <Override PartName="/xl/drawings/drawing20.xml" ContentType="application/vnd.openxmlformats-officedocument.drawing+xml"/>
  <Override PartName="/xl/comments10.xml" ContentType="application/vnd.openxmlformats-officedocument.spreadsheetml.comments+xml"/>
  <Override PartName="/xl/drawings/drawing21.xml" ContentType="application/vnd.openxmlformats-officedocument.drawing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2 File exp\"/>
    </mc:Choice>
  </mc:AlternateContent>
  <bookViews>
    <workbookView xWindow="0" yWindow="0" windowWidth="12525" windowHeight="11925" tabRatio="281" firstSheet="1" activeTab="1"/>
  </bookViews>
  <sheets>
    <sheet name="Sheet1" sheetId="1" r:id="rId1"/>
    <sheet name="HOME" sheetId="37" r:id="rId2"/>
    <sheet name="Sheet5" sheetId="6" r:id="rId3"/>
    <sheet name="1pha" sheetId="34" r:id="rId4"/>
    <sheet name="Unicore" sheetId="31" r:id="rId5"/>
    <sheet name="Caoha" sheetId="30" r:id="rId6"/>
    <sheet name="Sheet2" sheetId="2" r:id="rId7"/>
    <sheet name="BIA" sheetId="15" r:id="rId8"/>
    <sheet name="DCHT" sheetId="20" r:id="rId9"/>
    <sheet name="Sua R" sheetId="26" r:id="rId10"/>
    <sheet name="TON" sheetId="18" r:id="rId11"/>
    <sheet name="TY" sheetId="16" r:id="rId12"/>
    <sheet name="VatTu" sheetId="9" r:id="rId13"/>
    <sheet name="MaVatTu" sheetId="36" r:id="rId14"/>
    <sheet name="PDH" sheetId="23" r:id="rId15"/>
    <sheet name="DMBV" sheetId="33" r:id="rId16"/>
    <sheet name="PhieuKT" sheetId="32" r:id="rId17"/>
    <sheet name="HDKT" sheetId="27" r:id="rId18"/>
    <sheet name="Phieutrienkhai" sheetId="24" r:id="rId19"/>
    <sheet name="Tra_cuu" sheetId="29" r:id="rId20"/>
    <sheet name="Ma" sheetId="28" r:id="rId21"/>
    <sheet name="Tinh vat tu" sheetId="10" r:id="rId22"/>
    <sheet name="Tên vật tư" sheetId="25" r:id="rId23"/>
    <sheet name="Sheet3" sheetId="3" r:id="rId24"/>
    <sheet name="Sheet6" sheetId="7" r:id="rId25"/>
    <sheet name="Sheet4" sheetId="5" r:id="rId26"/>
    <sheet name="Lo vanh vs nap" sheetId="4" r:id="rId27"/>
    <sheet name="Lưu ý" sheetId="8" r:id="rId28"/>
  </sheets>
  <externalReferences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2" hidden="1">Sheet5!$G$8:$G$9</definedName>
    <definedName name="_xlnm._FilterDatabase" localSheetId="22" hidden="1">'Tên vật tư'!$B$1:$E$1170</definedName>
    <definedName name="_xlnm._FilterDatabase" localSheetId="21" hidden="1">'Tinh vat tu'!$N$3:$O$19</definedName>
    <definedName name="_xlnm.Print_Area" localSheetId="7">BIA!$A$1:$P$33</definedName>
    <definedName name="_xlnm.Print_Area" localSheetId="8">DCHT!$A$1:$S$40</definedName>
    <definedName name="_xlnm.Print_Area" localSheetId="15">DMBV!$A$1:$D$43</definedName>
    <definedName name="_xlnm.Print_Area" localSheetId="17">HDKT!$A$1:$H$56</definedName>
    <definedName name="_xlnm.Print_Area" localSheetId="14">PDH!$A$1:$M$31</definedName>
    <definedName name="_xlnm.Print_Area" localSheetId="16">PhieuKT!$A$1:$F$57</definedName>
    <definedName name="_xlnm.Print_Area" localSheetId="18">Phieutrienkhai!$A$1:$M$31</definedName>
    <definedName name="_xlnm.Print_Area" localSheetId="0">Sheet1!$A$1:$AJ$39</definedName>
    <definedName name="_xlnm.Print_Area" localSheetId="10">TON!$A$1:$AJ$34</definedName>
    <definedName name="_xlnm.Print_Area" localSheetId="12">VatTu!$A$1:$J$115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6" l="1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B48" i="6"/>
  <c r="B47" i="6"/>
  <c r="B46" i="6"/>
  <c r="B45" i="6"/>
  <c r="B44" i="6"/>
  <c r="B43" i="6"/>
  <c r="B42" i="6"/>
  <c r="E41" i="6"/>
  <c r="B41" i="6"/>
  <c r="E40" i="6"/>
  <c r="B40" i="6"/>
  <c r="H39" i="6"/>
  <c r="E39" i="6"/>
  <c r="H38" i="6"/>
  <c r="E38" i="6"/>
  <c r="F35" i="6"/>
  <c r="E35" i="6"/>
  <c r="E33" i="6"/>
  <c r="P32" i="6"/>
  <c r="N32" i="6"/>
  <c r="I32" i="6"/>
  <c r="H32" i="6"/>
  <c r="E32" i="6"/>
  <c r="P31" i="6"/>
  <c r="N31" i="6"/>
  <c r="I31" i="6"/>
  <c r="H31" i="6"/>
  <c r="F31" i="6"/>
  <c r="E31" i="6"/>
  <c r="P30" i="6"/>
  <c r="N30" i="6"/>
  <c r="J30" i="6"/>
  <c r="I30" i="6"/>
  <c r="H30" i="6"/>
  <c r="E30" i="6"/>
  <c r="J29" i="6"/>
  <c r="I29" i="6"/>
  <c r="H29" i="6"/>
  <c r="F29" i="6"/>
  <c r="E29" i="6"/>
  <c r="P28" i="6"/>
  <c r="N28" i="6"/>
  <c r="I28" i="6"/>
  <c r="H28" i="6"/>
  <c r="F28" i="6"/>
  <c r="E28" i="6"/>
  <c r="C28" i="6"/>
  <c r="B28" i="6"/>
  <c r="N27" i="6"/>
  <c r="I27" i="6"/>
  <c r="H27" i="6"/>
  <c r="F27" i="6"/>
  <c r="E27" i="6"/>
  <c r="B27" i="6"/>
  <c r="I26" i="6"/>
  <c r="H26" i="6"/>
  <c r="F26" i="6"/>
  <c r="E26" i="6"/>
  <c r="N25" i="6"/>
  <c r="I25" i="6"/>
  <c r="H25" i="6"/>
  <c r="F25" i="6"/>
  <c r="E25" i="6"/>
  <c r="B25" i="6"/>
  <c r="P24" i="6"/>
  <c r="O24" i="6"/>
  <c r="N24" i="6"/>
  <c r="I24" i="6"/>
  <c r="H24" i="6"/>
  <c r="F24" i="6"/>
  <c r="E24" i="6"/>
  <c r="B24" i="6"/>
  <c r="I23" i="6"/>
  <c r="H23" i="6"/>
  <c r="E23" i="6"/>
  <c r="B23" i="6"/>
  <c r="J22" i="6"/>
  <c r="B22" i="6"/>
  <c r="B21" i="6"/>
  <c r="P20" i="6"/>
  <c r="I20" i="6"/>
  <c r="H20" i="6"/>
  <c r="E20" i="6"/>
  <c r="B20" i="6"/>
  <c r="N19" i="6"/>
  <c r="I19" i="6"/>
  <c r="H19" i="6"/>
  <c r="F19" i="6"/>
  <c r="E19" i="6"/>
  <c r="B19" i="6"/>
  <c r="N18" i="6"/>
  <c r="I18" i="6"/>
  <c r="H18" i="6"/>
  <c r="F18" i="6"/>
  <c r="E18" i="6"/>
  <c r="B18" i="6"/>
  <c r="P17" i="6"/>
  <c r="N17" i="6"/>
  <c r="K17" i="6"/>
  <c r="J17" i="6"/>
  <c r="I17" i="6"/>
  <c r="H17" i="6"/>
  <c r="F17" i="6"/>
  <c r="E17" i="6"/>
  <c r="B17" i="6"/>
  <c r="P16" i="6"/>
  <c r="N16" i="6"/>
  <c r="H16" i="6"/>
  <c r="F16" i="6"/>
  <c r="E16" i="6"/>
  <c r="B16" i="6"/>
  <c r="P15" i="6"/>
  <c r="N15" i="6"/>
  <c r="K15" i="6"/>
  <c r="J15" i="6"/>
  <c r="I15" i="6"/>
  <c r="H15" i="6"/>
  <c r="F15" i="6"/>
  <c r="E15" i="6"/>
  <c r="B15" i="6"/>
  <c r="I14" i="6"/>
  <c r="H14" i="6"/>
  <c r="E14" i="6"/>
  <c r="B13" i="6"/>
  <c r="B12" i="6"/>
  <c r="E11" i="6"/>
  <c r="B11" i="6"/>
  <c r="E10" i="6"/>
  <c r="C9" i="6"/>
  <c r="B9" i="6"/>
  <c r="B8" i="6"/>
  <c r="B7" i="6"/>
  <c r="B6" i="6"/>
  <c r="E5" i="6"/>
  <c r="C5" i="6"/>
  <c r="B5" i="6"/>
  <c r="C4" i="6"/>
  <c r="B4" i="6"/>
  <c r="E4" i="6" s="1"/>
  <c r="B3" i="6"/>
  <c r="E2" i="6"/>
  <c r="E1" i="6"/>
  <c r="B1" i="6"/>
  <c r="D68" i="31" l="1"/>
  <c r="E8" i="3" l="1"/>
  <c r="E7" i="3" l="1"/>
  <c r="F7" i="5" l="1"/>
  <c r="F6" i="5"/>
  <c r="L10" i="2" l="1"/>
  <c r="G13" i="3" l="1"/>
  <c r="G12" i="3"/>
  <c r="J10" i="2" l="1"/>
  <c r="Q19" i="24" s="1"/>
  <c r="T19" i="24" s="1"/>
  <c r="I10" i="2"/>
  <c r="J11" i="2"/>
  <c r="F19" i="5" l="1"/>
  <c r="G16" i="2" l="1"/>
  <c r="B1" i="26" l="1"/>
  <c r="D39" i="31" l="1"/>
  <c r="C39" i="31"/>
  <c r="M234" i="2" l="1"/>
  <c r="G18" i="3" l="1"/>
  <c r="G17" i="3"/>
  <c r="G16" i="3"/>
  <c r="G14" i="3"/>
  <c r="M29" i="32" l="1"/>
  <c r="C29" i="32"/>
  <c r="M28" i="32"/>
  <c r="C28" i="32"/>
  <c r="M27" i="32"/>
  <c r="C27" i="32" s="1"/>
  <c r="M26" i="32"/>
  <c r="C26" i="32" s="1"/>
  <c r="K269" i="2" l="1"/>
  <c r="L270" i="2" s="1"/>
  <c r="D115" i="2" l="1"/>
  <c r="C30" i="32" l="1"/>
  <c r="I249" i="2" l="1"/>
  <c r="G249" i="2"/>
  <c r="B32" i="33" l="1"/>
  <c r="E289" i="3" l="1"/>
  <c r="E292" i="3" s="1"/>
  <c r="E294" i="3" l="1"/>
  <c r="E293" i="3"/>
  <c r="E290" i="3"/>
  <c r="E291" i="3"/>
  <c r="F290" i="3" l="1"/>
  <c r="F11" i="31"/>
  <c r="G11" i="31"/>
  <c r="G10" i="31"/>
  <c r="F10" i="31"/>
  <c r="G3" i="31"/>
  <c r="F3" i="31"/>
  <c r="F291" i="3" l="1"/>
  <c r="E19" i="9"/>
  <c r="L19" i="9" s="1"/>
  <c r="G79" i="9" l="1"/>
  <c r="G31" i="27" s="1"/>
  <c r="D79" i="9"/>
  <c r="E31" i="27" s="1"/>
  <c r="S46" i="10"/>
  <c r="G38" i="9" l="1"/>
  <c r="L5" i="26"/>
  <c r="L6" i="26" s="1"/>
  <c r="L4" i="26"/>
  <c r="J4" i="26"/>
  <c r="J5" i="26" s="1"/>
  <c r="J6" i="26" s="1"/>
  <c r="H5" i="26"/>
  <c r="H6" i="26"/>
  <c r="H4" i="26"/>
  <c r="M4" i="26"/>
  <c r="M5" i="26"/>
  <c r="M6" i="26"/>
  <c r="M3" i="26"/>
  <c r="D19" i="9" l="1"/>
  <c r="K19" i="9" s="1"/>
  <c r="D20" i="9"/>
  <c r="K20" i="9" s="1"/>
  <c r="P20" i="32"/>
  <c r="J258" i="2"/>
  <c r="J257" i="2"/>
  <c r="B84" i="34" l="1"/>
  <c r="B53" i="34"/>
  <c r="A587" i="1"/>
  <c r="F112" i="34"/>
  <c r="A574" i="1"/>
  <c r="A579" i="1"/>
  <c r="A580" i="1"/>
  <c r="A581" i="1"/>
  <c r="A582" i="1"/>
  <c r="F121" i="34"/>
  <c r="F122" i="34"/>
  <c r="F123" i="34"/>
  <c r="F124" i="34"/>
  <c r="F111" i="34"/>
  <c r="B107" i="34" l="1"/>
  <c r="F107" i="34" s="1"/>
  <c r="A571" i="1" s="1"/>
  <c r="F103" i="34" l="1"/>
  <c r="A567" i="1" s="1"/>
  <c r="F98" i="34"/>
  <c r="A562" i="1" s="1"/>
  <c r="F99" i="34"/>
  <c r="A563" i="1" s="1"/>
  <c r="F100" i="34"/>
  <c r="A564" i="1" s="1"/>
  <c r="F102" i="34"/>
  <c r="A566" i="1" s="1"/>
  <c r="F97" i="34"/>
  <c r="A561" i="1" s="1"/>
  <c r="C3" i="34"/>
  <c r="B108" i="34" s="1"/>
  <c r="F108" i="34" s="1"/>
  <c r="A572" i="1" s="1"/>
  <c r="B101" i="34"/>
  <c r="F101" i="34" s="1"/>
  <c r="A565" i="1" s="1"/>
  <c r="B55" i="34" l="1"/>
  <c r="B104" i="34"/>
  <c r="F104" i="34" s="1"/>
  <c r="A568" i="1" s="1"/>
  <c r="B105" i="34"/>
  <c r="F105" i="34" s="1"/>
  <c r="A569" i="1" s="1"/>
  <c r="B106" i="34"/>
  <c r="F106" i="34" s="1"/>
  <c r="A570" i="1" s="1"/>
  <c r="F39" i="34"/>
  <c r="A560" i="1" s="1"/>
  <c r="F82" i="34"/>
  <c r="A559" i="1" s="1"/>
  <c r="F81" i="34"/>
  <c r="A558" i="1" s="1"/>
  <c r="B95" i="34" l="1"/>
  <c r="F95" i="34" s="1"/>
  <c r="A557" i="1" s="1"/>
  <c r="F92" i="34"/>
  <c r="A554" i="1" s="1"/>
  <c r="F80" i="34"/>
  <c r="A545" i="1" s="1"/>
  <c r="F55" i="34"/>
  <c r="A525" i="1" s="1"/>
  <c r="F54" i="34"/>
  <c r="A524" i="1" s="1"/>
  <c r="F73" i="34"/>
  <c r="A540" i="1" s="1"/>
  <c r="F64" i="34"/>
  <c r="A532" i="1" s="1"/>
  <c r="F53" i="34"/>
  <c r="A523" i="1" s="1"/>
  <c r="F50" i="34"/>
  <c r="A521" i="1" s="1"/>
  <c r="F47" i="34"/>
  <c r="A519" i="1" s="1"/>
  <c r="F41" i="34"/>
  <c r="A515" i="1" s="1"/>
  <c r="F37" i="34"/>
  <c r="A513" i="1" s="1"/>
  <c r="F34" i="34"/>
  <c r="A511" i="1" s="1"/>
  <c r="F28" i="34"/>
  <c r="A506" i="1" s="1"/>
  <c r="F22" i="34"/>
  <c r="A501" i="1" s="1"/>
  <c r="F16" i="34"/>
  <c r="A496" i="1" s="1"/>
  <c r="F85" i="34"/>
  <c r="A547" i="1" s="1"/>
  <c r="F86" i="34"/>
  <c r="A548" i="1" s="1"/>
  <c r="F87" i="34"/>
  <c r="A549" i="1" s="1"/>
  <c r="F89" i="34"/>
  <c r="A551" i="1" s="1"/>
  <c r="F90" i="34"/>
  <c r="A552" i="1" s="1"/>
  <c r="F91" i="34"/>
  <c r="A553" i="1" s="1"/>
  <c r="F93" i="34"/>
  <c r="A555" i="1" s="1"/>
  <c r="F94" i="34"/>
  <c r="A556" i="1" s="1"/>
  <c r="F79" i="34"/>
  <c r="A544" i="1" s="1"/>
  <c r="F77" i="34"/>
  <c r="A543" i="1" s="1"/>
  <c r="F76" i="34"/>
  <c r="A542" i="1" s="1"/>
  <c r="F74" i="34"/>
  <c r="A541" i="1" s="1"/>
  <c r="F65" i="34"/>
  <c r="A533" i="1" s="1"/>
  <c r="F66" i="34"/>
  <c r="A534" i="1" s="1"/>
  <c r="F67" i="34"/>
  <c r="A535" i="1" s="1"/>
  <c r="F68" i="34"/>
  <c r="A536" i="1" s="1"/>
  <c r="F69" i="34"/>
  <c r="A537" i="1" s="1"/>
  <c r="F70" i="34"/>
  <c r="A538" i="1" s="1"/>
  <c r="F71" i="34"/>
  <c r="A539" i="1" s="1"/>
  <c r="F56" i="34"/>
  <c r="A526" i="1" s="1"/>
  <c r="F57" i="34"/>
  <c r="A527" i="1" s="1"/>
  <c r="F58" i="34"/>
  <c r="A528" i="1" s="1"/>
  <c r="F59" i="34"/>
  <c r="A529" i="1" s="1"/>
  <c r="F61" i="34"/>
  <c r="A531" i="1" s="1"/>
  <c r="F51" i="34"/>
  <c r="A522" i="1" s="1"/>
  <c r="F48" i="34"/>
  <c r="A520" i="1" s="1"/>
  <c r="F45" i="34"/>
  <c r="A518" i="1" s="1"/>
  <c r="F42" i="34"/>
  <c r="A516" i="1" s="1"/>
  <c r="F38" i="34"/>
  <c r="A514" i="1" s="1"/>
  <c r="F35" i="34"/>
  <c r="A512" i="1" s="1"/>
  <c r="F29" i="34"/>
  <c r="A507" i="1" s="1"/>
  <c r="F30" i="34"/>
  <c r="A508" i="1" s="1"/>
  <c r="F31" i="34"/>
  <c r="A509" i="1" s="1"/>
  <c r="F32" i="34"/>
  <c r="A510" i="1" s="1"/>
  <c r="F23" i="34"/>
  <c r="A502" i="1" s="1"/>
  <c r="F24" i="34"/>
  <c r="A503" i="1" s="1"/>
  <c r="F25" i="34"/>
  <c r="A504" i="1" s="1"/>
  <c r="F26" i="34"/>
  <c r="A505" i="1" s="1"/>
  <c r="F17" i="34"/>
  <c r="A497" i="1" s="1"/>
  <c r="F18" i="34"/>
  <c r="A498" i="1" s="1"/>
  <c r="F19" i="34"/>
  <c r="A499" i="1" s="1"/>
  <c r="F20" i="34"/>
  <c r="A500" i="1" s="1"/>
  <c r="F8" i="34"/>
  <c r="A489" i="1" s="1"/>
  <c r="F9" i="34"/>
  <c r="A490" i="1" s="1"/>
  <c r="F10" i="34"/>
  <c r="A491" i="1" s="1"/>
  <c r="F11" i="34"/>
  <c r="A492" i="1" s="1"/>
  <c r="F12" i="34"/>
  <c r="A493" i="1" s="1"/>
  <c r="F13" i="34"/>
  <c r="A494" i="1" s="1"/>
  <c r="F7" i="34"/>
  <c r="A488" i="1" s="1"/>
  <c r="F4" i="34"/>
  <c r="A486" i="1" s="1"/>
  <c r="F5" i="34"/>
  <c r="A487" i="1" s="1"/>
  <c r="F2" i="34"/>
  <c r="A485" i="1" s="1"/>
  <c r="B60" i="34" l="1"/>
  <c r="F60" i="34" s="1"/>
  <c r="A530" i="1" s="1"/>
  <c r="B88" i="34" l="1"/>
  <c r="F88" i="34" s="1"/>
  <c r="A550" i="1" s="1"/>
  <c r="F84" i="34"/>
  <c r="A546" i="1" s="1"/>
  <c r="F44" i="34"/>
  <c r="A517" i="1" s="1"/>
  <c r="A104" i="1" l="1"/>
  <c r="L35" i="31" l="1"/>
  <c r="B42" i="31" l="1"/>
  <c r="P21" i="32" l="1"/>
  <c r="P22" i="32"/>
  <c r="M20" i="32"/>
  <c r="N20" i="32" l="1"/>
  <c r="C21" i="32" s="1"/>
  <c r="C265" i="3" l="1"/>
  <c r="F265" i="3" s="1"/>
  <c r="K80" i="9" s="1"/>
  <c r="J266" i="3" l="1"/>
  <c r="F266" i="3"/>
  <c r="M203" i="2"/>
  <c r="N211" i="2" s="1"/>
  <c r="L203" i="2"/>
  <c r="O207" i="2" s="1"/>
  <c r="M192" i="2"/>
  <c r="N200" i="2" s="1"/>
  <c r="L192" i="2"/>
  <c r="K212" i="2"/>
  <c r="K211" i="2"/>
  <c r="K210" i="2"/>
  <c r="K209" i="2"/>
  <c r="K208" i="2"/>
  <c r="K207" i="2"/>
  <c r="K206" i="2"/>
  <c r="K205" i="2"/>
  <c r="K201" i="2"/>
  <c r="K200" i="2"/>
  <c r="K199" i="2"/>
  <c r="K198" i="2"/>
  <c r="K197" i="2"/>
  <c r="K196" i="2"/>
  <c r="K195" i="2"/>
  <c r="K194" i="2"/>
  <c r="O198" i="2" l="1"/>
  <c r="L202" i="2"/>
  <c r="M202" i="2" s="1"/>
  <c r="N202" i="2" s="1"/>
  <c r="O202" i="2" s="1"/>
  <c r="M207" i="2"/>
  <c r="L213" i="2"/>
  <c r="M213" i="2" s="1"/>
  <c r="N213" i="2" s="1"/>
  <c r="O213" i="2" s="1"/>
  <c r="O210" i="2"/>
  <c r="M208" i="2"/>
  <c r="O209" i="2"/>
  <c r="M205" i="2"/>
  <c r="M211" i="2"/>
  <c r="O212" i="2"/>
  <c r="L194" i="2"/>
  <c r="O201" i="2"/>
  <c r="M194" i="2"/>
  <c r="M197" i="2"/>
  <c r="M200" i="2"/>
  <c r="M196" i="2"/>
  <c r="O196" i="2"/>
  <c r="O199" i="2"/>
  <c r="N195" i="2"/>
  <c r="N206" i="2"/>
  <c r="O194" i="2"/>
  <c r="L197" i="2"/>
  <c r="M198" i="2"/>
  <c r="N199" i="2"/>
  <c r="O200" i="2"/>
  <c r="O205" i="2"/>
  <c r="L208" i="2"/>
  <c r="M209" i="2"/>
  <c r="N210" i="2"/>
  <c r="O211" i="2"/>
  <c r="L196" i="2"/>
  <c r="N198" i="2"/>
  <c r="L195" i="2"/>
  <c r="L201" i="2"/>
  <c r="N208" i="2"/>
  <c r="L212" i="2"/>
  <c r="M195" i="2"/>
  <c r="N196" i="2"/>
  <c r="O197" i="2"/>
  <c r="L200" i="2"/>
  <c r="M201" i="2"/>
  <c r="L205" i="2"/>
  <c r="M206" i="2"/>
  <c r="N207" i="2"/>
  <c r="O208" i="2"/>
  <c r="L211" i="2"/>
  <c r="M212" i="2"/>
  <c r="N209" i="2"/>
  <c r="N201" i="2"/>
  <c r="L210" i="2"/>
  <c r="N212" i="2"/>
  <c r="L207" i="2"/>
  <c r="N197" i="2"/>
  <c r="L206" i="2"/>
  <c r="L199" i="2"/>
  <c r="N194" i="2"/>
  <c r="O195" i="2"/>
  <c r="L198" i="2"/>
  <c r="M199" i="2"/>
  <c r="N205" i="2"/>
  <c r="O206" i="2"/>
  <c r="L209" i="2"/>
  <c r="M210" i="2"/>
  <c r="B5" i="31" l="1"/>
  <c r="C57" i="31" l="1"/>
  <c r="C58" i="31" s="1"/>
  <c r="C67" i="31" s="1"/>
  <c r="B77" i="31"/>
  <c r="B89" i="31" s="1"/>
  <c r="B95" i="31" s="1"/>
  <c r="C63" i="31"/>
  <c r="B11" i="31"/>
  <c r="B4" i="31"/>
  <c r="B3" i="31"/>
  <c r="B2" i="31"/>
  <c r="C32" i="31" l="1"/>
  <c r="C70" i="31"/>
  <c r="K70" i="31" s="1"/>
  <c r="A484" i="1" s="1"/>
  <c r="B69" i="31"/>
  <c r="J69" i="31" s="1"/>
  <c r="A482" i="1" s="1"/>
  <c r="B80" i="31"/>
  <c r="B91" i="31" s="1"/>
  <c r="B92" i="31"/>
  <c r="P41" i="10"/>
  <c r="P143" i="2"/>
  <c r="B44" i="31" l="1"/>
  <c r="L68" i="31"/>
  <c r="A481" i="1" s="1"/>
  <c r="B33" i="2"/>
  <c r="F2" i="31" l="1"/>
  <c r="D81" i="31"/>
  <c r="B114" i="31"/>
  <c r="B78" i="31" l="1"/>
  <c r="B88" i="31" s="1"/>
  <c r="D67" i="31"/>
  <c r="B8" i="31"/>
  <c r="D63" i="31" s="1"/>
  <c r="G248" i="2"/>
  <c r="B59" i="31" l="1"/>
  <c r="B117" i="34"/>
  <c r="M22" i="32"/>
  <c r="N22" i="32" s="1"/>
  <c r="M21" i="32"/>
  <c r="F117" i="34" l="1"/>
  <c r="A575" i="1" s="1"/>
  <c r="B129" i="34"/>
  <c r="B110" i="34"/>
  <c r="F110" i="34" s="1"/>
  <c r="A573" i="1" s="1"/>
  <c r="C20" i="32"/>
  <c r="N21" i="32"/>
  <c r="C40" i="2"/>
  <c r="C41" i="2"/>
  <c r="C42" i="2"/>
  <c r="C43" i="2"/>
  <c r="C44" i="2"/>
  <c r="C45" i="2"/>
  <c r="C46" i="2"/>
  <c r="F129" i="34" l="1"/>
  <c r="A584" i="1" s="1"/>
  <c r="B130" i="34"/>
  <c r="F130" i="34" s="1"/>
  <c r="A585" i="1" s="1"/>
  <c r="M18" i="2"/>
  <c r="K85" i="31" l="1"/>
  <c r="A474" i="1" s="1"/>
  <c r="L85" i="31"/>
  <c r="A475" i="1" s="1"/>
  <c r="J85" i="31"/>
  <c r="A473" i="1" s="1"/>
  <c r="I11" i="2"/>
  <c r="K256" i="2" l="1"/>
  <c r="I248" i="2" s="1"/>
  <c r="C255" i="2"/>
  <c r="A255" i="2"/>
  <c r="B86" i="2" l="1"/>
  <c r="C68" i="31" l="1"/>
  <c r="K68" i="31" s="1"/>
  <c r="A480" i="1" s="1"/>
  <c r="D36" i="31"/>
  <c r="C36" i="31"/>
  <c r="D32" i="31"/>
  <c r="B43" i="31"/>
  <c r="B45" i="31" s="1"/>
  <c r="B70" i="31" s="1"/>
  <c r="B46" i="31" l="1"/>
  <c r="J70" i="31"/>
  <c r="A483" i="1" s="1"/>
  <c r="E61" i="31"/>
  <c r="E60" i="31"/>
  <c r="C60" i="31" s="1"/>
  <c r="E59" i="31"/>
  <c r="C59" i="31" s="1"/>
  <c r="C24" i="32"/>
  <c r="AE74" i="2" l="1"/>
  <c r="AF74" i="2"/>
  <c r="AE75" i="2"/>
  <c r="AF75" i="2"/>
  <c r="AE76" i="2"/>
  <c r="AF76" i="2"/>
  <c r="AE77" i="2"/>
  <c r="AF77" i="2"/>
  <c r="AE78" i="2"/>
  <c r="AF78" i="2"/>
  <c r="AE79" i="2"/>
  <c r="AF79" i="2"/>
  <c r="AE80" i="2"/>
  <c r="AF80" i="2"/>
  <c r="AE81" i="2"/>
  <c r="AF81" i="2"/>
  <c r="AE82" i="2"/>
  <c r="AF82" i="2"/>
  <c r="C22" i="32" l="1"/>
  <c r="B1" i="31" l="1"/>
  <c r="B63" i="31" l="1"/>
  <c r="B120" i="34"/>
  <c r="B14" i="34" s="1"/>
  <c r="B79" i="31"/>
  <c r="B101" i="31" s="1"/>
  <c r="B60" i="31"/>
  <c r="B49" i="31"/>
  <c r="B50" i="31" s="1"/>
  <c r="D37" i="31" s="1"/>
  <c r="B47" i="31"/>
  <c r="B48" i="31" s="1"/>
  <c r="C37" i="31" s="1"/>
  <c r="C33" i="31"/>
  <c r="B9" i="31"/>
  <c r="B66" i="31"/>
  <c r="D82" i="31"/>
  <c r="B116" i="31"/>
  <c r="B68" i="31"/>
  <c r="J68" i="31" s="1"/>
  <c r="A479" i="1" s="1"/>
  <c r="B84" i="31"/>
  <c r="D35" i="31"/>
  <c r="C35" i="31"/>
  <c r="D34" i="31"/>
  <c r="T22" i="24"/>
  <c r="T23" i="24" s="1"/>
  <c r="B118" i="34" l="1"/>
  <c r="F14" i="34"/>
  <c r="A495" i="1" s="1"/>
  <c r="F120" i="34"/>
  <c r="A578" i="1" s="1"/>
  <c r="B5" i="33"/>
  <c r="B4" i="33"/>
  <c r="F118" i="34" l="1"/>
  <c r="A576" i="1" s="1"/>
  <c r="B119" i="34"/>
  <c r="F119" i="34" s="1"/>
  <c r="A577" i="1" s="1"/>
  <c r="F13" i="31"/>
  <c r="C31" i="32" l="1"/>
  <c r="C38" i="32"/>
  <c r="C37" i="32"/>
  <c r="C19" i="32"/>
  <c r="C17" i="32"/>
  <c r="C15" i="32"/>
  <c r="C14" i="32"/>
  <c r="C13" i="32"/>
  <c r="C45" i="32"/>
  <c r="L82" i="31" l="1"/>
  <c r="A471" i="1" s="1"/>
  <c r="B2" i="30" l="1"/>
  <c r="B36" i="30" s="1"/>
  <c r="G30" i="27" l="1"/>
  <c r="C11" i="30" l="1"/>
  <c r="C13" i="30" l="1"/>
  <c r="C12" i="30"/>
  <c r="B3" i="30" l="1"/>
  <c r="B10" i="30" s="1"/>
  <c r="M237" i="2"/>
  <c r="O237" i="2" s="1"/>
  <c r="B5" i="30" s="1"/>
  <c r="J83" i="31" l="1"/>
  <c r="A421" i="1" s="1"/>
  <c r="K102" i="31"/>
  <c r="A470" i="1" s="1"/>
  <c r="J102" i="31"/>
  <c r="A435" i="1" s="1"/>
  <c r="J98" i="31"/>
  <c r="A431" i="1" s="1"/>
  <c r="K94" i="31"/>
  <c r="A469" i="1" s="1"/>
  <c r="J90" i="31"/>
  <c r="A425" i="1" s="1"/>
  <c r="J91" i="31"/>
  <c r="A426" i="1" s="1"/>
  <c r="J93" i="31"/>
  <c r="A428" i="1" s="1"/>
  <c r="J94" i="31"/>
  <c r="A429" i="1" s="1"/>
  <c r="K81" i="31"/>
  <c r="A463" i="1" s="1"/>
  <c r="L81" i="31"/>
  <c r="A466" i="1" s="1"/>
  <c r="K82" i="31"/>
  <c r="A464" i="1" s="1"/>
  <c r="K83" i="31"/>
  <c r="A465" i="1" s="1"/>
  <c r="J81" i="31"/>
  <c r="A419" i="1" s="1"/>
  <c r="J82" i="31"/>
  <c r="A420" i="1" s="1"/>
  <c r="J76" i="31"/>
  <c r="A414" i="1" s="1"/>
  <c r="L57" i="31"/>
  <c r="A436" i="1" s="1"/>
  <c r="L58" i="31"/>
  <c r="A437" i="1" s="1"/>
  <c r="L59" i="31"/>
  <c r="A438" i="1" s="1"/>
  <c r="L60" i="31"/>
  <c r="A439" i="1" s="1"/>
  <c r="L61" i="31"/>
  <c r="A440" i="1" s="1"/>
  <c r="L62" i="31"/>
  <c r="A441" i="1" s="1"/>
  <c r="K63" i="31"/>
  <c r="A453" i="1" s="1"/>
  <c r="L66" i="31"/>
  <c r="A445" i="1" s="1"/>
  <c r="D2" i="31"/>
  <c r="A398" i="1" s="1"/>
  <c r="D3" i="31"/>
  <c r="A399" i="1" s="1"/>
  <c r="D4" i="31"/>
  <c r="A400" i="1" s="1"/>
  <c r="D5" i="31"/>
  <c r="A401" i="1" s="1"/>
  <c r="D6" i="31"/>
  <c r="A402" i="1" s="1"/>
  <c r="D1" i="31"/>
  <c r="A397" i="1" s="1"/>
  <c r="J60" i="31"/>
  <c r="A406" i="1" s="1"/>
  <c r="J63" i="31"/>
  <c r="A409" i="1" s="1"/>
  <c r="K57" i="31" l="1"/>
  <c r="A447" i="1" s="1"/>
  <c r="B65" i="31"/>
  <c r="B100" i="31"/>
  <c r="J92" i="31"/>
  <c r="A427" i="1" s="1"/>
  <c r="J77" i="31" l="1"/>
  <c r="A415" i="1" s="1"/>
  <c r="D83" i="31"/>
  <c r="E83" i="31" s="1"/>
  <c r="M83" i="31" s="1"/>
  <c r="A468" i="1" s="1"/>
  <c r="J100" i="31"/>
  <c r="A433" i="1" s="1"/>
  <c r="J80" i="31"/>
  <c r="A418" i="1" s="1"/>
  <c r="J79" i="31"/>
  <c r="A417" i="1" s="1"/>
  <c r="J65" i="31"/>
  <c r="A411" i="1" s="1"/>
  <c r="F23" i="31"/>
  <c r="E23" i="31"/>
  <c r="F22" i="31"/>
  <c r="E22" i="31"/>
  <c r="I21" i="31"/>
  <c r="H21" i="31"/>
  <c r="F21" i="31"/>
  <c r="E21" i="31"/>
  <c r="I20" i="31"/>
  <c r="H20" i="31"/>
  <c r="F20" i="31"/>
  <c r="E20" i="31"/>
  <c r="J18" i="31"/>
  <c r="I18" i="31"/>
  <c r="H18" i="31"/>
  <c r="G18" i="31"/>
  <c r="F18" i="31"/>
  <c r="E18" i="31"/>
  <c r="J17" i="31"/>
  <c r="I17" i="31"/>
  <c r="H17" i="31"/>
  <c r="G17" i="31"/>
  <c r="F17" i="31"/>
  <c r="E17" i="31"/>
  <c r="K16" i="31"/>
  <c r="J16" i="31"/>
  <c r="I16" i="31"/>
  <c r="H16" i="31"/>
  <c r="G16" i="31"/>
  <c r="F16" i="31"/>
  <c r="E16" i="31"/>
  <c r="K15" i="31"/>
  <c r="J15" i="31"/>
  <c r="I15" i="31"/>
  <c r="H15" i="31"/>
  <c r="G15" i="31"/>
  <c r="F15" i="31"/>
  <c r="E15" i="31"/>
  <c r="J14" i="31"/>
  <c r="I14" i="31"/>
  <c r="H14" i="31"/>
  <c r="G14" i="31"/>
  <c r="F14" i="31"/>
  <c r="E14" i="31"/>
  <c r="J13" i="31"/>
  <c r="I13" i="31"/>
  <c r="H13" i="31"/>
  <c r="G13" i="31"/>
  <c r="E13" i="31"/>
  <c r="J12" i="31"/>
  <c r="I12" i="31"/>
  <c r="H12" i="31"/>
  <c r="G12" i="31"/>
  <c r="F12" i="31"/>
  <c r="E12" i="31"/>
  <c r="J11" i="31"/>
  <c r="I11" i="31"/>
  <c r="H11" i="31"/>
  <c r="B62" i="31"/>
  <c r="E11" i="31"/>
  <c r="J10" i="31"/>
  <c r="I10" i="31"/>
  <c r="H10" i="31"/>
  <c r="E10" i="31"/>
  <c r="J9" i="31"/>
  <c r="I9" i="31"/>
  <c r="H9" i="31"/>
  <c r="F9" i="31"/>
  <c r="C62" i="31" s="1"/>
  <c r="E9" i="31"/>
  <c r="J7" i="31"/>
  <c r="I7" i="31"/>
  <c r="H7" i="31"/>
  <c r="G7" i="31"/>
  <c r="F7" i="31"/>
  <c r="E7" i="31"/>
  <c r="J6" i="31"/>
  <c r="I6" i="31"/>
  <c r="H6" i="31"/>
  <c r="G6" i="31"/>
  <c r="F6" i="31"/>
  <c r="E6" i="31"/>
  <c r="J5" i="31"/>
  <c r="I5" i="31"/>
  <c r="H5" i="31"/>
  <c r="G5" i="31"/>
  <c r="F5" i="31"/>
  <c r="E5" i="31"/>
  <c r="L4" i="31"/>
  <c r="K4" i="31"/>
  <c r="J4" i="31"/>
  <c r="I4" i="31"/>
  <c r="H4" i="31"/>
  <c r="G4" i="31"/>
  <c r="F4" i="31"/>
  <c r="E4" i="31"/>
  <c r="J3" i="31"/>
  <c r="I3" i="31"/>
  <c r="H3" i="31"/>
  <c r="E3" i="31"/>
  <c r="L2" i="31"/>
  <c r="K2" i="31"/>
  <c r="J2" i="31"/>
  <c r="I2" i="31"/>
  <c r="H2" i="31"/>
  <c r="G2" i="31"/>
  <c r="D64" i="31" s="1"/>
  <c r="E2" i="31"/>
  <c r="J1" i="31"/>
  <c r="I1" i="31"/>
  <c r="H1" i="31"/>
  <c r="F1" i="31"/>
  <c r="E1" i="31"/>
  <c r="D65" i="31" l="1"/>
  <c r="L65" i="31" s="1"/>
  <c r="A444" i="1" s="1"/>
  <c r="B134" i="34"/>
  <c r="F134" i="34" s="1"/>
  <c r="A588" i="1" s="1"/>
  <c r="B12" i="31"/>
  <c r="L64" i="31"/>
  <c r="A443" i="1" s="1"/>
  <c r="K34" i="31"/>
  <c r="J66" i="31"/>
  <c r="A412" i="1" s="1"/>
  <c r="B117" i="31"/>
  <c r="E57" i="31"/>
  <c r="C65" i="31" s="1"/>
  <c r="B106" i="31"/>
  <c r="L83" i="31"/>
  <c r="A467" i="1" s="1"/>
  <c r="K58" i="31"/>
  <c r="A448" i="1" s="1"/>
  <c r="J95" i="31"/>
  <c r="A430" i="1" s="1"/>
  <c r="J89" i="31"/>
  <c r="A424" i="1" s="1"/>
  <c r="K59" i="31"/>
  <c r="A449" i="1" s="1"/>
  <c r="M59" i="31"/>
  <c r="A460" i="1" s="1"/>
  <c r="M61" i="31"/>
  <c r="A462" i="1" s="1"/>
  <c r="C61" i="31"/>
  <c r="K61" i="31" s="1"/>
  <c r="A451" i="1" s="1"/>
  <c r="K60" i="31"/>
  <c r="A450" i="1" s="1"/>
  <c r="M60" i="31"/>
  <c r="A461" i="1" s="1"/>
  <c r="C66" i="31"/>
  <c r="K66" i="31" s="1"/>
  <c r="A456" i="1" s="1"/>
  <c r="J62" i="31"/>
  <c r="A408" i="1" s="1"/>
  <c r="L67" i="31"/>
  <c r="A446" i="1" s="1"/>
  <c r="B67" i="31"/>
  <c r="K33" i="31" s="1"/>
  <c r="B64" i="31"/>
  <c r="C64" i="31"/>
  <c r="K64" i="31" s="1"/>
  <c r="A454" i="1" s="1"/>
  <c r="K62" i="31"/>
  <c r="A452" i="1" s="1"/>
  <c r="E13" i="27"/>
  <c r="B57" i="31" l="1"/>
  <c r="J57" i="31" s="1"/>
  <c r="A403" i="1" s="1"/>
  <c r="K32" i="31"/>
  <c r="K67" i="31"/>
  <c r="A457" i="1" s="1"/>
  <c r="K35" i="31"/>
  <c r="L63" i="31"/>
  <c r="A442" i="1" s="1"/>
  <c r="K36" i="31"/>
  <c r="J64" i="31"/>
  <c r="A410" i="1" s="1"/>
  <c r="J67" i="31"/>
  <c r="A413" i="1" s="1"/>
  <c r="E58" i="31"/>
  <c r="M57" i="31"/>
  <c r="A458" i="1" s="1"/>
  <c r="D8" i="31"/>
  <c r="A472" i="1" s="1"/>
  <c r="B37" i="2"/>
  <c r="K65" i="31"/>
  <c r="A455" i="1" s="1"/>
  <c r="K38" i="31"/>
  <c r="J88" i="31"/>
  <c r="A423" i="1" s="1"/>
  <c r="J78" i="31"/>
  <c r="A416" i="1" s="1"/>
  <c r="J59" i="31"/>
  <c r="A405" i="1" s="1"/>
  <c r="B61" i="31"/>
  <c r="J61" i="31" s="1"/>
  <c r="A407" i="1" s="1"/>
  <c r="J84" i="31"/>
  <c r="A422" i="1" s="1"/>
  <c r="B1" i="30"/>
  <c r="B131" i="34" l="1"/>
  <c r="F131" i="34" s="1"/>
  <c r="A586" i="1" s="1"/>
  <c r="B58" i="31"/>
  <c r="B128" i="34" s="1"/>
  <c r="F128" i="34" s="1"/>
  <c r="A583" i="1" s="1"/>
  <c r="J101" i="31"/>
  <c r="A434" i="1" s="1"/>
  <c r="M58" i="31"/>
  <c r="A459" i="1" s="1"/>
  <c r="A25" i="30"/>
  <c r="E32" i="30"/>
  <c r="H32" i="30" s="1"/>
  <c r="K18" i="30"/>
  <c r="I18" i="30"/>
  <c r="J18" i="30"/>
  <c r="H17" i="30"/>
  <c r="H18" i="30" s="1"/>
  <c r="G17" i="30"/>
  <c r="G18" i="30" s="1"/>
  <c r="F17" i="30"/>
  <c r="F18" i="30" s="1"/>
  <c r="E17" i="30"/>
  <c r="E18" i="30" s="1"/>
  <c r="D17" i="30"/>
  <c r="D18" i="30" s="1"/>
  <c r="C17" i="30"/>
  <c r="C18" i="30" s="1"/>
  <c r="B17" i="30"/>
  <c r="B18" i="30" s="1"/>
  <c r="J58" i="31" l="1"/>
  <c r="A404" i="1" s="1"/>
  <c r="D11" i="31"/>
  <c r="A476" i="1" s="1"/>
  <c r="D12" i="31"/>
  <c r="A477" i="1" s="1"/>
  <c r="C32" i="30"/>
  <c r="D3" i="30"/>
  <c r="B4" i="30" l="1"/>
  <c r="C4" i="30" s="1"/>
  <c r="E26" i="30" s="1"/>
  <c r="E28" i="30" l="1"/>
  <c r="E30" i="30" s="1"/>
  <c r="I26" i="30"/>
  <c r="J26" i="30" s="1"/>
  <c r="D4" i="30"/>
  <c r="B6" i="30" s="1"/>
  <c r="C6" i="30" l="1"/>
  <c r="I28" i="30"/>
  <c r="J28" i="30" s="1"/>
  <c r="G20" i="9"/>
  <c r="G19" i="9"/>
  <c r="G18" i="9"/>
  <c r="G17" i="9"/>
  <c r="E9" i="24"/>
  <c r="T24" i="24"/>
  <c r="U24" i="24" s="1"/>
  <c r="I30" i="30" l="1"/>
  <c r="J30" i="30" s="1"/>
  <c r="B219" i="3"/>
  <c r="B209" i="3"/>
  <c r="O181" i="3"/>
  <c r="N181" i="3"/>
  <c r="M181" i="3"/>
  <c r="O180" i="3"/>
  <c r="N180" i="3"/>
  <c r="M180" i="3"/>
  <c r="O179" i="3"/>
  <c r="O178" i="3"/>
  <c r="N178" i="3"/>
  <c r="M178" i="3"/>
  <c r="O177" i="3"/>
  <c r="O176" i="3"/>
  <c r="O175" i="3"/>
  <c r="O174" i="3"/>
  <c r="O173" i="3"/>
  <c r="O172" i="3"/>
  <c r="O171" i="3"/>
  <c r="O170" i="3"/>
  <c r="O169" i="3"/>
  <c r="O168" i="3"/>
  <c r="N168" i="3"/>
  <c r="M168" i="3"/>
  <c r="O167" i="3"/>
  <c r="O166" i="3"/>
  <c r="O165" i="3"/>
  <c r="O164" i="3"/>
  <c r="O163" i="3"/>
  <c r="O162" i="3"/>
  <c r="O161" i="3"/>
  <c r="O160" i="3"/>
  <c r="O159" i="3"/>
  <c r="O158" i="3"/>
  <c r="N158" i="3"/>
  <c r="M158" i="3"/>
  <c r="O157" i="3"/>
  <c r="O156" i="3"/>
  <c r="O155" i="3"/>
  <c r="O154" i="3"/>
  <c r="S153" i="3" a="1"/>
  <c r="AR153" i="3" s="1"/>
  <c r="O153" i="3"/>
  <c r="S150" i="3" a="1"/>
  <c r="AS151" i="3" s="1"/>
  <c r="S149" i="3" a="1"/>
  <c r="AR149" i="3" s="1"/>
  <c r="S148" i="3" a="1"/>
  <c r="AR148" i="3" s="1"/>
  <c r="M138" i="3"/>
  <c r="L138" i="3"/>
  <c r="K138" i="3"/>
  <c r="J138" i="3"/>
  <c r="I138" i="3"/>
  <c r="H138" i="3"/>
  <c r="G138" i="3"/>
  <c r="F138" i="3"/>
  <c r="E138" i="3"/>
  <c r="D138" i="3"/>
  <c r="C138" i="3"/>
  <c r="M128" i="3"/>
  <c r="L128" i="3"/>
  <c r="K128" i="3"/>
  <c r="J128" i="3"/>
  <c r="I128" i="3"/>
  <c r="H128" i="3"/>
  <c r="G128" i="3"/>
  <c r="F128" i="3"/>
  <c r="E128" i="3"/>
  <c r="D128" i="3"/>
  <c r="C128" i="3"/>
  <c r="G102" i="3"/>
  <c r="G98" i="3" s="1"/>
  <c r="G101" i="3"/>
  <c r="G99" i="3"/>
  <c r="L98" i="3"/>
  <c r="K98" i="3"/>
  <c r="J98" i="3"/>
  <c r="I98" i="3"/>
  <c r="H98" i="3"/>
  <c r="F98" i="3"/>
  <c r="G97" i="3"/>
  <c r="G96" i="3"/>
  <c r="G95" i="3"/>
  <c r="K91" i="3"/>
  <c r="K90" i="3"/>
  <c r="G89" i="3"/>
  <c r="G88" i="3"/>
  <c r="G87" i="3"/>
  <c r="G86" i="3"/>
  <c r="G85" i="3"/>
  <c r="B57" i="3"/>
  <c r="V153" i="3" l="1"/>
  <c r="AB153" i="3"/>
  <c r="AH153" i="3"/>
  <c r="V148" i="3"/>
  <c r="V149" i="3"/>
  <c r="V150" i="3"/>
  <c r="AC151" i="3"/>
  <c r="AB148" i="3"/>
  <c r="AB149" i="3"/>
  <c r="AB150" i="3"/>
  <c r="AI151" i="3"/>
  <c r="AH148" i="3"/>
  <c r="AH149" i="3"/>
  <c r="AH150" i="3"/>
  <c r="AO151" i="3"/>
  <c r="AN148" i="3"/>
  <c r="AN149" i="3"/>
  <c r="AN150" i="3"/>
  <c r="AU151" i="3"/>
  <c r="AT148" i="3"/>
  <c r="AT149" i="3"/>
  <c r="AT150" i="3"/>
  <c r="AN153" i="3"/>
  <c r="W151" i="3"/>
  <c r="S153" i="3"/>
  <c r="AT153" i="3"/>
  <c r="Y148" i="3"/>
  <c r="AE148" i="3"/>
  <c r="AK148" i="3"/>
  <c r="AQ148" i="3"/>
  <c r="Y149" i="3"/>
  <c r="AL151" i="3"/>
  <c r="U148" i="3"/>
  <c r="AA148" i="3"/>
  <c r="AG148" i="3"/>
  <c r="AM148" i="3"/>
  <c r="AS148" i="3"/>
  <c r="U149" i="3"/>
  <c r="AA149" i="3"/>
  <c r="AG149" i="3"/>
  <c r="AM149" i="3"/>
  <c r="AS149" i="3"/>
  <c r="U150" i="3"/>
  <c r="AA150" i="3"/>
  <c r="AG150" i="3"/>
  <c r="AM150" i="3"/>
  <c r="AS150" i="3"/>
  <c r="V151" i="3"/>
  <c r="AB151" i="3"/>
  <c r="AH151" i="3"/>
  <c r="AN151" i="3"/>
  <c r="AT151" i="3"/>
  <c r="U153" i="3"/>
  <c r="AA153" i="3"/>
  <c r="AG153" i="3"/>
  <c r="AM153" i="3"/>
  <c r="AS153" i="3"/>
  <c r="W148" i="3"/>
  <c r="AC148" i="3"/>
  <c r="AI148" i="3"/>
  <c r="AO148" i="3"/>
  <c r="AU148" i="3"/>
  <c r="W149" i="3"/>
  <c r="AC149" i="3"/>
  <c r="AI149" i="3"/>
  <c r="AO149" i="3"/>
  <c r="AU149" i="3"/>
  <c r="W150" i="3"/>
  <c r="AC150" i="3"/>
  <c r="AI150" i="3"/>
  <c r="AO150" i="3"/>
  <c r="AU150" i="3"/>
  <c r="X151" i="3"/>
  <c r="AD151" i="3"/>
  <c r="AJ151" i="3"/>
  <c r="AP151" i="3"/>
  <c r="W153" i="3"/>
  <c r="AC153" i="3"/>
  <c r="AI153" i="3"/>
  <c r="AO153" i="3"/>
  <c r="AU153" i="3"/>
  <c r="S148" i="3"/>
  <c r="X148" i="3"/>
  <c r="AD148" i="3"/>
  <c r="AJ148" i="3"/>
  <c r="AP148" i="3"/>
  <c r="S149" i="3"/>
  <c r="X149" i="3"/>
  <c r="AD149" i="3"/>
  <c r="AJ149" i="3"/>
  <c r="AP149" i="3"/>
  <c r="S150" i="3"/>
  <c r="X150" i="3"/>
  <c r="AD150" i="3"/>
  <c r="AJ150" i="3"/>
  <c r="AP150" i="3"/>
  <c r="S151" i="3"/>
  <c r="Y151" i="3"/>
  <c r="AE151" i="3"/>
  <c r="AK151" i="3"/>
  <c r="AQ151" i="3"/>
  <c r="X153" i="3"/>
  <c r="AD153" i="3"/>
  <c r="AJ153" i="3"/>
  <c r="AP153" i="3"/>
  <c r="AE149" i="3"/>
  <c r="AK149" i="3"/>
  <c r="AQ149" i="3"/>
  <c r="AK150" i="3"/>
  <c r="AF151" i="3"/>
  <c r="Y153" i="3"/>
  <c r="AE153" i="3"/>
  <c r="AK153" i="3"/>
  <c r="AQ153" i="3"/>
  <c r="Y150" i="3"/>
  <c r="AE150" i="3"/>
  <c r="AQ150" i="3"/>
  <c r="T151" i="3"/>
  <c r="Z151" i="3"/>
  <c r="AR151" i="3"/>
  <c r="T148" i="3"/>
  <c r="Z148" i="3"/>
  <c r="AF148" i="3"/>
  <c r="AL148" i="3"/>
  <c r="T149" i="3"/>
  <c r="Z149" i="3"/>
  <c r="AF149" i="3"/>
  <c r="AL149" i="3"/>
  <c r="T150" i="3"/>
  <c r="Z150" i="3"/>
  <c r="AF150" i="3"/>
  <c r="AL150" i="3"/>
  <c r="AR150" i="3"/>
  <c r="U151" i="3"/>
  <c r="AA151" i="3"/>
  <c r="AG151" i="3"/>
  <c r="AM151" i="3"/>
  <c r="T153" i="3"/>
  <c r="Z153" i="3"/>
  <c r="AF153" i="3"/>
  <c r="AL153" i="3"/>
  <c r="E11" i="23"/>
  <c r="E29" i="27" l="1"/>
  <c r="C35" i="32" s="1"/>
  <c r="E28" i="27"/>
  <c r="C34" i="32" s="1"/>
  <c r="G27" i="27"/>
  <c r="E27" i="27"/>
  <c r="G22" i="27"/>
  <c r="E22" i="27"/>
  <c r="G21" i="27"/>
  <c r="E21" i="27"/>
  <c r="H7" i="27"/>
  <c r="H4" i="27"/>
  <c r="N10" i="28" l="1"/>
  <c r="M10" i="28"/>
  <c r="L10" i="28"/>
  <c r="K10" i="28"/>
  <c r="J10" i="28"/>
  <c r="H10" i="28"/>
  <c r="F10" i="28"/>
  <c r="R10" i="24" l="1"/>
  <c r="Q10" i="24"/>
  <c r="P10" i="24"/>
  <c r="T18" i="24"/>
  <c r="U17" i="24"/>
  <c r="T17" i="24"/>
  <c r="T21" i="24"/>
  <c r="T25" i="24"/>
  <c r="Q20" i="24"/>
  <c r="P8" i="24" s="1"/>
  <c r="P5" i="24" l="1"/>
  <c r="C12" i="32"/>
  <c r="K24" i="32" s="1"/>
  <c r="W19" i="24"/>
  <c r="V20" i="24"/>
  <c r="W21" i="24"/>
  <c r="W20" i="24"/>
  <c r="U20" i="24" l="1"/>
  <c r="Q15" i="24" s="1"/>
  <c r="G6" i="27" s="1"/>
  <c r="C39" i="32" s="1"/>
  <c r="L24" i="32"/>
  <c r="M24" i="32" s="1"/>
  <c r="F20" i="32" l="1"/>
  <c r="F21" i="32"/>
  <c r="C23" i="32"/>
  <c r="Q14" i="24"/>
  <c r="D2" i="28" s="1"/>
  <c r="D3" i="28"/>
  <c r="C7" i="33"/>
  <c r="Q13" i="24" l="1"/>
  <c r="J151" i="2" l="1"/>
  <c r="K258" i="2" l="1"/>
  <c r="I247" i="2" s="1"/>
  <c r="J271" i="2" s="1"/>
  <c r="P7" i="24" l="1"/>
  <c r="D7" i="27"/>
  <c r="A10" i="28"/>
  <c r="E10" i="24"/>
  <c r="D9" i="27" s="1"/>
  <c r="C4" i="33" l="1"/>
  <c r="C11" i="32"/>
  <c r="E264" i="2"/>
  <c r="G252" i="2" s="1"/>
  <c r="J256" i="2" l="1"/>
  <c r="F260" i="2"/>
  <c r="E260" i="2"/>
  <c r="H258" i="2" l="1"/>
  <c r="E262" i="2"/>
  <c r="E268" i="2"/>
  <c r="E267" i="2" s="1"/>
  <c r="E261" i="2"/>
  <c r="E263" i="2" l="1"/>
  <c r="E7" i="24"/>
  <c r="D8" i="27" s="1"/>
  <c r="C5" i="33" s="1"/>
  <c r="R21" i="10" l="1"/>
  <c r="R20" i="10"/>
  <c r="R14" i="10"/>
  <c r="U21" i="10"/>
  <c r="S20" i="10"/>
  <c r="U20" i="10" s="1"/>
  <c r="K2" i="10"/>
  <c r="C66" i="9" l="1"/>
  <c r="B98" i="2"/>
  <c r="E8" i="24" l="1"/>
  <c r="E12" i="27" s="1"/>
  <c r="C6" i="33" s="1"/>
  <c r="E11" i="24"/>
  <c r="E12" i="24"/>
  <c r="D10" i="27" s="1"/>
  <c r="B88" i="9" l="1"/>
  <c r="C82" i="9" l="1"/>
  <c r="C89" i="9" s="1"/>
  <c r="F54" i="2" l="1"/>
  <c r="G71" i="9" l="1"/>
  <c r="G28" i="27" s="1"/>
  <c r="G70" i="9"/>
  <c r="G29" i="27" s="1"/>
  <c r="B4" i="26"/>
  <c r="C4" i="26"/>
  <c r="P248" i="2" l="1"/>
  <c r="P249" i="2"/>
  <c r="P250" i="2"/>
  <c r="P251" i="2"/>
  <c r="P252" i="2"/>
  <c r="P247" i="2"/>
  <c r="N237" i="2" l="1"/>
  <c r="I244" i="2" s="1"/>
  <c r="G24" i="9" l="1"/>
  <c r="R49" i="10"/>
  <c r="O49" i="10"/>
  <c r="A9" i="1" l="1"/>
  <c r="P26" i="30"/>
  <c r="C36" i="30" s="1"/>
  <c r="F231" i="2" s="1"/>
  <c r="D26" i="30"/>
  <c r="D28" i="30" s="1"/>
  <c r="D30" i="30" s="1"/>
  <c r="D32" i="30" s="1"/>
  <c r="M26" i="30"/>
  <c r="M28" i="30" s="1"/>
  <c r="G25" i="27"/>
  <c r="B92" i="2"/>
  <c r="A180" i="1" s="1"/>
  <c r="B91" i="2"/>
  <c r="A179" i="1" s="1"/>
  <c r="Q28" i="30" l="1"/>
  <c r="M30" i="30" s="1"/>
  <c r="I32" i="30" s="1"/>
  <c r="C33" i="30" s="1"/>
  <c r="O26" i="30"/>
  <c r="L30" i="30"/>
  <c r="C30" i="30"/>
  <c r="C28" i="30"/>
  <c r="P28" i="30"/>
  <c r="C26" i="30"/>
  <c r="B88" i="2"/>
  <c r="C31" i="30" l="1"/>
  <c r="C27" i="30"/>
  <c r="C29" i="30"/>
  <c r="C35" i="30" l="1"/>
  <c r="F230" i="2" s="1"/>
  <c r="G28" i="9"/>
  <c r="H266" i="3" l="1"/>
  <c r="E264" i="3" l="1"/>
  <c r="J82" i="9" s="1"/>
  <c r="E24" i="27" s="1"/>
  <c r="C18" i="32" l="1"/>
  <c r="B70" i="2"/>
  <c r="B69" i="2"/>
  <c r="G180" i="2" s="1"/>
  <c r="M236" i="2" l="1"/>
  <c r="AE73" i="2" l="1"/>
  <c r="AF73" i="2"/>
  <c r="AB82" i="2" l="1"/>
  <c r="E15" i="9" s="1"/>
  <c r="G92" i="2"/>
  <c r="H92" i="2"/>
  <c r="H91" i="2"/>
  <c r="G91" i="2"/>
  <c r="AB81" i="2"/>
  <c r="E14" i="9" s="1"/>
  <c r="K13" i="18" l="1"/>
  <c r="D50" i="7"/>
  <c r="A353" i="1"/>
  <c r="K14" i="18"/>
  <c r="A355" i="1"/>
  <c r="D51" i="7"/>
  <c r="J14" i="18"/>
  <c r="A352" i="1"/>
  <c r="D35" i="7"/>
  <c r="B13" i="7"/>
  <c r="A238" i="1"/>
  <c r="B12" i="7"/>
  <c r="G34" i="7" s="1"/>
  <c r="A246" i="1"/>
  <c r="J13" i="18"/>
  <c r="A351" i="1"/>
  <c r="D34" i="7"/>
  <c r="F92" i="2"/>
  <c r="F91" i="2"/>
  <c r="D98" i="9"/>
  <c r="D27" i="9"/>
  <c r="C87" i="9"/>
  <c r="C84" i="9"/>
  <c r="E26" i="9"/>
  <c r="D26" i="9"/>
  <c r="C26" i="9"/>
  <c r="W74" i="10"/>
  <c r="W84" i="10" s="1"/>
  <c r="W94" i="10" s="1"/>
  <c r="W104" i="10" s="1"/>
  <c r="W72" i="10"/>
  <c r="W82" i="10" s="1"/>
  <c r="W92" i="10" s="1"/>
  <c r="W102" i="10" s="1"/>
  <c r="W70" i="10"/>
  <c r="W80" i="10" s="1"/>
  <c r="W90" i="10" s="1"/>
  <c r="W100" i="10" s="1"/>
  <c r="W68" i="10"/>
  <c r="W78" i="10" s="1"/>
  <c r="W88" i="10" s="1"/>
  <c r="W98" i="10" s="1"/>
  <c r="G24" i="27" l="1"/>
  <c r="G85" i="9"/>
  <c r="G35" i="7"/>
  <c r="C14" i="18"/>
  <c r="AG14" i="18"/>
  <c r="W14" i="18"/>
  <c r="AE13" i="18"/>
  <c r="U13" i="18"/>
  <c r="AE14" i="18"/>
  <c r="U14" i="18"/>
  <c r="AG13" i="18"/>
  <c r="W13" i="18"/>
  <c r="E92" i="2"/>
  <c r="E91" i="2"/>
  <c r="G26" i="9"/>
  <c r="C27" i="9"/>
  <c r="E84" i="9"/>
  <c r="G83" i="9"/>
  <c r="G84" i="9" s="1"/>
  <c r="D84" i="9"/>
  <c r="D87" i="9"/>
  <c r="D89" i="9" s="1"/>
  <c r="E20" i="9" l="1"/>
  <c r="L20" i="9" s="1"/>
  <c r="C20" i="9"/>
  <c r="H4" i="36" s="1"/>
  <c r="O20" i="9" s="1"/>
  <c r="C19" i="9"/>
  <c r="H3" i="36" s="1"/>
  <c r="O19" i="9" s="1"/>
  <c r="E99" i="9"/>
  <c r="C99" i="9"/>
  <c r="E18" i="9"/>
  <c r="L18" i="9" s="1"/>
  <c r="D18" i="9"/>
  <c r="K18" i="9" s="1"/>
  <c r="E17" i="9"/>
  <c r="L17" i="9" s="1"/>
  <c r="D17" i="9"/>
  <c r="K17" i="9" s="1"/>
  <c r="C17" i="9" l="1"/>
  <c r="H1" i="36" s="1"/>
  <c r="O17" i="9" s="1"/>
  <c r="C18" i="9"/>
  <c r="H2" i="36" s="1"/>
  <c r="O18" i="9" s="1"/>
  <c r="P35" i="20" a="1"/>
  <c r="P35" i="20" s="1"/>
  <c r="D32" i="20" a="1"/>
  <c r="D32" i="20" s="1"/>
  <c r="D31" i="20" a="1"/>
  <c r="D31" i="20" s="1"/>
  <c r="D25" i="20" a="1"/>
  <c r="G25" i="20" s="1"/>
  <c r="D19" i="20" a="1"/>
  <c r="D19" i="20" s="1"/>
  <c r="D18" i="20" a="1"/>
  <c r="F18" i="20" s="1"/>
  <c r="D12" i="20" a="1"/>
  <c r="G12" i="20" s="1"/>
  <c r="I10" i="28" l="1"/>
  <c r="P69" i="10"/>
  <c r="X64" i="10"/>
  <c r="X60" i="10"/>
  <c r="I19" i="20"/>
  <c r="D25" i="20"/>
  <c r="O32" i="20"/>
  <c r="AI64" i="10" s="1"/>
  <c r="N32" i="20"/>
  <c r="AH64" i="10" s="1"/>
  <c r="H32" i="20"/>
  <c r="AB64" i="10" s="1"/>
  <c r="M32" i="20"/>
  <c r="AG64" i="10" s="1"/>
  <c r="G32" i="20"/>
  <c r="AA64" i="10" s="1"/>
  <c r="L32" i="20"/>
  <c r="AF64" i="10" s="1"/>
  <c r="F32" i="20"/>
  <c r="Z64" i="10" s="1"/>
  <c r="K32" i="20"/>
  <c r="AE64" i="10" s="1"/>
  <c r="E32" i="20"/>
  <c r="Y64" i="10" s="1"/>
  <c r="I32" i="20"/>
  <c r="AC64" i="10" s="1"/>
  <c r="J32" i="20"/>
  <c r="AD64" i="10" s="1"/>
  <c r="O31" i="20"/>
  <c r="I31" i="20"/>
  <c r="N31" i="20"/>
  <c r="H31" i="20"/>
  <c r="M31" i="20"/>
  <c r="G31" i="20"/>
  <c r="L31" i="20"/>
  <c r="F31" i="20"/>
  <c r="K31" i="20"/>
  <c r="E31" i="20"/>
  <c r="J31" i="20"/>
  <c r="L25" i="20"/>
  <c r="F25" i="20"/>
  <c r="K25" i="20"/>
  <c r="E25" i="20"/>
  <c r="J25" i="20"/>
  <c r="O25" i="20"/>
  <c r="I25" i="20"/>
  <c r="N25" i="20"/>
  <c r="H25" i="20"/>
  <c r="M25" i="20"/>
  <c r="O19" i="20"/>
  <c r="N19" i="20"/>
  <c r="H19" i="20"/>
  <c r="M19" i="20"/>
  <c r="G19" i="20"/>
  <c r="L19" i="20"/>
  <c r="F19" i="20"/>
  <c r="K19" i="20"/>
  <c r="E19" i="20"/>
  <c r="P70" i="10" s="1"/>
  <c r="J19" i="20"/>
  <c r="K18" i="20"/>
  <c r="E18" i="20"/>
  <c r="J18" i="20"/>
  <c r="D18" i="20"/>
  <c r="O18" i="20"/>
  <c r="I18" i="20"/>
  <c r="N18" i="20"/>
  <c r="H18" i="20"/>
  <c r="M18" i="20"/>
  <c r="G18" i="20"/>
  <c r="L18" i="20"/>
  <c r="L12" i="20"/>
  <c r="F12" i="20"/>
  <c r="K12" i="20"/>
  <c r="E12" i="20"/>
  <c r="J12" i="20"/>
  <c r="D12" i="20"/>
  <c r="O12" i="20"/>
  <c r="I12" i="20"/>
  <c r="N12" i="20"/>
  <c r="H12" i="20"/>
  <c r="M12" i="20"/>
  <c r="B11" i="26"/>
  <c r="C8" i="26"/>
  <c r="B8" i="26"/>
  <c r="B7" i="26"/>
  <c r="B6" i="26"/>
  <c r="B3" i="26"/>
  <c r="B5" i="26"/>
  <c r="F4" i="28" l="1"/>
  <c r="F5" i="28"/>
  <c r="B10" i="28" s="1"/>
  <c r="F6" i="28"/>
  <c r="C10" i="28" s="1"/>
  <c r="X91" i="10"/>
  <c r="X61" i="10"/>
  <c r="P68" i="10"/>
  <c r="P67" i="10"/>
  <c r="P66" i="10"/>
  <c r="AE60" i="10"/>
  <c r="Y60" i="10"/>
  <c r="Y70" i="10" s="1"/>
  <c r="Y80" i="10" s="1"/>
  <c r="Y90" i="10" s="1"/>
  <c r="Y100" i="10" s="1"/>
  <c r="AB60" i="10"/>
  <c r="AB101" i="10" s="1"/>
  <c r="AC60" i="10"/>
  <c r="AI60" i="10"/>
  <c r="S63" i="10"/>
  <c r="AH60" i="10"/>
  <c r="AH101" i="10" s="1"/>
  <c r="Z60" i="10"/>
  <c r="Z70" i="10" s="1"/>
  <c r="Z80" i="10" s="1"/>
  <c r="Z90" i="10" s="1"/>
  <c r="Z100" i="10" s="1"/>
  <c r="AF60" i="10"/>
  <c r="AA60" i="10"/>
  <c r="AD60" i="10"/>
  <c r="AG60" i="10"/>
  <c r="Y105" i="10"/>
  <c r="Y85" i="10"/>
  <c r="Y74" i="10"/>
  <c r="Y84" i="10" s="1"/>
  <c r="Y94" i="10" s="1"/>
  <c r="Y104" i="10" s="1"/>
  <c r="Y95" i="10"/>
  <c r="AB65" i="10"/>
  <c r="AB105" i="10"/>
  <c r="AB74" i="10"/>
  <c r="AB84" i="10" s="1"/>
  <c r="AB94" i="10" s="1"/>
  <c r="AB104" i="10" s="1"/>
  <c r="AB85" i="10"/>
  <c r="AB95" i="10"/>
  <c r="S60" i="10"/>
  <c r="Z105" i="10"/>
  <c r="Z74" i="10"/>
  <c r="Z84" i="10" s="1"/>
  <c r="Z94" i="10" s="1"/>
  <c r="Z104" i="10" s="1"/>
  <c r="Z95" i="10"/>
  <c r="AI95" i="10"/>
  <c r="AI75" i="10"/>
  <c r="AI105" i="10"/>
  <c r="AI85" i="10"/>
  <c r="AI65" i="10"/>
  <c r="AI74" i="10"/>
  <c r="AI84" i="10" s="1"/>
  <c r="AI94" i="10" s="1"/>
  <c r="AI104" i="10" s="1"/>
  <c r="X74" i="10"/>
  <c r="X84" i="10" s="1"/>
  <c r="X94" i="10" s="1"/>
  <c r="X104" i="10" s="1"/>
  <c r="X95" i="10"/>
  <c r="X85" i="10"/>
  <c r="AH75" i="10"/>
  <c r="AH65" i="10"/>
  <c r="AH105" i="10"/>
  <c r="AH95" i="10"/>
  <c r="AH85" i="10"/>
  <c r="AH74" i="10"/>
  <c r="AH84" i="10" s="1"/>
  <c r="AH94" i="10" s="1"/>
  <c r="AH104" i="10" s="1"/>
  <c r="AF75" i="10"/>
  <c r="AF105" i="10"/>
  <c r="AF85" i="10"/>
  <c r="AF74" i="10"/>
  <c r="AF84" i="10" s="1"/>
  <c r="AF94" i="10" s="1"/>
  <c r="AF104" i="10" s="1"/>
  <c r="AF95" i="10"/>
  <c r="AF65" i="10"/>
  <c r="S62" i="10"/>
  <c r="AD105" i="10"/>
  <c r="AD95" i="10"/>
  <c r="AD74" i="10"/>
  <c r="AD84" i="10" s="1"/>
  <c r="AD94" i="10" s="1"/>
  <c r="AD104" i="10" s="1"/>
  <c r="AD85" i="10"/>
  <c r="AD75" i="10"/>
  <c r="AD65" i="10"/>
  <c r="S61" i="10"/>
  <c r="AE105" i="10"/>
  <c r="AE74" i="10"/>
  <c r="AE84" i="10" s="1"/>
  <c r="AE94" i="10" s="1"/>
  <c r="AE104" i="10" s="1"/>
  <c r="AE85" i="10"/>
  <c r="AE65" i="10"/>
  <c r="AE75" i="10"/>
  <c r="AE95" i="10"/>
  <c r="AA105" i="10"/>
  <c r="AA95" i="10"/>
  <c r="AA74" i="10"/>
  <c r="AA84" i="10" s="1"/>
  <c r="AA94" i="10" s="1"/>
  <c r="AA104" i="10" s="1"/>
  <c r="AC95" i="10"/>
  <c r="AC65" i="10"/>
  <c r="AC105" i="10"/>
  <c r="AC85" i="10"/>
  <c r="AC74" i="10"/>
  <c r="AC84" i="10" s="1"/>
  <c r="AC94" i="10" s="1"/>
  <c r="AC104" i="10" s="1"/>
  <c r="AG95" i="10"/>
  <c r="AG105" i="10"/>
  <c r="AG85" i="10"/>
  <c r="AG65" i="10"/>
  <c r="AG74" i="10"/>
  <c r="AG84" i="10" s="1"/>
  <c r="AG94" i="10" s="1"/>
  <c r="AG104" i="10" s="1"/>
  <c r="AG75" i="10"/>
  <c r="S64" i="10"/>
  <c r="AA101" i="10"/>
  <c r="X70" i="10"/>
  <c r="X80" i="10" s="1"/>
  <c r="X90" i="10" s="1"/>
  <c r="X100" i="10" s="1"/>
  <c r="AD101" i="10"/>
  <c r="AD70" i="10"/>
  <c r="AD80" i="10" s="1"/>
  <c r="AD90" i="10" s="1"/>
  <c r="AD100" i="10" s="1"/>
  <c r="AH70" i="10" l="1"/>
  <c r="AH80" i="10" s="1"/>
  <c r="AH90" i="10" s="1"/>
  <c r="AH100" i="10" s="1"/>
  <c r="AA70" i="10"/>
  <c r="AA80" i="10" s="1"/>
  <c r="AA90" i="10" s="1"/>
  <c r="AA100" i="10" s="1"/>
  <c r="AA91" i="10"/>
  <c r="AA61" i="10"/>
  <c r="AC101" i="10"/>
  <c r="AC61" i="10"/>
  <c r="AF70" i="10"/>
  <c r="AF80" i="10" s="1"/>
  <c r="AF90" i="10" s="1"/>
  <c r="AF100" i="10" s="1"/>
  <c r="AF61" i="10"/>
  <c r="AF91" i="10"/>
  <c r="AF81" i="10"/>
  <c r="AF71" i="10"/>
  <c r="AB91" i="10"/>
  <c r="AB61" i="10"/>
  <c r="Z101" i="10"/>
  <c r="Z61" i="10"/>
  <c r="Z91" i="10"/>
  <c r="Y91" i="10"/>
  <c r="Y61" i="10"/>
  <c r="AH91" i="10"/>
  <c r="AH81" i="10"/>
  <c r="AH71" i="10"/>
  <c r="AH61" i="10"/>
  <c r="AE101" i="10"/>
  <c r="AE91" i="10"/>
  <c r="AE61" i="10"/>
  <c r="AG91" i="10"/>
  <c r="AG81" i="10"/>
  <c r="AG71" i="10"/>
  <c r="AG61" i="10"/>
  <c r="AD91" i="10"/>
  <c r="AD61" i="10"/>
  <c r="AI101" i="10"/>
  <c r="AI91" i="10"/>
  <c r="AI81" i="10"/>
  <c r="AI71" i="10"/>
  <c r="AI61" i="10"/>
  <c r="AC70" i="10"/>
  <c r="AC80" i="10" s="1"/>
  <c r="AC90" i="10" s="1"/>
  <c r="AC100" i="10" s="1"/>
  <c r="AE70" i="10"/>
  <c r="AE80" i="10" s="1"/>
  <c r="AE90" i="10" s="1"/>
  <c r="AE100" i="10" s="1"/>
  <c r="Y101" i="10"/>
  <c r="AI70" i="10"/>
  <c r="AI80" i="10" s="1"/>
  <c r="AI90" i="10" s="1"/>
  <c r="AI100" i="10" s="1"/>
  <c r="AF101" i="10"/>
  <c r="AG101" i="10"/>
  <c r="AG70" i="10"/>
  <c r="AG80" i="10" s="1"/>
  <c r="AG90" i="10" s="1"/>
  <c r="AG100" i="10" s="1"/>
  <c r="AB70" i="10"/>
  <c r="AB80" i="10" s="1"/>
  <c r="AB90" i="10" s="1"/>
  <c r="AB100" i="10" s="1"/>
  <c r="AK95" i="10"/>
  <c r="R36" i="26"/>
  <c r="Q36" i="26"/>
  <c r="R33" i="26"/>
  <c r="Q33" i="26"/>
  <c r="O25" i="26"/>
  <c r="N25" i="26"/>
  <c r="L25" i="26"/>
  <c r="K25" i="26"/>
  <c r="J25" i="26"/>
  <c r="H25" i="26"/>
  <c r="B16" i="26"/>
  <c r="C11" i="26"/>
  <c r="D11" i="26" s="1"/>
  <c r="C9" i="26"/>
  <c r="C10" i="26" s="1"/>
  <c r="O148" i="2" s="1"/>
  <c r="B9" i="26"/>
  <c r="B18" i="26"/>
  <c r="B10" i="26" l="1"/>
  <c r="C98" i="9" s="1"/>
  <c r="E98" i="9"/>
  <c r="J26" i="26"/>
  <c r="B13" i="26"/>
  <c r="B17" i="26" s="1"/>
  <c r="B19" i="26" s="1"/>
  <c r="J20" i="20"/>
  <c r="G33" i="20"/>
  <c r="AA75" i="10" s="1"/>
  <c r="K27" i="26"/>
  <c r="O27" i="26"/>
  <c r="N26" i="26"/>
  <c r="F6" i="26"/>
  <c r="F5" i="26"/>
  <c r="O33" i="20"/>
  <c r="O20" i="20"/>
  <c r="K33" i="20"/>
  <c r="D20" i="20"/>
  <c r="X71" i="10" s="1"/>
  <c r="F33" i="20"/>
  <c r="Z75" i="10" s="1"/>
  <c r="I33" i="20"/>
  <c r="AC75" i="10" s="1"/>
  <c r="AD71" i="10" l="1"/>
  <c r="AD81" i="10"/>
  <c r="X81" i="10"/>
  <c r="X101" i="10"/>
  <c r="AK101" i="10" s="1"/>
  <c r="E10" i="26"/>
  <c r="B26" i="26" s="1"/>
  <c r="B27" i="26" s="1"/>
  <c r="AA85" i="10"/>
  <c r="AA65" i="10"/>
  <c r="Z85" i="10"/>
  <c r="Z65" i="10"/>
  <c r="H33" i="20"/>
  <c r="AB75" i="10" s="1"/>
  <c r="M20" i="20"/>
  <c r="K20" i="20"/>
  <c r="F20" i="20"/>
  <c r="E33" i="20"/>
  <c r="J33" i="20"/>
  <c r="N33" i="20"/>
  <c r="I20" i="20"/>
  <c r="AC81" i="10" s="1"/>
  <c r="D33" i="20"/>
  <c r="X105" i="10" s="1"/>
  <c r="AK105" i="10" s="1"/>
  <c r="L33" i="20"/>
  <c r="G20" i="20"/>
  <c r="N20" i="20"/>
  <c r="E20" i="20"/>
  <c r="L20" i="20"/>
  <c r="H20" i="20"/>
  <c r="M33" i="20"/>
  <c r="AK85" i="10" l="1"/>
  <c r="AE71" i="10"/>
  <c r="AE81" i="10"/>
  <c r="AB81" i="10"/>
  <c r="AB71" i="10"/>
  <c r="AC91" i="10"/>
  <c r="AC71" i="10"/>
  <c r="Z81" i="10"/>
  <c r="Z71" i="10"/>
  <c r="AA81" i="10"/>
  <c r="AA71" i="10"/>
  <c r="Y81" i="10"/>
  <c r="Y71" i="10"/>
  <c r="Y75" i="10"/>
  <c r="Y65" i="10"/>
  <c r="X75" i="10"/>
  <c r="X65" i="10"/>
  <c r="F257" i="2"/>
  <c r="AK75" i="10" l="1"/>
  <c r="AK65" i="10"/>
  <c r="D40" i="2"/>
  <c r="D41" i="2"/>
  <c r="D42" i="2"/>
  <c r="D43" i="2"/>
  <c r="D44" i="2"/>
  <c r="D45" i="2"/>
  <c r="D46" i="2"/>
  <c r="C39" i="2"/>
  <c r="D39" i="2" s="1"/>
  <c r="AB74" i="2"/>
  <c r="AB75" i="2"/>
  <c r="AB76" i="2"/>
  <c r="AB77" i="2"/>
  <c r="AB78" i="2"/>
  <c r="AB79" i="2"/>
  <c r="AB80" i="2"/>
  <c r="AB73" i="2"/>
  <c r="G90" i="2"/>
  <c r="AF83" i="2" l="1"/>
  <c r="B43" i="2"/>
  <c r="E10" i="9"/>
  <c r="B8" i="7"/>
  <c r="A242" i="1"/>
  <c r="A361" i="1"/>
  <c r="D33" i="7"/>
  <c r="B42" i="2"/>
  <c r="E9" i="9"/>
  <c r="A241" i="1"/>
  <c r="B7" i="7"/>
  <c r="E6" i="9"/>
  <c r="B4" i="7"/>
  <c r="A237" i="1"/>
  <c r="AE83" i="2"/>
  <c r="B46" i="2"/>
  <c r="E13" i="9"/>
  <c r="A245" i="1"/>
  <c r="B11" i="7"/>
  <c r="B40" i="2"/>
  <c r="E7" i="9"/>
  <c r="A239" i="1"/>
  <c r="B5" i="7"/>
  <c r="B45" i="2"/>
  <c r="E12" i="9"/>
  <c r="A244" i="1"/>
  <c r="B10" i="7"/>
  <c r="B41" i="2"/>
  <c r="E8" i="9"/>
  <c r="A240" i="1"/>
  <c r="B6" i="7"/>
  <c r="B44" i="2"/>
  <c r="E11" i="9"/>
  <c r="B9" i="7"/>
  <c r="A243" i="1"/>
  <c r="D48" i="2"/>
  <c r="D47" i="2"/>
  <c r="B39" i="2"/>
  <c r="K13" i="7"/>
  <c r="D13" i="7"/>
  <c r="E14" i="18" s="1"/>
  <c r="F13" i="7"/>
  <c r="G14" i="18" s="1"/>
  <c r="H13" i="7"/>
  <c r="I14" i="18" s="1"/>
  <c r="P13" i="7"/>
  <c r="Q14" i="18" s="1"/>
  <c r="T13" i="7"/>
  <c r="X13" i="7"/>
  <c r="AA14" i="18" s="1"/>
  <c r="AB13" i="7"/>
  <c r="F4" i="7" l="1"/>
  <c r="D4" i="7"/>
  <c r="G26" i="7"/>
  <c r="Q15" i="7"/>
  <c r="E169" i="2"/>
  <c r="G169" i="2" s="1"/>
  <c r="H169" i="2" s="1"/>
  <c r="I169" i="2" s="1"/>
  <c r="E52" i="2"/>
  <c r="L13" i="7"/>
  <c r="L14" i="18"/>
  <c r="M14" i="18" s="1"/>
  <c r="G167" i="2" l="1"/>
  <c r="G168" i="2" s="1"/>
  <c r="A7" i="1" l="1"/>
  <c r="G257" i="2"/>
  <c r="G261" i="2" s="1"/>
  <c r="G251" i="2" s="1"/>
  <c r="I251" i="2" l="1"/>
  <c r="K260" i="2" l="1"/>
  <c r="K259" i="2"/>
  <c r="I252" i="2" s="1"/>
  <c r="I258" i="2"/>
  <c r="J263" i="2" s="1"/>
  <c r="I257" i="2"/>
  <c r="J260" i="2" s="1"/>
  <c r="C1" i="9" l="1"/>
  <c r="K28" i="15" l="1"/>
  <c r="E7" i="23"/>
  <c r="E8" i="23" l="1"/>
  <c r="E10" i="23"/>
  <c r="H1" i="9"/>
  <c r="E13" i="23"/>
  <c r="E9" i="23" l="1"/>
  <c r="AB29" i="18" l="1"/>
  <c r="K28" i="16" l="1"/>
  <c r="B24" i="2"/>
  <c r="K132" i="3" l="1"/>
  <c r="B30" i="18" l="1"/>
  <c r="AI21" i="18" l="1"/>
  <c r="AI22" i="18"/>
  <c r="AH21" i="18"/>
  <c r="AF22" i="18"/>
  <c r="AF21" i="18"/>
  <c r="X22" i="18"/>
  <c r="C13" i="18"/>
  <c r="J12" i="15"/>
  <c r="J8" i="15"/>
  <c r="H8" i="15"/>
  <c r="M52" i="2" l="1"/>
  <c r="N52" i="2"/>
  <c r="G199" i="2" l="1"/>
  <c r="I149" i="2" l="1"/>
  <c r="I148" i="2" l="1"/>
  <c r="T77" i="2"/>
  <c r="L182" i="3" l="1"/>
  <c r="J361" i="2" l="1"/>
  <c r="I361" i="2"/>
  <c r="H361" i="2"/>
  <c r="C93" i="2" l="1"/>
  <c r="A6" i="1" s="1"/>
  <c r="G267" i="2" l="1"/>
  <c r="G263" i="2" s="1"/>
  <c r="P13" i="5" l="1"/>
  <c r="Q13" i="5" s="1"/>
  <c r="O13" i="5"/>
  <c r="Q12" i="5"/>
  <c r="P12" i="5"/>
  <c r="O12" i="5"/>
  <c r="D10" i="2"/>
  <c r="B10" i="2"/>
  <c r="D9" i="2"/>
  <c r="B9" i="2"/>
  <c r="P36" i="10" l="1"/>
  <c r="P42" i="10" l="1"/>
  <c r="D10" i="26" l="1"/>
  <c r="K332" i="2"/>
  <c r="K326" i="2"/>
  <c r="O42" i="10" l="1"/>
  <c r="G98" i="9"/>
  <c r="I40" i="5"/>
  <c r="H28" i="5"/>
  <c r="I28" i="5"/>
  <c r="H13" i="5"/>
  <c r="I13" i="5"/>
  <c r="T78" i="2" l="1"/>
  <c r="E11" i="2"/>
  <c r="A57" i="1" s="1"/>
  <c r="H39" i="5" l="1"/>
  <c r="I45" i="5"/>
  <c r="H45" i="5" s="1"/>
  <c r="H44" i="5"/>
  <c r="I39" i="5"/>
  <c r="M41" i="5"/>
  <c r="H36" i="5" s="1"/>
  <c r="N41" i="5"/>
  <c r="I36" i="5" s="1"/>
  <c r="B74" i="2" l="1"/>
  <c r="N294" i="2" l="1"/>
  <c r="G247" i="2"/>
  <c r="F3" i="10"/>
  <c r="G3" i="10" s="1"/>
  <c r="E30" i="27" l="1"/>
  <c r="G68" i="9"/>
  <c r="G39" i="9" s="1"/>
  <c r="G14" i="10"/>
  <c r="E14" i="10"/>
  <c r="G29" i="9" l="1"/>
  <c r="G30" i="9" s="1"/>
  <c r="H40" i="10"/>
  <c r="H39" i="10"/>
  <c r="H44" i="10"/>
  <c r="H46" i="10" s="1"/>
  <c r="H24" i="10"/>
  <c r="J25" i="10"/>
  <c r="J24" i="10"/>
  <c r="I24" i="10"/>
  <c r="I44" i="10"/>
  <c r="I52" i="10" s="1"/>
  <c r="J44" i="10"/>
  <c r="J47" i="10" s="1"/>
  <c r="K44" i="10"/>
  <c r="K53" i="10" s="1"/>
  <c r="L44" i="10"/>
  <c r="L47" i="10" s="1"/>
  <c r="M44" i="10"/>
  <c r="M65" i="10" s="1"/>
  <c r="J26" i="10"/>
  <c r="J59" i="10" l="1"/>
  <c r="K65" i="10"/>
  <c r="K67" i="10" s="1"/>
  <c r="H61" i="10"/>
  <c r="K45" i="10"/>
  <c r="J65" i="10"/>
  <c r="J72" i="10" s="1"/>
  <c r="K61" i="10"/>
  <c r="H59" i="10"/>
  <c r="I47" i="10"/>
  <c r="K51" i="10"/>
  <c r="I60" i="10"/>
  <c r="H53" i="10"/>
  <c r="I61" i="10"/>
  <c r="K47" i="10"/>
  <c r="H52" i="10"/>
  <c r="J60" i="10"/>
  <c r="L59" i="10"/>
  <c r="M67" i="10"/>
  <c r="M81" i="10"/>
  <c r="M68" i="10"/>
  <c r="M82" i="10"/>
  <c r="M86" i="10"/>
  <c r="M72" i="10"/>
  <c r="M66" i="10"/>
  <c r="M73" i="10"/>
  <c r="M80" i="10"/>
  <c r="M74" i="10"/>
  <c r="K74" i="10"/>
  <c r="L53" i="10"/>
  <c r="I51" i="10"/>
  <c r="J61" i="10"/>
  <c r="J46" i="10"/>
  <c r="K52" i="10"/>
  <c r="L60" i="10"/>
  <c r="L46" i="10"/>
  <c r="M52" i="10"/>
  <c r="L65" i="10"/>
  <c r="K80" i="10"/>
  <c r="M51" i="10"/>
  <c r="K73" i="10"/>
  <c r="H51" i="10"/>
  <c r="I59" i="10"/>
  <c r="I45" i="10"/>
  <c r="J53" i="10"/>
  <c r="K60" i="10"/>
  <c r="K46" i="10"/>
  <c r="L52" i="10"/>
  <c r="M60" i="10"/>
  <c r="M46" i="10"/>
  <c r="I65" i="10"/>
  <c r="K66" i="10"/>
  <c r="K72" i="10"/>
  <c r="K86" i="10"/>
  <c r="M45" i="10"/>
  <c r="M47" i="10"/>
  <c r="H47" i="10"/>
  <c r="I53" i="10"/>
  <c r="I46" i="10"/>
  <c r="J52" i="10"/>
  <c r="K59" i="10"/>
  <c r="L45" i="10"/>
  <c r="L51" i="10"/>
  <c r="M59" i="10"/>
  <c r="H65" i="10"/>
  <c r="H45" i="10"/>
  <c r="K82" i="10"/>
  <c r="K68" i="10"/>
  <c r="J86" i="10"/>
  <c r="M61" i="10"/>
  <c r="H60" i="10"/>
  <c r="J45" i="10"/>
  <c r="L61" i="10"/>
  <c r="M53" i="10"/>
  <c r="K81" i="10"/>
  <c r="E13" i="10"/>
  <c r="L24" i="10"/>
  <c r="M24" i="10"/>
  <c r="M25" i="10"/>
  <c r="M26" i="10"/>
  <c r="L25" i="10"/>
  <c r="I26" i="10"/>
  <c r="I25" i="10"/>
  <c r="R17" i="10"/>
  <c r="S17" i="10" s="1"/>
  <c r="U17" i="10" s="1"/>
  <c r="S14" i="10"/>
  <c r="U14" i="10" s="1"/>
  <c r="R11" i="10"/>
  <c r="S11" i="10" s="1"/>
  <c r="U11" i="10" s="1"/>
  <c r="R18" i="10"/>
  <c r="U18" i="10" s="1"/>
  <c r="R15" i="10"/>
  <c r="U15" i="10" s="1"/>
  <c r="R12" i="10"/>
  <c r="U12" i="10" s="1"/>
  <c r="R9" i="10"/>
  <c r="U9" i="10" s="1"/>
  <c r="R8" i="10"/>
  <c r="S8" i="10" s="1"/>
  <c r="M30" i="10"/>
  <c r="M31" i="10"/>
  <c r="M32" i="10"/>
  <c r="M38" i="10"/>
  <c r="M39" i="10"/>
  <c r="M40" i="10"/>
  <c r="L26" i="10"/>
  <c r="L30" i="10"/>
  <c r="L31" i="10"/>
  <c r="L32" i="10"/>
  <c r="L38" i="10"/>
  <c r="L39" i="10"/>
  <c r="L40" i="10"/>
  <c r="K25" i="10"/>
  <c r="K26" i="10"/>
  <c r="K30" i="10"/>
  <c r="K31" i="10"/>
  <c r="K32" i="10"/>
  <c r="K38" i="10"/>
  <c r="K39" i="10"/>
  <c r="K40" i="10"/>
  <c r="J31" i="10"/>
  <c r="J32" i="10"/>
  <c r="J38" i="10"/>
  <c r="J39" i="10"/>
  <c r="J40" i="10"/>
  <c r="K24" i="10"/>
  <c r="I30" i="10"/>
  <c r="I31" i="10"/>
  <c r="I32" i="10"/>
  <c r="I38" i="10"/>
  <c r="I39" i="10"/>
  <c r="I40" i="10"/>
  <c r="H25" i="10"/>
  <c r="H26" i="10"/>
  <c r="H30" i="10"/>
  <c r="H31" i="10"/>
  <c r="H32" i="10"/>
  <c r="H38" i="10"/>
  <c r="J67" i="10" l="1"/>
  <c r="J80" i="10"/>
  <c r="J74" i="10"/>
  <c r="J81" i="10"/>
  <c r="J73" i="10"/>
  <c r="J82" i="10"/>
  <c r="J68" i="10"/>
  <c r="J66" i="10"/>
  <c r="I86" i="10"/>
  <c r="I67" i="10"/>
  <c r="I81" i="10"/>
  <c r="I68" i="10"/>
  <c r="I82" i="10"/>
  <c r="I74" i="10"/>
  <c r="I72" i="10"/>
  <c r="I66" i="10"/>
  <c r="I80" i="10"/>
  <c r="I73" i="10"/>
  <c r="K95" i="10"/>
  <c r="K87" i="10"/>
  <c r="K101" i="10"/>
  <c r="K89" i="10"/>
  <c r="K88" i="10"/>
  <c r="K102" i="10"/>
  <c r="K103" i="10"/>
  <c r="K94" i="10"/>
  <c r="K93" i="10"/>
  <c r="M95" i="10"/>
  <c r="M101" i="10"/>
  <c r="M89" i="10"/>
  <c r="M103" i="10"/>
  <c r="M93" i="10"/>
  <c r="M88" i="10"/>
  <c r="M102" i="10"/>
  <c r="M87" i="10"/>
  <c r="M94" i="10"/>
  <c r="J87" i="10"/>
  <c r="J88" i="10"/>
  <c r="J103" i="10"/>
  <c r="J101" i="10"/>
  <c r="J89" i="10"/>
  <c r="J95" i="10"/>
  <c r="J94" i="10"/>
  <c r="J102" i="10"/>
  <c r="L73" i="10"/>
  <c r="L81" i="10"/>
  <c r="L68" i="10"/>
  <c r="L74" i="10"/>
  <c r="L86" i="10"/>
  <c r="L67" i="10"/>
  <c r="L82" i="10"/>
  <c r="L80" i="10"/>
  <c r="L72" i="10"/>
  <c r="L66" i="10"/>
  <c r="H68" i="10"/>
  <c r="H74" i="10"/>
  <c r="H72" i="10"/>
  <c r="H66" i="10"/>
  <c r="H80" i="10"/>
  <c r="H73" i="10"/>
  <c r="H86" i="10"/>
  <c r="H67" i="10"/>
  <c r="H81" i="10"/>
  <c r="H82" i="10"/>
  <c r="E12" i="10"/>
  <c r="B13" i="10"/>
  <c r="B11" i="10"/>
  <c r="D11" i="10"/>
  <c r="B12" i="10"/>
  <c r="C13" i="10"/>
  <c r="D12" i="10"/>
  <c r="E11" i="10"/>
  <c r="C12" i="10"/>
  <c r="G13" i="10"/>
  <c r="C11" i="10"/>
  <c r="D13" i="10"/>
  <c r="G11" i="10"/>
  <c r="G12" i="10"/>
  <c r="F13" i="10"/>
  <c r="F11" i="10"/>
  <c r="F12" i="10"/>
  <c r="U8" i="10"/>
  <c r="H89" i="10" l="1"/>
  <c r="H95" i="10"/>
  <c r="H101" i="10"/>
  <c r="H93" i="10"/>
  <c r="H103" i="10"/>
  <c r="H94" i="10"/>
  <c r="H102" i="10"/>
  <c r="H88" i="10"/>
  <c r="H87" i="10"/>
  <c r="L89" i="10"/>
  <c r="L103" i="10"/>
  <c r="L95" i="10"/>
  <c r="L93" i="10"/>
  <c r="L87" i="10"/>
  <c r="L94" i="10"/>
  <c r="L101" i="10"/>
  <c r="L88" i="10"/>
  <c r="L102" i="10"/>
  <c r="I101" i="10"/>
  <c r="I88" i="10"/>
  <c r="I102" i="10"/>
  <c r="I93" i="10"/>
  <c r="I89" i="10"/>
  <c r="I87" i="10"/>
  <c r="I103" i="10"/>
  <c r="I95" i="10"/>
  <c r="I94" i="10"/>
  <c r="H34" i="10"/>
  <c r="J34" i="10"/>
  <c r="J33" i="10"/>
  <c r="I33" i="10"/>
  <c r="H33" i="10"/>
  <c r="L34" i="10"/>
  <c r="I34" i="10"/>
  <c r="L33" i="10"/>
  <c r="K35" i="10"/>
  <c r="J77" i="10"/>
  <c r="L98" i="10"/>
  <c r="L77" i="10"/>
  <c r="J56" i="10"/>
  <c r="K98" i="10"/>
  <c r="M77" i="10"/>
  <c r="K56" i="10"/>
  <c r="I56" i="10"/>
  <c r="L56" i="10"/>
  <c r="I98" i="10"/>
  <c r="I77" i="10"/>
  <c r="M56" i="10"/>
  <c r="H98" i="10"/>
  <c r="H77" i="10"/>
  <c r="M98" i="10"/>
  <c r="J98" i="10"/>
  <c r="K77" i="10"/>
  <c r="H56" i="10"/>
  <c r="M33" i="10"/>
  <c r="K75" i="10"/>
  <c r="L75" i="10"/>
  <c r="J54" i="10"/>
  <c r="K54" i="10"/>
  <c r="L54" i="10"/>
  <c r="I96" i="10"/>
  <c r="I75" i="10"/>
  <c r="M54" i="10"/>
  <c r="I54" i="10"/>
  <c r="H96" i="10"/>
  <c r="J75" i="10"/>
  <c r="H75" i="10"/>
  <c r="M96" i="10"/>
  <c r="J96" i="10"/>
  <c r="H54" i="10"/>
  <c r="L96" i="10"/>
  <c r="K96" i="10"/>
  <c r="M75" i="10"/>
  <c r="J97" i="10"/>
  <c r="K97" i="10"/>
  <c r="M76" i="10"/>
  <c r="K55" i="10"/>
  <c r="I55" i="10"/>
  <c r="L55" i="10"/>
  <c r="M97" i="10"/>
  <c r="L97" i="10"/>
  <c r="I97" i="10"/>
  <c r="I76" i="10"/>
  <c r="M55" i="10"/>
  <c r="H97" i="10"/>
  <c r="J76" i="10"/>
  <c r="H76" i="10"/>
  <c r="K76" i="10"/>
  <c r="H55" i="10"/>
  <c r="L76" i="10"/>
  <c r="J55" i="10"/>
  <c r="K33" i="10"/>
  <c r="M35" i="10"/>
  <c r="J35" i="10"/>
  <c r="L35" i="10"/>
  <c r="I35" i="10"/>
  <c r="H35" i="10"/>
  <c r="K34" i="10"/>
  <c r="M34" i="10"/>
  <c r="G246" i="2" l="1"/>
  <c r="J264" i="2"/>
  <c r="I264" i="2" s="1"/>
  <c r="F258" i="2"/>
  <c r="G258" i="2" s="1"/>
  <c r="G259" i="2" s="1"/>
  <c r="G260" i="2" s="1"/>
  <c r="G253" i="2" s="1"/>
  <c r="D321" i="2" l="1"/>
  <c r="G362" i="2" l="1"/>
  <c r="H362" i="2"/>
  <c r="F362" i="2"/>
  <c r="J362" i="2"/>
  <c r="E362" i="2"/>
  <c r="I362" i="2"/>
  <c r="K327" i="2"/>
  <c r="K333" i="2"/>
  <c r="P183" i="3" l="1"/>
  <c r="C127" i="3" l="1"/>
  <c r="G269" i="2" l="1"/>
  <c r="G265" i="2" s="1"/>
  <c r="A5" i="1" s="1"/>
  <c r="G268" i="2"/>
  <c r="A3" i="1"/>
  <c r="M154" i="3"/>
  <c r="M155" i="3"/>
  <c r="M156" i="3"/>
  <c r="M157" i="3"/>
  <c r="M159" i="3"/>
  <c r="M160" i="3"/>
  <c r="M161" i="3"/>
  <c r="M162" i="3"/>
  <c r="M163" i="3"/>
  <c r="M164" i="3"/>
  <c r="M165" i="3"/>
  <c r="M166" i="3"/>
  <c r="M167" i="3"/>
  <c r="M169" i="3"/>
  <c r="M170" i="3"/>
  <c r="M171" i="3"/>
  <c r="M172" i="3"/>
  <c r="M173" i="3"/>
  <c r="M174" i="3"/>
  <c r="M175" i="3"/>
  <c r="M176" i="3"/>
  <c r="M177" i="3"/>
  <c r="M179" i="3"/>
  <c r="M153" i="3"/>
  <c r="N154" i="3"/>
  <c r="N155" i="3"/>
  <c r="N156" i="3"/>
  <c r="N157" i="3"/>
  <c r="N159" i="3"/>
  <c r="N160" i="3"/>
  <c r="N161" i="3"/>
  <c r="N162" i="3"/>
  <c r="N163" i="3"/>
  <c r="N164" i="3"/>
  <c r="N165" i="3"/>
  <c r="N166" i="3"/>
  <c r="N167" i="3"/>
  <c r="N169" i="3"/>
  <c r="N170" i="3"/>
  <c r="N171" i="3"/>
  <c r="N172" i="3"/>
  <c r="N173" i="3"/>
  <c r="N174" i="3"/>
  <c r="N175" i="3"/>
  <c r="N176" i="3"/>
  <c r="N177" i="3"/>
  <c r="N179" i="3"/>
  <c r="N153" i="3"/>
  <c r="N183" i="3" l="1"/>
  <c r="M183" i="3"/>
  <c r="G264" i="2"/>
  <c r="A4" i="1" s="1"/>
  <c r="C54" i="2" l="1"/>
  <c r="I57" i="2"/>
  <c r="K57" i="2" l="1"/>
  <c r="A211" i="1" s="1"/>
  <c r="J57" i="2"/>
  <c r="A210" i="1" s="1"/>
  <c r="G245" i="2" l="1"/>
  <c r="A17" i="1" l="1"/>
  <c r="A31" i="1"/>
  <c r="A58" i="1"/>
  <c r="A127" i="1"/>
  <c r="A128" i="1"/>
  <c r="A131" i="1"/>
  <c r="A145" i="1"/>
  <c r="A146" i="1"/>
  <c r="A170" i="1"/>
  <c r="A174" i="1"/>
  <c r="A198" i="1"/>
  <c r="A207" i="1"/>
  <c r="A208" i="1"/>
  <c r="A219" i="1"/>
  <c r="A233" i="1"/>
  <c r="A247" i="1"/>
  <c r="A248" i="1"/>
  <c r="A249" i="1"/>
  <c r="A250" i="1"/>
  <c r="A74" i="1"/>
  <c r="A75" i="1"/>
  <c r="A72" i="1"/>
  <c r="A64" i="1"/>
  <c r="A280" i="1"/>
  <c r="A261" i="1"/>
  <c r="A265" i="1"/>
  <c r="L285" i="2" l="1"/>
  <c r="I285" i="2"/>
  <c r="G285" i="2"/>
  <c r="E81" i="3"/>
  <c r="E76" i="3"/>
  <c r="E77" i="3"/>
  <c r="E78" i="3"/>
  <c r="E75" i="3"/>
  <c r="H196" i="2" l="1"/>
  <c r="G196" i="2"/>
  <c r="G195" i="2"/>
  <c r="G194" i="2"/>
  <c r="G205" i="2"/>
  <c r="S235" i="2" l="1"/>
  <c r="A203" i="1" s="1"/>
  <c r="S236" i="2"/>
  <c r="A204" i="1" s="1"/>
  <c r="Q235" i="2"/>
  <c r="A199" i="1" s="1"/>
  <c r="A273" i="1"/>
  <c r="F306" i="2"/>
  <c r="A390" i="1" s="1"/>
  <c r="G306" i="2"/>
  <c r="A391" i="1" s="1"/>
  <c r="C60" i="2" l="1"/>
  <c r="G308" i="2" l="1"/>
  <c r="F308" i="2"/>
  <c r="A392" i="1" s="1"/>
  <c r="F302" i="2" l="1"/>
  <c r="A101" i="1" s="1"/>
  <c r="G301" i="2"/>
  <c r="F301" i="2"/>
  <c r="F303" i="2" s="1"/>
  <c r="A102" i="1" s="1"/>
  <c r="A100" i="1" l="1"/>
  <c r="F304" i="2"/>
  <c r="A103" i="1" s="1"/>
  <c r="A113" i="1"/>
  <c r="C21" i="2"/>
  <c r="G310" i="2" l="1"/>
  <c r="F310" i="2"/>
  <c r="I300" i="2" l="1"/>
  <c r="J261" i="2" l="1"/>
  <c r="K270" i="2" s="1"/>
  <c r="B207" i="3" l="1"/>
  <c r="B208" i="3"/>
  <c r="B210" i="3"/>
  <c r="B211" i="3"/>
  <c r="B212" i="3"/>
  <c r="B213" i="3"/>
  <c r="B214" i="3"/>
  <c r="B215" i="3"/>
  <c r="B216" i="3"/>
  <c r="B217" i="3"/>
  <c r="B218" i="3"/>
  <c r="B220" i="3"/>
  <c r="B221" i="3"/>
  <c r="B222" i="3"/>
  <c r="B223" i="3"/>
  <c r="B224" i="3"/>
  <c r="B225" i="3"/>
  <c r="B226" i="3"/>
  <c r="B227" i="3"/>
  <c r="B206" i="3"/>
  <c r="A13" i="1" l="1"/>
  <c r="J259" i="2" l="1"/>
  <c r="I263" i="2" l="1"/>
  <c r="I268" i="2" s="1"/>
  <c r="I259" i="2"/>
  <c r="I260" i="2"/>
  <c r="B96" i="2"/>
  <c r="K271" i="2" l="1"/>
  <c r="O48" i="10"/>
  <c r="R48" i="10" s="1"/>
  <c r="I267" i="2"/>
  <c r="D11" i="2"/>
  <c r="A52" i="1" s="1"/>
  <c r="J267" i="2" l="1"/>
  <c r="I253" i="2" s="1"/>
  <c r="L271" i="2"/>
  <c r="J270" i="2" s="1"/>
  <c r="A8" i="1" s="1"/>
  <c r="B29" i="2"/>
  <c r="I227" i="3" l="1"/>
  <c r="I226" i="3" s="1"/>
  <c r="I225" i="3" s="1"/>
  <c r="I224" i="3" s="1"/>
  <c r="I223" i="3" s="1"/>
  <c r="I222" i="3" s="1"/>
  <c r="I221" i="3" s="1"/>
  <c r="I220" i="3" s="1"/>
  <c r="I219" i="3" s="1"/>
  <c r="I218" i="3" s="1"/>
  <c r="I217" i="3" s="1"/>
  <c r="L227" i="3"/>
  <c r="L226" i="3" s="1"/>
  <c r="L225" i="3" s="1"/>
  <c r="L224" i="3" s="1"/>
  <c r="L223" i="3" s="1"/>
  <c r="L222" i="3" s="1"/>
  <c r="L221" i="3" s="1"/>
  <c r="L220" i="3" s="1"/>
  <c r="L219" i="3" s="1"/>
  <c r="L218" i="3" s="1"/>
  <c r="L217" i="3" s="1"/>
  <c r="K227" i="3"/>
  <c r="K226" i="3" s="1"/>
  <c r="K225" i="3" s="1"/>
  <c r="K224" i="3" s="1"/>
  <c r="K223" i="3" s="1"/>
  <c r="K222" i="3" s="1"/>
  <c r="K221" i="3" s="1"/>
  <c r="K220" i="3" s="1"/>
  <c r="K219" i="3" s="1"/>
  <c r="K218" i="3" s="1"/>
  <c r="K217" i="3" s="1"/>
  <c r="J227" i="3"/>
  <c r="J226" i="3" s="1"/>
  <c r="J225" i="3" s="1"/>
  <c r="J224" i="3" s="1"/>
  <c r="J223" i="3" s="1"/>
  <c r="J222" i="3" s="1"/>
  <c r="J221" i="3" s="1"/>
  <c r="J220" i="3" s="1"/>
  <c r="J219" i="3" s="1"/>
  <c r="J218" i="3" s="1"/>
  <c r="J217" i="3" s="1"/>
  <c r="L6" i="10"/>
  <c r="C29" i="2"/>
  <c r="J216" i="3" l="1"/>
  <c r="J215" i="3" s="1"/>
  <c r="J214" i="3" s="1"/>
  <c r="J213" i="3" s="1"/>
  <c r="J212" i="3" s="1"/>
  <c r="J211" i="3" s="1"/>
  <c r="J210" i="3" s="1"/>
  <c r="J209" i="3" s="1"/>
  <c r="J208" i="3" s="1"/>
  <c r="J207" i="3" s="1"/>
  <c r="K216" i="3"/>
  <c r="K215" i="3" s="1"/>
  <c r="K214" i="3" s="1"/>
  <c r="K213" i="3" s="1"/>
  <c r="K212" i="3" s="1"/>
  <c r="K211" i="3" s="1"/>
  <c r="K210" i="3" s="1"/>
  <c r="K209" i="3" s="1"/>
  <c r="K208" i="3" s="1"/>
  <c r="K207" i="3" s="1"/>
  <c r="L216" i="3"/>
  <c r="L215" i="3" s="1"/>
  <c r="L214" i="3" s="1"/>
  <c r="L213" i="3" s="1"/>
  <c r="L212" i="3" s="1"/>
  <c r="L211" i="3" s="1"/>
  <c r="L210" i="3" s="1"/>
  <c r="L209" i="3" s="1"/>
  <c r="L208" i="3" s="1"/>
  <c r="L207" i="3" s="1"/>
  <c r="I216" i="3"/>
  <c r="I215" i="3" s="1"/>
  <c r="I214" i="3" s="1"/>
  <c r="I213" i="3" s="1"/>
  <c r="I212" i="3" s="1"/>
  <c r="I211" i="3" s="1"/>
  <c r="I210" i="3" s="1"/>
  <c r="I209" i="3" s="1"/>
  <c r="I208" i="3" s="1"/>
  <c r="I207" i="3" s="1"/>
  <c r="L206" i="3" l="1"/>
  <c r="L205" i="3" s="1"/>
  <c r="K232" i="3" s="1"/>
  <c r="H141" i="2" s="1"/>
  <c r="I206" i="3"/>
  <c r="I205" i="3" s="1"/>
  <c r="H232" i="3" s="1"/>
  <c r="G141" i="2" s="1"/>
  <c r="U5" i="26" s="1"/>
  <c r="K206" i="3"/>
  <c r="K205" i="3" s="1"/>
  <c r="I232" i="3" s="1"/>
  <c r="F141" i="2" s="1"/>
  <c r="J206" i="3"/>
  <c r="J205" i="3" s="1"/>
  <c r="J232" i="3" s="1"/>
  <c r="I141" i="2" s="1"/>
  <c r="W5" i="26" s="1"/>
  <c r="G143" i="2" l="1"/>
  <c r="A275" i="1" s="1"/>
  <c r="H338" i="2"/>
  <c r="H143" i="2"/>
  <c r="A276" i="1" s="1"/>
  <c r="T5" i="26"/>
  <c r="F150" i="2"/>
  <c r="G338" i="2"/>
  <c r="F342" i="2" s="1"/>
  <c r="G342" i="2" s="1"/>
  <c r="G330" i="2" s="1"/>
  <c r="V5" i="26"/>
  <c r="I338" i="2"/>
  <c r="J332" i="2"/>
  <c r="I332" i="2"/>
  <c r="T32" i="10"/>
  <c r="F338" i="2"/>
  <c r="F332" i="2" s="1"/>
  <c r="H332" i="2"/>
  <c r="G332" i="2"/>
  <c r="J150" i="2" l="1"/>
  <c r="A269" i="1" s="1"/>
  <c r="K150" i="2"/>
  <c r="A266" i="1" s="1"/>
  <c r="B12" i="26"/>
  <c r="F330" i="2"/>
  <c r="J333" i="2"/>
  <c r="I333" i="2"/>
  <c r="H333" i="2"/>
  <c r="A157" i="1"/>
  <c r="F46" i="5"/>
  <c r="M19" i="5"/>
  <c r="B22" i="2"/>
  <c r="B20" i="2"/>
  <c r="G238" i="2"/>
  <c r="G239" i="2"/>
  <c r="D1" i="4" l="1"/>
  <c r="J7" i="2"/>
  <c r="S7" i="2" s="1"/>
  <c r="A270" i="1"/>
  <c r="A116" i="1"/>
  <c r="H342" i="2"/>
  <c r="G333" i="2" s="1"/>
  <c r="I342" i="2"/>
  <c r="S32" i="10"/>
  <c r="R32" i="10"/>
  <c r="Q32" i="10"/>
  <c r="G48" i="2"/>
  <c r="A171" i="1" s="1"/>
  <c r="A114" i="1"/>
  <c r="E282" i="2"/>
  <c r="F34" i="5"/>
  <c r="F333" i="2" l="1"/>
  <c r="O32" i="10" s="1"/>
  <c r="P32" i="10"/>
  <c r="J282" i="2"/>
  <c r="F283" i="2"/>
  <c r="G281" i="2"/>
  <c r="Q236" i="2"/>
  <c r="A201" i="1" s="1"/>
  <c r="V32" i="10" l="1"/>
  <c r="K283" i="2"/>
  <c r="L281" i="2"/>
  <c r="R235" i="2"/>
  <c r="A200" i="1" s="1"/>
  <c r="R236" i="2"/>
  <c r="A202" i="1" s="1"/>
  <c r="K170" i="2" l="1"/>
  <c r="G40" i="9" s="1"/>
  <c r="K169" i="2"/>
  <c r="K168" i="2" s="1"/>
  <c r="E278" i="2"/>
  <c r="M168" i="2"/>
  <c r="A224" i="1" s="1"/>
  <c r="B15" i="10" l="1"/>
  <c r="E15" i="10" s="1"/>
  <c r="K18" i="16"/>
  <c r="A220" i="1"/>
  <c r="F279" i="2"/>
  <c r="J278" i="2"/>
  <c r="K279" i="2" s="1"/>
  <c r="G61" i="3"/>
  <c r="F61" i="3" s="1"/>
  <c r="A236" i="1"/>
  <c r="G64" i="3"/>
  <c r="F64" i="3" s="1"/>
  <c r="G63" i="3"/>
  <c r="F63" i="3" s="1"/>
  <c r="G62" i="3"/>
  <c r="G15" i="10" l="1"/>
  <c r="H62" i="3"/>
  <c r="F62" i="3"/>
  <c r="H61" i="3"/>
  <c r="H63" i="3"/>
  <c r="H64" i="3"/>
  <c r="A197" i="2" l="1"/>
  <c r="A235" i="2"/>
  <c r="A236" i="2"/>
  <c r="A234" i="2"/>
  <c r="C238" i="2" l="1"/>
  <c r="D229" i="2"/>
  <c r="C229" i="2"/>
  <c r="D226" i="2"/>
  <c r="C226" i="2"/>
  <c r="D225" i="2"/>
  <c r="C225" i="2"/>
  <c r="C227" i="2"/>
  <c r="D228" i="2"/>
  <c r="C228" i="2"/>
  <c r="D227" i="2"/>
  <c r="C235" i="2"/>
  <c r="C234" i="2"/>
  <c r="C236" i="2"/>
  <c r="C237" i="2"/>
  <c r="B89" i="2" l="1"/>
  <c r="B90" i="2"/>
  <c r="A178" i="1"/>
  <c r="C90" i="2" l="1"/>
  <c r="C92" i="2" s="1"/>
  <c r="A2" i="1" s="1"/>
  <c r="C89" i="2"/>
  <c r="C91" i="2" s="1"/>
  <c r="A1" i="1" s="1"/>
  <c r="B87" i="2" l="1"/>
  <c r="G316" i="2" s="1"/>
  <c r="P44" i="10" l="1"/>
  <c r="F316" i="2"/>
  <c r="A272" i="1" s="1"/>
  <c r="A274" i="1"/>
  <c r="A177" i="1"/>
  <c r="S44" i="10"/>
  <c r="M140" i="3"/>
  <c r="C140" i="3"/>
  <c r="D140" i="3"/>
  <c r="E140" i="3"/>
  <c r="F140" i="3"/>
  <c r="G140" i="3"/>
  <c r="H140" i="3"/>
  <c r="I140" i="3"/>
  <c r="J140" i="3"/>
  <c r="K140" i="3"/>
  <c r="L140" i="3"/>
  <c r="M129" i="3"/>
  <c r="M130" i="3"/>
  <c r="M131" i="3"/>
  <c r="M132" i="3"/>
  <c r="M133" i="3"/>
  <c r="M134" i="3"/>
  <c r="M135" i="3"/>
  <c r="M136" i="3"/>
  <c r="M137" i="3"/>
  <c r="M139" i="3"/>
  <c r="M127" i="3"/>
  <c r="L129" i="3"/>
  <c r="L130" i="3"/>
  <c r="L131" i="3"/>
  <c r="L132" i="3"/>
  <c r="L133" i="3"/>
  <c r="L134" i="3"/>
  <c r="L135" i="3"/>
  <c r="L136" i="3"/>
  <c r="L137" i="3"/>
  <c r="L139" i="3"/>
  <c r="L127" i="3"/>
  <c r="K129" i="3"/>
  <c r="K130" i="3"/>
  <c r="K131" i="3"/>
  <c r="K133" i="3"/>
  <c r="K134" i="3"/>
  <c r="K135" i="3"/>
  <c r="K136" i="3"/>
  <c r="K137" i="3"/>
  <c r="K139" i="3"/>
  <c r="K127" i="3"/>
  <c r="J129" i="3"/>
  <c r="J130" i="3"/>
  <c r="J131" i="3"/>
  <c r="J132" i="3"/>
  <c r="J133" i="3"/>
  <c r="J134" i="3"/>
  <c r="J135" i="3"/>
  <c r="J136" i="3"/>
  <c r="J137" i="3"/>
  <c r="J139" i="3"/>
  <c r="J127" i="3"/>
  <c r="I129" i="3"/>
  <c r="I130" i="3"/>
  <c r="I131" i="3"/>
  <c r="I132" i="3"/>
  <c r="I133" i="3"/>
  <c r="I134" i="3"/>
  <c r="I135" i="3"/>
  <c r="I136" i="3"/>
  <c r="I137" i="3"/>
  <c r="I139" i="3"/>
  <c r="I127" i="3"/>
  <c r="H127" i="3"/>
  <c r="H129" i="3"/>
  <c r="H130" i="3"/>
  <c r="H131" i="3"/>
  <c r="H132" i="3"/>
  <c r="H133" i="3"/>
  <c r="H134" i="3"/>
  <c r="H135" i="3"/>
  <c r="H136" i="3"/>
  <c r="H137" i="3"/>
  <c r="H139" i="3"/>
  <c r="G129" i="3"/>
  <c r="G130" i="3"/>
  <c r="G131" i="3"/>
  <c r="G132" i="3"/>
  <c r="G133" i="3"/>
  <c r="G134" i="3"/>
  <c r="G135" i="3"/>
  <c r="G136" i="3"/>
  <c r="G137" i="3"/>
  <c r="G139" i="3"/>
  <c r="G127" i="3"/>
  <c r="F129" i="3"/>
  <c r="F130" i="3"/>
  <c r="F131" i="3"/>
  <c r="F132" i="3"/>
  <c r="F133" i="3"/>
  <c r="F134" i="3"/>
  <c r="F135" i="3"/>
  <c r="F136" i="3"/>
  <c r="F137" i="3"/>
  <c r="F139" i="3"/>
  <c r="F127" i="3"/>
  <c r="E129" i="3"/>
  <c r="E130" i="3"/>
  <c r="E131" i="3"/>
  <c r="E132" i="3"/>
  <c r="E133" i="3"/>
  <c r="E134" i="3"/>
  <c r="E135" i="3"/>
  <c r="E136" i="3"/>
  <c r="E137" i="3"/>
  <c r="E139" i="3"/>
  <c r="E127" i="3"/>
  <c r="D134" i="3"/>
  <c r="D133" i="3"/>
  <c r="D132" i="3"/>
  <c r="D131" i="3"/>
  <c r="D130" i="3"/>
  <c r="D129" i="3"/>
  <c r="D127" i="3"/>
  <c r="D135" i="3"/>
  <c r="D136" i="3"/>
  <c r="D137" i="3"/>
  <c r="D139" i="3"/>
  <c r="C130" i="3"/>
  <c r="C129" i="3"/>
  <c r="C131" i="3"/>
  <c r="C132" i="3"/>
  <c r="C133" i="3"/>
  <c r="C134" i="3"/>
  <c r="C135" i="3"/>
  <c r="C136" i="3"/>
  <c r="C137" i="3"/>
  <c r="C139" i="3"/>
  <c r="B94" i="2" l="1"/>
  <c r="I239" i="2" l="1"/>
  <c r="I238" i="2"/>
  <c r="I246" i="2"/>
  <c r="G209" i="2" l="1"/>
  <c r="G198" i="2"/>
  <c r="I237" i="2" l="1"/>
  <c r="G235" i="2"/>
  <c r="I235" i="2"/>
  <c r="I236" i="2"/>
  <c r="G236" i="2"/>
  <c r="A70" i="2"/>
  <c r="H212" i="2"/>
  <c r="H211" i="2"/>
  <c r="G212" i="2"/>
  <c r="G211" i="2"/>
  <c r="H210" i="2"/>
  <c r="G210" i="2"/>
  <c r="H208" i="2"/>
  <c r="G208" i="2"/>
  <c r="H207" i="2"/>
  <c r="G207" i="2"/>
  <c r="G206" i="2"/>
  <c r="F186" i="2" l="1"/>
  <c r="D70" i="2"/>
  <c r="C84" i="2" s="1"/>
  <c r="G237" i="2"/>
  <c r="H201" i="2"/>
  <c r="G201" i="2"/>
  <c r="H200" i="2"/>
  <c r="G200" i="2"/>
  <c r="H199" i="2"/>
  <c r="H197" i="2"/>
  <c r="G197" i="2"/>
  <c r="A69" i="2"/>
  <c r="C81" i="2" l="1"/>
  <c r="C83" i="2"/>
  <c r="C82" i="2"/>
  <c r="F180" i="2"/>
  <c r="F181" i="2" s="1"/>
  <c r="F183" i="2" s="1"/>
  <c r="D69" i="2"/>
  <c r="C246" i="2"/>
  <c r="A246" i="2"/>
  <c r="G186" i="2"/>
  <c r="F188" i="2" s="1"/>
  <c r="G243" i="2"/>
  <c r="G241" i="2" s="1"/>
  <c r="I243" i="2"/>
  <c r="I241" i="2" s="1"/>
  <c r="F216" i="2"/>
  <c r="F219" i="2" s="1"/>
  <c r="G244" i="2" s="1"/>
  <c r="C68" i="2"/>
  <c r="C78" i="2" l="1"/>
  <c r="C79" i="2"/>
  <c r="C77" i="2"/>
  <c r="C80" i="2"/>
  <c r="H183" i="2"/>
  <c r="H186" i="2"/>
  <c r="F187" i="2"/>
  <c r="G188" i="2"/>
  <c r="G187" i="2"/>
  <c r="G189" i="2" s="1"/>
  <c r="I189" i="2" s="1"/>
  <c r="H180" i="2"/>
  <c r="G182" i="2"/>
  <c r="G181" i="2"/>
  <c r="F182" i="2"/>
  <c r="R168" i="2" l="1"/>
  <c r="B35" i="2"/>
  <c r="A105" i="1" s="1"/>
  <c r="M235" i="2"/>
  <c r="F232" i="2" s="1"/>
  <c r="F184" i="2"/>
  <c r="F189" i="2"/>
  <c r="G190" i="2"/>
  <c r="G183" i="2"/>
  <c r="I183" i="2" s="1"/>
  <c r="B27" i="2"/>
  <c r="H189" i="2" l="1"/>
  <c r="F190" i="2" s="1"/>
  <c r="G242" i="2" s="1"/>
  <c r="V60" i="2"/>
  <c r="G112" i="2"/>
  <c r="F112" i="2" s="1"/>
  <c r="G117" i="2"/>
  <c r="F117" i="2" s="1"/>
  <c r="H184" i="2"/>
  <c r="G184" i="2"/>
  <c r="I242" i="2" s="1"/>
  <c r="G113" i="2"/>
  <c r="F113" i="2" s="1"/>
  <c r="G114" i="2"/>
  <c r="F114" i="2" s="1"/>
  <c r="G115" i="2"/>
  <c r="F115" i="2" s="1"/>
  <c r="G118" i="2"/>
  <c r="F118" i="2" s="1"/>
  <c r="G119" i="2"/>
  <c r="F119" i="2" s="1"/>
  <c r="G116" i="2"/>
  <c r="F116" i="2" s="1"/>
  <c r="D21" i="2" l="1"/>
  <c r="C20" i="2"/>
  <c r="D20" i="2" s="1"/>
  <c r="H40" i="5" l="1"/>
  <c r="B25" i="2" l="1"/>
  <c r="B97" i="2"/>
  <c r="B108" i="2" s="1"/>
  <c r="H57" i="2" l="1"/>
  <c r="A209" i="1" s="1"/>
  <c r="G86" i="9"/>
  <c r="F28" i="2"/>
  <c r="P21" i="3" s="1"/>
  <c r="I112" i="2"/>
  <c r="M7" i="8"/>
  <c r="M12" i="8" s="1"/>
  <c r="G23" i="27" l="1"/>
  <c r="S21" i="3"/>
  <c r="O21" i="3"/>
  <c r="N21" i="3"/>
  <c r="M21" i="3"/>
  <c r="L21" i="3"/>
  <c r="K21" i="3"/>
  <c r="G28" i="2" s="1"/>
  <c r="E258" i="3" s="1"/>
  <c r="G87" i="9"/>
  <c r="G27" i="9"/>
  <c r="N44" i="2"/>
  <c r="A166" i="1" s="1"/>
  <c r="L28" i="2"/>
  <c r="B80" i="3"/>
  <c r="L10" i="8"/>
  <c r="L8" i="8"/>
  <c r="E262" i="3" l="1"/>
  <c r="E256" i="3"/>
  <c r="E255" i="3"/>
  <c r="E260" i="3"/>
  <c r="E254" i="3"/>
  <c r="E259" i="3"/>
  <c r="E253" i="3"/>
  <c r="E252" i="3"/>
  <c r="E257" i="3"/>
  <c r="E261" i="3"/>
  <c r="H252" i="3"/>
  <c r="A88" i="1" s="1"/>
  <c r="H253" i="3"/>
  <c r="A89" i="1" s="1"/>
  <c r="L5" i="10"/>
  <c r="J41" i="2"/>
  <c r="E86" i="9"/>
  <c r="J87" i="9" s="1"/>
  <c r="I27" i="5"/>
  <c r="H27" i="5"/>
  <c r="E87" i="9" l="1"/>
  <c r="E23" i="27"/>
  <c r="E27" i="9"/>
  <c r="C5" i="10"/>
  <c r="H69" i="10" s="1"/>
  <c r="D6" i="10"/>
  <c r="G5" i="10"/>
  <c r="F6" i="10"/>
  <c r="F5" i="10"/>
  <c r="E5" i="10"/>
  <c r="B6" i="10"/>
  <c r="B5" i="10"/>
  <c r="D5" i="10"/>
  <c r="E6" i="10"/>
  <c r="G6" i="10"/>
  <c r="C7" i="10"/>
  <c r="H92" i="10" s="1"/>
  <c r="C6" i="10"/>
  <c r="K49" i="10" s="1"/>
  <c r="F7" i="10"/>
  <c r="A196" i="1"/>
  <c r="AE69" i="2"/>
  <c r="B167" i="2"/>
  <c r="K15" i="7"/>
  <c r="M66" i="2"/>
  <c r="A235" i="1" s="1"/>
  <c r="B21" i="2"/>
  <c r="F19" i="2" l="1"/>
  <c r="H19" i="2" s="1"/>
  <c r="A206" i="1" s="1"/>
  <c r="J71" i="10"/>
  <c r="F22" i="2"/>
  <c r="J7" i="3" s="1"/>
  <c r="H22" i="2" s="1"/>
  <c r="I92" i="10"/>
  <c r="M29" i="10"/>
  <c r="L92" i="10"/>
  <c r="K29" i="10"/>
  <c r="I29" i="10"/>
  <c r="L71" i="10"/>
  <c r="M71" i="10"/>
  <c r="K71" i="10"/>
  <c r="M50" i="10"/>
  <c r="H71" i="10"/>
  <c r="L29" i="10"/>
  <c r="I50" i="10"/>
  <c r="M92" i="10"/>
  <c r="L50" i="10"/>
  <c r="H50" i="10"/>
  <c r="K92" i="10"/>
  <c r="K50" i="10"/>
  <c r="T7" i="2"/>
  <c r="E108" i="2"/>
  <c r="I71" i="10"/>
  <c r="H29" i="10"/>
  <c r="I69" i="10"/>
  <c r="K91" i="10"/>
  <c r="M69" i="10"/>
  <c r="I70" i="10"/>
  <c r="L27" i="10"/>
  <c r="M48" i="10"/>
  <c r="H91" i="10"/>
  <c r="M91" i="10"/>
  <c r="L49" i="10"/>
  <c r="I28" i="10"/>
  <c r="L70" i="10"/>
  <c r="L91" i="10"/>
  <c r="I49" i="10"/>
  <c r="M70" i="10"/>
  <c r="J49" i="10"/>
  <c r="M49" i="10"/>
  <c r="M28" i="10"/>
  <c r="H49" i="10"/>
  <c r="J70" i="10"/>
  <c r="J91" i="10"/>
  <c r="H70" i="10"/>
  <c r="H28" i="10"/>
  <c r="J28" i="10"/>
  <c r="L28" i="10"/>
  <c r="K28" i="10"/>
  <c r="K70" i="10"/>
  <c r="I91" i="10"/>
  <c r="K48" i="10"/>
  <c r="H48" i="10"/>
  <c r="J27" i="10"/>
  <c r="L48" i="10"/>
  <c r="K69" i="10"/>
  <c r="K27" i="10"/>
  <c r="M27" i="10"/>
  <c r="L90" i="10"/>
  <c r="H90" i="10"/>
  <c r="I90" i="10"/>
  <c r="I48" i="10"/>
  <c r="I27" i="10"/>
  <c r="J90" i="10"/>
  <c r="J69" i="10"/>
  <c r="L69" i="10"/>
  <c r="H27" i="10"/>
  <c r="M90" i="10"/>
  <c r="K90" i="10"/>
  <c r="J48" i="10"/>
  <c r="AC21" i="18"/>
  <c r="Y13" i="7"/>
  <c r="Z13" i="7"/>
  <c r="K7" i="2"/>
  <c r="A115" i="1"/>
  <c r="I38" i="5"/>
  <c r="H38" i="5" s="1"/>
  <c r="D112" i="2"/>
  <c r="L22" i="2" l="1"/>
  <c r="AC14" i="18"/>
  <c r="AA13" i="7"/>
  <c r="AB14" i="18"/>
  <c r="P35" i="7"/>
  <c r="A376" i="1" s="1"/>
  <c r="B48" i="2"/>
  <c r="A14" i="1" s="1"/>
  <c r="B50" i="2"/>
  <c r="C74" i="2" s="1"/>
  <c r="C49" i="2"/>
  <c r="A111" i="1" s="1"/>
  <c r="B49" i="2"/>
  <c r="A16" i="1" s="1"/>
  <c r="C48" i="2"/>
  <c r="B72" i="2"/>
  <c r="T76" i="2" l="1"/>
  <c r="U79" i="2"/>
  <c r="S70" i="2"/>
  <c r="T74" i="2"/>
  <c r="U74" i="2" s="1"/>
  <c r="T70" i="2"/>
  <c r="AD14" i="18"/>
  <c r="S35" i="7"/>
  <c r="A366" i="1" s="1"/>
  <c r="AE68" i="2"/>
  <c r="A15" i="1"/>
  <c r="B77" i="2"/>
  <c r="F176" i="2"/>
  <c r="F16" i="15" s="1"/>
  <c r="A99" i="1"/>
  <c r="B84" i="2"/>
  <c r="B82" i="2"/>
  <c r="B79" i="2"/>
  <c r="B80" i="2"/>
  <c r="B78" i="2"/>
  <c r="B81" i="2"/>
  <c r="B83" i="2"/>
  <c r="A112" i="1"/>
  <c r="A110" i="1"/>
  <c r="A106" i="1"/>
  <c r="D15" i="7"/>
  <c r="T79" i="2" l="1"/>
  <c r="V79" i="2"/>
  <c r="C4" i="7"/>
  <c r="E4" i="7"/>
  <c r="L296" i="2"/>
  <c r="M294" i="2" s="1"/>
  <c r="Z96" i="2"/>
  <c r="Z97" i="2"/>
  <c r="A363" i="1"/>
  <c r="X21" i="18"/>
  <c r="A62" i="1"/>
  <c r="A108" i="1"/>
  <c r="A109" i="1"/>
  <c r="AA97" i="2" l="1"/>
  <c r="AD13" i="7" s="1"/>
  <c r="AA96" i="2"/>
  <c r="AD12" i="7" s="1"/>
  <c r="A107" i="1"/>
  <c r="A39" i="1"/>
  <c r="U93" i="2"/>
  <c r="A79" i="1" s="1"/>
  <c r="U92" i="2"/>
  <c r="A78" i="1" s="1"/>
  <c r="AI13" i="18" l="1"/>
  <c r="G14" i="9"/>
  <c r="AI14" i="18"/>
  <c r="G15" i="9"/>
  <c r="B34" i="2"/>
  <c r="A169" i="1" l="1"/>
  <c r="Z70" i="2"/>
  <c r="AB12" i="7"/>
  <c r="Z12" i="7"/>
  <c r="AC13" i="18" s="1"/>
  <c r="Y12" i="7"/>
  <c r="X12" i="7"/>
  <c r="AA13" i="18" s="1"/>
  <c r="T12" i="7"/>
  <c r="P12" i="7"/>
  <c r="Q13" i="18" s="1"/>
  <c r="K12" i="7"/>
  <c r="H12" i="7"/>
  <c r="I13" i="18" s="1"/>
  <c r="F12" i="7"/>
  <c r="G13" i="18" s="1"/>
  <c r="D12" i="7"/>
  <c r="E13" i="18" s="1"/>
  <c r="L12" i="7" l="1"/>
  <c r="L13" i="18"/>
  <c r="M13" i="18" s="1"/>
  <c r="AB13" i="18"/>
  <c r="P34" i="7"/>
  <c r="A384" i="1" s="1"/>
  <c r="AA12" i="7"/>
  <c r="AD13" i="18" l="1"/>
  <c r="S34" i="7"/>
  <c r="A374" i="1" s="1"/>
  <c r="A26" i="1"/>
  <c r="E283" i="2" l="1"/>
  <c r="C10" i="18"/>
  <c r="B26" i="2"/>
  <c r="P148" i="2" s="1"/>
  <c r="L66" i="2" l="1"/>
  <c r="T53" i="10"/>
  <c r="F16" i="2"/>
  <c r="D52" i="3" s="1"/>
  <c r="G108" i="2"/>
  <c r="F25" i="2" s="1"/>
  <c r="J72" i="3" s="1"/>
  <c r="H108" i="2"/>
  <c r="F34" i="2" s="1"/>
  <c r="A234" i="1"/>
  <c r="P168" i="2"/>
  <c r="E296" i="2"/>
  <c r="H20" i="15" s="1"/>
  <c r="H298" i="2"/>
  <c r="A44" i="1" s="1"/>
  <c r="H296" i="2"/>
  <c r="A41" i="1" s="1"/>
  <c r="J170" i="2"/>
  <c r="J169" i="2" s="1"/>
  <c r="G79" i="2"/>
  <c r="A259" i="1" s="1"/>
  <c r="F79" i="2"/>
  <c r="A258" i="1" s="1"/>
  <c r="L168" i="2"/>
  <c r="C5" i="2"/>
  <c r="D108" i="2"/>
  <c r="F284" i="2"/>
  <c r="G282" i="2"/>
  <c r="J283" i="2"/>
  <c r="O168" i="2"/>
  <c r="A12" i="1" s="1"/>
  <c r="D70" i="3"/>
  <c r="D62" i="3"/>
  <c r="G66" i="2"/>
  <c r="G298" i="2"/>
  <c r="A43" i="1" s="1"/>
  <c r="I296" i="2"/>
  <c r="A45" i="1" s="1"/>
  <c r="I298" i="2"/>
  <c r="A46" i="1" s="1"/>
  <c r="G296" i="2"/>
  <c r="A40" i="1" s="1"/>
  <c r="H164" i="2"/>
  <c r="A61" i="1" s="1"/>
  <c r="G164" i="2"/>
  <c r="F296" i="2"/>
  <c r="A38" i="1" s="1"/>
  <c r="F298" i="2"/>
  <c r="A42" i="1" s="1"/>
  <c r="N168" i="2"/>
  <c r="A226" i="1" s="1"/>
  <c r="G31" i="7"/>
  <c r="G240" i="2"/>
  <c r="C6" i="2"/>
  <c r="D185" i="3"/>
  <c r="F72" i="2"/>
  <c r="A197" i="1" s="1"/>
  <c r="G75" i="2"/>
  <c r="A173" i="1" s="1"/>
  <c r="F75" i="2"/>
  <c r="A172" i="1" s="1"/>
  <c r="X9" i="7"/>
  <c r="AA10" i="18" s="1"/>
  <c r="F9" i="7"/>
  <c r="G10" i="18" s="1"/>
  <c r="H9" i="7"/>
  <c r="I10" i="18" s="1"/>
  <c r="D9" i="7"/>
  <c r="E10" i="18" s="1"/>
  <c r="P9" i="7"/>
  <c r="Q10" i="18" s="1"/>
  <c r="M296" i="2" l="1"/>
  <c r="A48" i="1" s="1"/>
  <c r="N296" i="2"/>
  <c r="A49" i="1" s="1"/>
  <c r="F171" i="2"/>
  <c r="A221" i="1" s="1"/>
  <c r="A227" i="1"/>
  <c r="A277" i="1"/>
  <c r="A37" i="1"/>
  <c r="E70" i="3"/>
  <c r="E72" i="3"/>
  <c r="H25" i="2" s="1"/>
  <c r="A229" i="1"/>
  <c r="D38" i="9"/>
  <c r="A60" i="1"/>
  <c r="F160" i="2"/>
  <c r="F161" i="2"/>
  <c r="D40" i="9" s="1"/>
  <c r="A222" i="1"/>
  <c r="A223" i="1"/>
  <c r="L282" i="2"/>
  <c r="K284" i="2"/>
  <c r="D72" i="3"/>
  <c r="I72" i="3"/>
  <c r="G72" i="3"/>
  <c r="J25" i="2" s="1"/>
  <c r="H72" i="3"/>
  <c r="K25" i="2" s="1"/>
  <c r="F72" i="3"/>
  <c r="I25" i="2" s="1"/>
  <c r="I66" i="2"/>
  <c r="A231" i="1" s="1"/>
  <c r="G25" i="2" l="1"/>
  <c r="Q25" i="2" s="1"/>
  <c r="A478" i="1" s="1"/>
  <c r="D41" i="9"/>
  <c r="G160" i="2"/>
  <c r="G18" i="16"/>
  <c r="G14" i="16"/>
  <c r="C15" i="10"/>
  <c r="L100" i="10" s="1"/>
  <c r="C14" i="10"/>
  <c r="A325" i="1"/>
  <c r="A323" i="1"/>
  <c r="D141" i="2"/>
  <c r="C141" i="2"/>
  <c r="D126" i="2"/>
  <c r="C126" i="2"/>
  <c r="A117" i="1" l="1"/>
  <c r="E41" i="9"/>
  <c r="I14" i="16"/>
  <c r="K37" i="10"/>
  <c r="H100" i="10"/>
  <c r="J79" i="10"/>
  <c r="K100" i="10"/>
  <c r="I79" i="10"/>
  <c r="L79" i="10"/>
  <c r="I58" i="10"/>
  <c r="K58" i="10"/>
  <c r="J37" i="10"/>
  <c r="L37" i="10"/>
  <c r="M79" i="10"/>
  <c r="J58" i="10"/>
  <c r="I100" i="10"/>
  <c r="I37" i="10"/>
  <c r="K79" i="10"/>
  <c r="H58" i="10"/>
  <c r="M37" i="10"/>
  <c r="M100" i="10"/>
  <c r="J100" i="10"/>
  <c r="H79" i="10"/>
  <c r="H37" i="10"/>
  <c r="L58" i="10"/>
  <c r="M58" i="10"/>
  <c r="M57" i="10"/>
  <c r="J57" i="10"/>
  <c r="K57" i="10"/>
  <c r="K62" i="10" s="1"/>
  <c r="G52" i="9" s="1"/>
  <c r="M99" i="10"/>
  <c r="K78" i="10"/>
  <c r="L57" i="10"/>
  <c r="K99" i="10"/>
  <c r="H99" i="10"/>
  <c r="M78" i="10"/>
  <c r="J78" i="10"/>
  <c r="H78" i="10"/>
  <c r="I57" i="10"/>
  <c r="L99" i="10"/>
  <c r="L104" i="10" s="1"/>
  <c r="G50" i="9" s="1"/>
  <c r="I99" i="10"/>
  <c r="L78" i="10"/>
  <c r="I78" i="10"/>
  <c r="H57" i="10"/>
  <c r="J99" i="10"/>
  <c r="L36" i="10"/>
  <c r="H36" i="10"/>
  <c r="J36" i="10"/>
  <c r="M36" i="10"/>
  <c r="K36" i="10"/>
  <c r="I36" i="10"/>
  <c r="A324" i="1"/>
  <c r="B6" i="2"/>
  <c r="A195" i="2"/>
  <c r="B36" i="2"/>
  <c r="A385" i="1" s="1"/>
  <c r="B32" i="2"/>
  <c r="B31" i="2"/>
  <c r="B28" i="2"/>
  <c r="L31" i="2" s="1"/>
  <c r="I111" i="2"/>
  <c r="B16" i="2"/>
  <c r="A81" i="1" s="1"/>
  <c r="B15" i="2"/>
  <c r="A80" i="1" s="1"/>
  <c r="B11" i="2"/>
  <c r="A84" i="1" s="1"/>
  <c r="A77" i="1"/>
  <c r="A76" i="1"/>
  <c r="I104" i="10" l="1"/>
  <c r="G59" i="9" s="1"/>
  <c r="H62" i="10"/>
  <c r="G61" i="9" s="1"/>
  <c r="J83" i="10"/>
  <c r="C109" i="2"/>
  <c r="C108" i="2" s="1"/>
  <c r="F31" i="2" s="1"/>
  <c r="H193" i="3"/>
  <c r="F148" i="2" s="1"/>
  <c r="G175" i="2"/>
  <c r="H12" i="15" s="1"/>
  <c r="A193" i="2"/>
  <c r="A192" i="2"/>
  <c r="A191" i="2"/>
  <c r="A194" i="2"/>
  <c r="H104" i="10"/>
  <c r="G62" i="9" s="1"/>
  <c r="K41" i="10"/>
  <c r="G51" i="9" s="1"/>
  <c r="K104" i="10"/>
  <c r="G53" i="9" s="1"/>
  <c r="H41" i="10"/>
  <c r="G60" i="9" s="1"/>
  <c r="L83" i="10"/>
  <c r="M83" i="10"/>
  <c r="M62" i="10"/>
  <c r="G46" i="9" s="1"/>
  <c r="M41" i="10"/>
  <c r="I83" i="10"/>
  <c r="K83" i="10"/>
  <c r="G64" i="9" s="1"/>
  <c r="I62" i="10"/>
  <c r="G58" i="9" s="1"/>
  <c r="M104" i="10"/>
  <c r="G47" i="9" s="1"/>
  <c r="I41" i="10"/>
  <c r="G57" i="9" s="1"/>
  <c r="H83" i="10"/>
  <c r="G63" i="9" s="1"/>
  <c r="L41" i="10"/>
  <c r="L62" i="10"/>
  <c r="G49" i="9" s="1"/>
  <c r="A260" i="1"/>
  <c r="Z67" i="2"/>
  <c r="A168" i="1"/>
  <c r="Z69" i="2"/>
  <c r="A271" i="1"/>
  <c r="Z68" i="2"/>
  <c r="B7" i="2"/>
  <c r="E285" i="2"/>
  <c r="E284" i="2"/>
  <c r="E281" i="2"/>
  <c r="E280" i="2"/>
  <c r="E279" i="2"/>
  <c r="B60" i="2"/>
  <c r="E185" i="3"/>
  <c r="H195" i="3"/>
  <c r="H148" i="2" s="1"/>
  <c r="A279" i="1" s="1"/>
  <c r="H194" i="3"/>
  <c r="G148" i="2" s="1"/>
  <c r="F174" i="2"/>
  <c r="F8" i="15" s="1"/>
  <c r="F152" i="2"/>
  <c r="E170" i="2"/>
  <c r="H12" i="5"/>
  <c r="I12" i="5"/>
  <c r="H31" i="5"/>
  <c r="I16" i="5"/>
  <c r="P16" i="5" s="1"/>
  <c r="Q16" i="5" s="1"/>
  <c r="I31" i="5"/>
  <c r="I43" i="5"/>
  <c r="H43" i="5" s="1"/>
  <c r="H16" i="5"/>
  <c r="O16" i="5" s="1"/>
  <c r="O87" i="2"/>
  <c r="M70" i="2"/>
  <c r="C5" i="18"/>
  <c r="C11" i="18"/>
  <c r="A82" i="1"/>
  <c r="A83" i="1"/>
  <c r="J162" i="3" l="1"/>
  <c r="J159" i="3"/>
  <c r="I155" i="2" s="1"/>
  <c r="W4" i="26" s="1"/>
  <c r="J161" i="3"/>
  <c r="J160" i="3"/>
  <c r="F155" i="2" s="1"/>
  <c r="J158" i="3"/>
  <c r="G155" i="2" s="1"/>
  <c r="U4" i="26" s="1"/>
  <c r="K12" i="3"/>
  <c r="I12" i="3"/>
  <c r="M12" i="3"/>
  <c r="J12" i="3"/>
  <c r="L12" i="3"/>
  <c r="H185" i="3"/>
  <c r="H187" i="3"/>
  <c r="G45" i="9"/>
  <c r="G48" i="9"/>
  <c r="G83" i="2"/>
  <c r="D26" i="7" s="1"/>
  <c r="A71" i="1"/>
  <c r="H155" i="2"/>
  <c r="V4" i="26" s="1"/>
  <c r="A68" i="1"/>
  <c r="G28" i="7"/>
  <c r="C7" i="18"/>
  <c r="G29" i="7"/>
  <c r="C8" i="18"/>
  <c r="G27" i="7"/>
  <c r="C6" i="18"/>
  <c r="G30" i="7"/>
  <c r="C9" i="18"/>
  <c r="G33" i="7"/>
  <c r="C12" i="18"/>
  <c r="A73" i="1"/>
  <c r="L148" i="2"/>
  <c r="J148" i="2"/>
  <c r="A281" i="1" s="1"/>
  <c r="K148" i="2"/>
  <c r="G152" i="2"/>
  <c r="A196" i="2"/>
  <c r="A190" i="2"/>
  <c r="C180" i="2" s="1"/>
  <c r="F175" i="2"/>
  <c r="F12" i="15" s="1"/>
  <c r="K8" i="2"/>
  <c r="B30" i="2"/>
  <c r="F281" i="2"/>
  <c r="J280" i="2"/>
  <c r="G279" i="2"/>
  <c r="G284" i="2"/>
  <c r="J285" i="2"/>
  <c r="L284" i="2" s="1"/>
  <c r="J279" i="2"/>
  <c r="K280" i="2" s="1"/>
  <c r="F280" i="2"/>
  <c r="G283" i="2"/>
  <c r="F285" i="2"/>
  <c r="J284" i="2"/>
  <c r="J281" i="2"/>
  <c r="F282" i="2"/>
  <c r="G280" i="2"/>
  <c r="A278" i="1"/>
  <c r="C61" i="2"/>
  <c r="B153" i="2"/>
  <c r="A52" i="2"/>
  <c r="A53" i="2" s="1"/>
  <c r="G32" i="7"/>
  <c r="Y4" i="7"/>
  <c r="H152" i="2"/>
  <c r="Z9" i="7"/>
  <c r="Y9" i="7"/>
  <c r="P7" i="7"/>
  <c r="Q8" i="18" s="1"/>
  <c r="Z7" i="7"/>
  <c r="AC8" i="18" s="1"/>
  <c r="Y7" i="7"/>
  <c r="F7" i="7"/>
  <c r="G8" i="18" s="1"/>
  <c r="X7" i="7"/>
  <c r="AA8" i="18" s="1"/>
  <c r="D7" i="7"/>
  <c r="E8" i="18" s="1"/>
  <c r="H7" i="7"/>
  <c r="I8" i="18" s="1"/>
  <c r="Z6" i="7"/>
  <c r="AC7" i="18" s="1"/>
  <c r="F6" i="7"/>
  <c r="G7" i="18" s="1"/>
  <c r="D6" i="7"/>
  <c r="E7" i="18" s="1"/>
  <c r="Y6" i="7"/>
  <c r="H6" i="7"/>
  <c r="I7" i="18" s="1"/>
  <c r="X6" i="7"/>
  <c r="AA7" i="18" s="1"/>
  <c r="P6" i="7"/>
  <c r="Q7" i="18" s="1"/>
  <c r="D8" i="7"/>
  <c r="E9" i="18" s="1"/>
  <c r="Z8" i="7"/>
  <c r="AC9" i="18" s="1"/>
  <c r="Y8" i="7"/>
  <c r="H8" i="7"/>
  <c r="I9" i="18" s="1"/>
  <c r="F8" i="7"/>
  <c r="G9" i="18" s="1"/>
  <c r="P8" i="7"/>
  <c r="Q9" i="18" s="1"/>
  <c r="X8" i="7"/>
  <c r="AA9" i="18" s="1"/>
  <c r="P10" i="7"/>
  <c r="Q11" i="18" s="1"/>
  <c r="X10" i="7"/>
  <c r="AA11" i="18" s="1"/>
  <c r="F10" i="7"/>
  <c r="G11" i="18" s="1"/>
  <c r="Z10" i="7"/>
  <c r="AC11" i="18" s="1"/>
  <c r="D10" i="7"/>
  <c r="E11" i="18" s="1"/>
  <c r="Y10" i="7"/>
  <c r="H10" i="7"/>
  <c r="I11" i="18" s="1"/>
  <c r="Y11" i="7"/>
  <c r="H11" i="7"/>
  <c r="I12" i="18" s="1"/>
  <c r="P11" i="7"/>
  <c r="Q12" i="18" s="1"/>
  <c r="D11" i="7"/>
  <c r="E12" i="18" s="1"/>
  <c r="X11" i="7"/>
  <c r="AA12" i="18" s="1"/>
  <c r="F11" i="7"/>
  <c r="G12" i="18" s="1"/>
  <c r="Z11" i="7"/>
  <c r="AC12" i="18" s="1"/>
  <c r="Y5" i="7"/>
  <c r="H5" i="7"/>
  <c r="I6" i="18" s="1"/>
  <c r="D5" i="7"/>
  <c r="E6" i="18" s="1"/>
  <c r="P5" i="7"/>
  <c r="Q6" i="18" s="1"/>
  <c r="Z5" i="7"/>
  <c r="AC6" i="18" s="1"/>
  <c r="X5" i="7"/>
  <c r="AA6" i="18" s="1"/>
  <c r="F5" i="7"/>
  <c r="G6" i="18" s="1"/>
  <c r="X4" i="7"/>
  <c r="AA5" i="18" s="1"/>
  <c r="G4" i="7"/>
  <c r="H4" i="7"/>
  <c r="I5" i="18" s="1"/>
  <c r="G5" i="18"/>
  <c r="R4" i="7"/>
  <c r="S5" i="18" s="1"/>
  <c r="P4" i="7"/>
  <c r="Q5" i="18" s="1"/>
  <c r="E5" i="18"/>
  <c r="Z4" i="7"/>
  <c r="V26" i="7" s="1"/>
  <c r="C12" i="7"/>
  <c r="Y34" i="7" s="1"/>
  <c r="A310" i="1" s="1"/>
  <c r="Q60" i="2"/>
  <c r="A20" i="1" s="1"/>
  <c r="P60" i="2"/>
  <c r="A19" i="1" s="1"/>
  <c r="C31" i="2"/>
  <c r="C34" i="2"/>
  <c r="C33" i="2"/>
  <c r="AA69" i="2" s="1"/>
  <c r="C177" i="2" l="1"/>
  <c r="T4" i="26"/>
  <c r="L12" i="10"/>
  <c r="P8" i="2"/>
  <c r="I60" i="2"/>
  <c r="D5" i="18"/>
  <c r="R13" i="7"/>
  <c r="C13" i="7"/>
  <c r="F5" i="18"/>
  <c r="E13" i="7"/>
  <c r="F14" i="18" s="1"/>
  <c r="H5" i="18"/>
  <c r="G13" i="7"/>
  <c r="H14" i="18" s="1"/>
  <c r="J5" i="18"/>
  <c r="AE5" i="18" s="1"/>
  <c r="D13" i="20" a="1"/>
  <c r="F13" i="20" s="1"/>
  <c r="Z58" i="10" s="1"/>
  <c r="H83" i="2"/>
  <c r="F149" i="2"/>
  <c r="P26" i="7"/>
  <c r="A375" i="1" s="1"/>
  <c r="AB5" i="18"/>
  <c r="P27" i="7"/>
  <c r="A377" i="1" s="1"/>
  <c r="AB6" i="18"/>
  <c r="P31" i="7"/>
  <c r="A381" i="1" s="1"/>
  <c r="AB10" i="18"/>
  <c r="P33" i="7"/>
  <c r="A383" i="1" s="1"/>
  <c r="AB12" i="18"/>
  <c r="P30" i="7"/>
  <c r="A380" i="1" s="1"/>
  <c r="AB9" i="18"/>
  <c r="P28" i="7"/>
  <c r="A378" i="1" s="1"/>
  <c r="AB7" i="18"/>
  <c r="AA9" i="7"/>
  <c r="AC10" i="18"/>
  <c r="A364" i="1"/>
  <c r="AC5" i="18"/>
  <c r="P32" i="7"/>
  <c r="A382" i="1" s="1"/>
  <c r="AB11" i="18"/>
  <c r="P29" i="7"/>
  <c r="A379" i="1" s="1"/>
  <c r="AB8" i="18"/>
  <c r="A70" i="1"/>
  <c r="C179" i="2"/>
  <c r="C185" i="2"/>
  <c r="C182" i="2"/>
  <c r="C183" i="2"/>
  <c r="C186" i="2"/>
  <c r="C181" i="2"/>
  <c r="C184" i="2"/>
  <c r="I340" i="2"/>
  <c r="G340" i="2"/>
  <c r="H340" i="2"/>
  <c r="F340" i="2"/>
  <c r="A343" i="1"/>
  <c r="B62" i="2"/>
  <c r="AA70" i="2"/>
  <c r="C274" i="2"/>
  <c r="C273" i="2"/>
  <c r="L280" i="2"/>
  <c r="K282" i="2"/>
  <c r="L283" i="2"/>
  <c r="K285" i="2"/>
  <c r="L279" i="2"/>
  <c r="K281" i="2"/>
  <c r="G156" i="2"/>
  <c r="A180" i="2"/>
  <c r="A186" i="2"/>
  <c r="A181" i="2"/>
  <c r="A179" i="2"/>
  <c r="A183" i="2"/>
  <c r="A184" i="2"/>
  <c r="A182" i="2"/>
  <c r="A185" i="2"/>
  <c r="B63" i="2"/>
  <c r="Z85" i="2" s="1"/>
  <c r="C10" i="7"/>
  <c r="D13" i="18"/>
  <c r="R12" i="7"/>
  <c r="S13" i="18" s="1"/>
  <c r="E9" i="7"/>
  <c r="F10" i="18" s="1"/>
  <c r="E12" i="7"/>
  <c r="F13" i="18" s="1"/>
  <c r="G9" i="7"/>
  <c r="H10" i="18" s="1"/>
  <c r="G12" i="7"/>
  <c r="H13" i="18" s="1"/>
  <c r="A54" i="2"/>
  <c r="A282" i="1"/>
  <c r="A283" i="1"/>
  <c r="F156" i="2"/>
  <c r="R11" i="7"/>
  <c r="Y26" i="7"/>
  <c r="A301" i="1" s="1"/>
  <c r="Q4" i="7"/>
  <c r="AA5" i="7"/>
  <c r="AA7" i="7"/>
  <c r="AA8" i="7"/>
  <c r="E6" i="7"/>
  <c r="F7" i="18" s="1"/>
  <c r="AA11" i="7"/>
  <c r="S33" i="7" s="1"/>
  <c r="E10" i="7"/>
  <c r="F11" i="18" s="1"/>
  <c r="E11" i="7"/>
  <c r="F12" i="18" s="1"/>
  <c r="G10" i="7"/>
  <c r="H11" i="18" s="1"/>
  <c r="AA6" i="7"/>
  <c r="C7" i="7"/>
  <c r="AA4" i="7"/>
  <c r="C11" i="7"/>
  <c r="AA10" i="7"/>
  <c r="E8" i="7"/>
  <c r="F9" i="18" s="1"/>
  <c r="R7" i="7"/>
  <c r="G5" i="7"/>
  <c r="H6" i="18" s="1"/>
  <c r="G8" i="7"/>
  <c r="H9" i="18" s="1"/>
  <c r="E7" i="7"/>
  <c r="F8" i="18" s="1"/>
  <c r="R10" i="7"/>
  <c r="R8" i="7"/>
  <c r="R5" i="7"/>
  <c r="G7" i="7"/>
  <c r="H8" i="18" s="1"/>
  <c r="S4" i="7"/>
  <c r="E5" i="7"/>
  <c r="F6" i="18" s="1"/>
  <c r="G6" i="7"/>
  <c r="H7" i="18" s="1"/>
  <c r="C9" i="7"/>
  <c r="R9" i="7"/>
  <c r="S10" i="18" s="1"/>
  <c r="C5" i="7"/>
  <c r="G11" i="7"/>
  <c r="H12" i="18" s="1"/>
  <c r="C8" i="7"/>
  <c r="C6" i="7"/>
  <c r="R6" i="7"/>
  <c r="G60" i="2"/>
  <c r="A18" i="1" s="1"/>
  <c r="T8" i="2"/>
  <c r="J149" i="2" l="1"/>
  <c r="G149" i="2"/>
  <c r="A284" i="1" s="1"/>
  <c r="P22" i="10"/>
  <c r="P13" i="10"/>
  <c r="U5" i="18"/>
  <c r="A55" i="2"/>
  <c r="B52" i="2" s="1"/>
  <c r="B58" i="2" s="1"/>
  <c r="Z84" i="2"/>
  <c r="D14" i="18"/>
  <c r="Y35" i="7"/>
  <c r="A302" i="1" s="1"/>
  <c r="Q13" i="7"/>
  <c r="S14" i="18"/>
  <c r="S13" i="7"/>
  <c r="K5" i="18"/>
  <c r="W5" i="18" s="1"/>
  <c r="Z99" i="10"/>
  <c r="Z68" i="10"/>
  <c r="Z78" i="10" s="1"/>
  <c r="Z88" i="10" s="1"/>
  <c r="Z98" i="10" s="1"/>
  <c r="M13" i="20"/>
  <c r="AG58" i="10" s="1"/>
  <c r="N13" i="20"/>
  <c r="AH58" i="10" s="1"/>
  <c r="L13" i="20"/>
  <c r="AF58" i="10" s="1"/>
  <c r="I13" i="20"/>
  <c r="AC58" i="10" s="1"/>
  <c r="J13" i="20"/>
  <c r="AD58" i="10" s="1"/>
  <c r="O13" i="20"/>
  <c r="AI58" i="10" s="1"/>
  <c r="H13" i="20"/>
  <c r="AB58" i="10" s="1"/>
  <c r="G13" i="20"/>
  <c r="AA58" i="10" s="1"/>
  <c r="E13" i="20"/>
  <c r="Y58" i="10" s="1"/>
  <c r="D13" i="20"/>
  <c r="K13" i="20"/>
  <c r="AE58" i="10" s="1"/>
  <c r="B154" i="2"/>
  <c r="F83" i="2"/>
  <c r="E83" i="2" s="1"/>
  <c r="AC101" i="2" s="1"/>
  <c r="J326" i="2"/>
  <c r="J340" i="2"/>
  <c r="G326" i="2"/>
  <c r="B190" i="2"/>
  <c r="S6" i="7"/>
  <c r="S7" i="18"/>
  <c r="Y32" i="7"/>
  <c r="A308" i="1" s="1"/>
  <c r="D11" i="18"/>
  <c r="S5" i="7"/>
  <c r="S6" i="18"/>
  <c r="S30" i="7"/>
  <c r="A370" i="1" s="1"/>
  <c r="AD9" i="18"/>
  <c r="Y31" i="7"/>
  <c r="A307" i="1" s="1"/>
  <c r="D10" i="18"/>
  <c r="S8" i="7"/>
  <c r="S9" i="18"/>
  <c r="S29" i="7"/>
  <c r="A369" i="1" s="1"/>
  <c r="AD8" i="18"/>
  <c r="Y28" i="7"/>
  <c r="A304" i="1" s="1"/>
  <c r="D7" i="18"/>
  <c r="S10" i="7"/>
  <c r="S11" i="18"/>
  <c r="S32" i="7"/>
  <c r="A372" i="1" s="1"/>
  <c r="AD11" i="18"/>
  <c r="S27" i="7"/>
  <c r="A367" i="1" s="1"/>
  <c r="AD6" i="18"/>
  <c r="S7" i="7"/>
  <c r="S8" i="18"/>
  <c r="Y33" i="7"/>
  <c r="A309" i="1" s="1"/>
  <c r="D12" i="18"/>
  <c r="M26" i="7"/>
  <c r="S54" i="10" s="1"/>
  <c r="R5" i="18"/>
  <c r="S28" i="7"/>
  <c r="A368" i="1" s="1"/>
  <c r="AD7" i="18"/>
  <c r="Y30" i="7"/>
  <c r="A306" i="1" s="1"/>
  <c r="D9" i="18"/>
  <c r="J26" i="7"/>
  <c r="A291" i="1" s="1"/>
  <c r="T5" i="18"/>
  <c r="S26" i="7"/>
  <c r="A365" i="1" s="1"/>
  <c r="AD5" i="18"/>
  <c r="A373" i="1"/>
  <c r="AD12" i="18"/>
  <c r="Y27" i="7"/>
  <c r="A303" i="1" s="1"/>
  <c r="D6" i="18"/>
  <c r="Y29" i="7"/>
  <c r="A305" i="1" s="1"/>
  <c r="D8" i="18"/>
  <c r="S11" i="7"/>
  <c r="S12" i="18"/>
  <c r="S31" i="7"/>
  <c r="A371" i="1" s="1"/>
  <c r="AD10" i="18"/>
  <c r="B196" i="2"/>
  <c r="L355" i="2"/>
  <c r="L356" i="2" s="1"/>
  <c r="F355" i="2"/>
  <c r="F356" i="2" s="1"/>
  <c r="I355" i="2"/>
  <c r="I356" i="2" s="1"/>
  <c r="P355" i="2"/>
  <c r="P356" i="2" s="1"/>
  <c r="O355" i="2"/>
  <c r="O356" i="2" s="1"/>
  <c r="N355" i="2"/>
  <c r="N356" i="2" s="1"/>
  <c r="H355" i="2"/>
  <c r="H356" i="2" s="1"/>
  <c r="M355" i="2"/>
  <c r="M356" i="2" s="1"/>
  <c r="G355" i="2"/>
  <c r="G356" i="2" s="1"/>
  <c r="K355" i="2"/>
  <c r="K356" i="2" s="1"/>
  <c r="J355" i="2"/>
  <c r="J356" i="2" s="1"/>
  <c r="E355" i="2"/>
  <c r="E356" i="2" s="1"/>
  <c r="F326" i="2"/>
  <c r="I326" i="2"/>
  <c r="H326" i="2"/>
  <c r="T30" i="10"/>
  <c r="F344" i="2"/>
  <c r="AB70" i="2"/>
  <c r="P10" i="10"/>
  <c r="P16" i="10"/>
  <c r="R16" i="10" s="1"/>
  <c r="S16" i="10" s="1"/>
  <c r="U16" i="10" s="1"/>
  <c r="R13" i="10"/>
  <c r="S13" i="10" s="1"/>
  <c r="U13" i="10" s="1"/>
  <c r="S7" i="10"/>
  <c r="U7" i="10" s="1"/>
  <c r="P7" i="10"/>
  <c r="P19" i="10"/>
  <c r="R19" i="10" s="1"/>
  <c r="S19" i="10" s="1"/>
  <c r="U19" i="10" s="1"/>
  <c r="R7" i="10"/>
  <c r="K149" i="2"/>
  <c r="A263" i="1" s="1"/>
  <c r="L149" i="2"/>
  <c r="A264" i="1" s="1"/>
  <c r="B194" i="2"/>
  <c r="B183" i="2"/>
  <c r="B191" i="2"/>
  <c r="B180" i="2"/>
  <c r="B181" i="2"/>
  <c r="B192" i="2"/>
  <c r="B186" i="2"/>
  <c r="B197" i="2"/>
  <c r="B184" i="2"/>
  <c r="B195" i="2"/>
  <c r="B182" i="2"/>
  <c r="B193" i="2"/>
  <c r="B185" i="2"/>
  <c r="A262" i="1"/>
  <c r="Q12" i="7"/>
  <c r="S12" i="7"/>
  <c r="Q11" i="7"/>
  <c r="Q10" i="7"/>
  <c r="Q5" i="7"/>
  <c r="Q7" i="7"/>
  <c r="Q6" i="7"/>
  <c r="Q8" i="7"/>
  <c r="S9" i="7"/>
  <c r="Q9" i="7"/>
  <c r="G54" i="2"/>
  <c r="A175" i="1" s="1"/>
  <c r="M149" i="2" l="1"/>
  <c r="R22" i="10"/>
  <c r="B7" i="10"/>
  <c r="P60" i="10"/>
  <c r="Z88" i="2"/>
  <c r="AA88" i="2" s="1"/>
  <c r="AD4" i="7" s="1"/>
  <c r="R13" i="18"/>
  <c r="M34" i="7"/>
  <c r="A320" i="1" s="1"/>
  <c r="T14" i="18"/>
  <c r="J35" i="7"/>
  <c r="A292" i="1" s="1"/>
  <c r="R14" i="18"/>
  <c r="M35" i="7"/>
  <c r="A312" i="1" s="1"/>
  <c r="T13" i="18"/>
  <c r="J34" i="7"/>
  <c r="A300" i="1" s="1"/>
  <c r="AG5" i="18"/>
  <c r="I4" i="7"/>
  <c r="K4" i="7" s="1"/>
  <c r="L5" i="18" s="1"/>
  <c r="AI79" i="10"/>
  <c r="AI68" i="10"/>
  <c r="AI78" i="10" s="1"/>
  <c r="AI88" i="10" s="1"/>
  <c r="AI98" i="10" s="1"/>
  <c r="AI59" i="10"/>
  <c r="AI69" i="10"/>
  <c r="AI89" i="10"/>
  <c r="AI99" i="10"/>
  <c r="AE99" i="10"/>
  <c r="AE79" i="10"/>
  <c r="AE69" i="10"/>
  <c r="AE68" i="10"/>
  <c r="AE78" i="10" s="1"/>
  <c r="AE88" i="10" s="1"/>
  <c r="AE98" i="10" s="1"/>
  <c r="AE89" i="10"/>
  <c r="AD89" i="10"/>
  <c r="AD99" i="10"/>
  <c r="AD79" i="10"/>
  <c r="AD68" i="10"/>
  <c r="AD78" i="10" s="1"/>
  <c r="AD88" i="10" s="1"/>
  <c r="AD98" i="10" s="1"/>
  <c r="AD69" i="10"/>
  <c r="P64" i="10"/>
  <c r="P61" i="10"/>
  <c r="P62" i="10"/>
  <c r="P63" i="10"/>
  <c r="X58" i="10"/>
  <c r="AC99" i="10"/>
  <c r="AC89" i="10"/>
  <c r="AC79" i="10"/>
  <c r="AC68" i="10"/>
  <c r="AC78" i="10" s="1"/>
  <c r="AC88" i="10" s="1"/>
  <c r="AC98" i="10" s="1"/>
  <c r="Y99" i="10"/>
  <c r="Y68" i="10"/>
  <c r="Y78" i="10" s="1"/>
  <c r="Y88" i="10" s="1"/>
  <c r="Y98" i="10" s="1"/>
  <c r="AF89" i="10"/>
  <c r="AF99" i="10"/>
  <c r="AF79" i="10"/>
  <c r="AF68" i="10"/>
  <c r="AF78" i="10" s="1"/>
  <c r="AF88" i="10" s="1"/>
  <c r="AF98" i="10" s="1"/>
  <c r="AF69" i="10"/>
  <c r="AA99" i="10"/>
  <c r="AA68" i="10"/>
  <c r="AA78" i="10" s="1"/>
  <c r="AA88" i="10" s="1"/>
  <c r="AA98" i="10" s="1"/>
  <c r="AH89" i="10"/>
  <c r="AH69" i="10"/>
  <c r="AH99" i="10"/>
  <c r="AH79" i="10"/>
  <c r="AH59" i="10"/>
  <c r="AH68" i="10"/>
  <c r="AH78" i="10" s="1"/>
  <c r="AH88" i="10" s="1"/>
  <c r="AH98" i="10" s="1"/>
  <c r="AB89" i="10"/>
  <c r="AB68" i="10"/>
  <c r="AB78" i="10" s="1"/>
  <c r="AB88" i="10" s="1"/>
  <c r="AB98" i="10" s="1"/>
  <c r="AB99" i="10"/>
  <c r="AB79" i="10"/>
  <c r="AG89" i="10"/>
  <c r="AG68" i="10"/>
  <c r="AG78" i="10" s="1"/>
  <c r="AG88" i="10" s="1"/>
  <c r="AG98" i="10" s="1"/>
  <c r="AG99" i="10"/>
  <c r="AG79" i="10"/>
  <c r="AG69" i="10"/>
  <c r="J327" i="2"/>
  <c r="I327" i="2"/>
  <c r="H327" i="2"/>
  <c r="A311" i="1"/>
  <c r="M28" i="7"/>
  <c r="A314" i="1" s="1"/>
  <c r="R7" i="18"/>
  <c r="J29" i="7"/>
  <c r="A295" i="1" s="1"/>
  <c r="T8" i="18"/>
  <c r="J32" i="7"/>
  <c r="A298" i="1" s="1"/>
  <c r="T11" i="18"/>
  <c r="J30" i="7"/>
  <c r="A296" i="1" s="1"/>
  <c r="T9" i="18"/>
  <c r="J27" i="7"/>
  <c r="A293" i="1" s="1"/>
  <c r="T6" i="18"/>
  <c r="M27" i="7"/>
  <c r="A313" i="1" s="1"/>
  <c r="R6" i="18"/>
  <c r="M31" i="7"/>
  <c r="A317" i="1" s="1"/>
  <c r="R10" i="18"/>
  <c r="M32" i="7"/>
  <c r="A318" i="1" s="1"/>
  <c r="R11" i="18"/>
  <c r="J31" i="7"/>
  <c r="A297" i="1" s="1"/>
  <c r="T10" i="18"/>
  <c r="M33" i="7"/>
  <c r="A319" i="1" s="1"/>
  <c r="R12" i="18"/>
  <c r="M29" i="7"/>
  <c r="A315" i="1" s="1"/>
  <c r="R8" i="18"/>
  <c r="M30" i="7"/>
  <c r="A316" i="1" s="1"/>
  <c r="R9" i="18"/>
  <c r="J33" i="7"/>
  <c r="A299" i="1" s="1"/>
  <c r="T12" i="18"/>
  <c r="J28" i="7"/>
  <c r="A294" i="1" s="1"/>
  <c r="T7" i="18"/>
  <c r="F322" i="2"/>
  <c r="G344" i="2"/>
  <c r="G322" i="2" s="1"/>
  <c r="T29" i="10"/>
  <c r="S29" i="10"/>
  <c r="R29" i="10"/>
  <c r="G84" i="2"/>
  <c r="G86" i="2"/>
  <c r="J8" i="18" s="1"/>
  <c r="G85" i="2"/>
  <c r="J7" i="18" s="1"/>
  <c r="G87" i="2"/>
  <c r="J9" i="18" s="1"/>
  <c r="G88" i="2"/>
  <c r="J10" i="18" s="1"/>
  <c r="R10" i="10"/>
  <c r="C57" i="2"/>
  <c r="K28" i="2"/>
  <c r="S22" i="10" l="1"/>
  <c r="D7" i="10"/>
  <c r="J29" i="10" s="1"/>
  <c r="AB4" i="7"/>
  <c r="T4" i="7"/>
  <c r="J6" i="18"/>
  <c r="AE6" i="18" s="1"/>
  <c r="D27" i="7"/>
  <c r="G6" i="9"/>
  <c r="AI5" i="18"/>
  <c r="X68" i="10"/>
  <c r="X78" i="10" s="1"/>
  <c r="X88" i="10" s="1"/>
  <c r="X98" i="10" s="1"/>
  <c r="Q30" i="10"/>
  <c r="S30" i="10"/>
  <c r="Q29" i="10"/>
  <c r="R30" i="10"/>
  <c r="I344" i="2"/>
  <c r="J12" i="18"/>
  <c r="AE9" i="18"/>
  <c r="U9" i="18"/>
  <c r="AE10" i="18"/>
  <c r="U10" i="18"/>
  <c r="AE7" i="18"/>
  <c r="U7" i="18"/>
  <c r="AE8" i="18"/>
  <c r="U8" i="18"/>
  <c r="M5" i="18"/>
  <c r="L4" i="7"/>
  <c r="H344" i="2"/>
  <c r="F327" i="2" s="1"/>
  <c r="O30" i="10" s="1"/>
  <c r="S10" i="10"/>
  <c r="A155" i="1"/>
  <c r="I41" i="2"/>
  <c r="A130" i="1" s="1"/>
  <c r="C65" i="2"/>
  <c r="A188" i="2"/>
  <c r="B188" i="2" s="1"/>
  <c r="A267" i="1"/>
  <c r="A30" i="1"/>
  <c r="U22" i="10" l="1"/>
  <c r="E7" i="10"/>
  <c r="J50" i="10" s="1"/>
  <c r="U6" i="18"/>
  <c r="O29" i="10"/>
  <c r="AE12" i="18"/>
  <c r="U12" i="18"/>
  <c r="G327" i="2"/>
  <c r="U10" i="10"/>
  <c r="L69" i="2"/>
  <c r="G7" i="10" l="1"/>
  <c r="J92" i="10" s="1"/>
  <c r="AK81" i="10"/>
  <c r="AK91" i="10"/>
  <c r="AK61" i="10"/>
  <c r="AK71" i="10"/>
  <c r="P29" i="10"/>
  <c r="V29" i="10" s="1"/>
  <c r="P30" i="10"/>
  <c r="V30" i="10" s="1"/>
  <c r="H85" i="2"/>
  <c r="F108" i="2"/>
  <c r="F85" i="2" l="1"/>
  <c r="I6" i="7" s="1"/>
  <c r="K7" i="18"/>
  <c r="H87" i="2"/>
  <c r="H86" i="2"/>
  <c r="H84" i="2"/>
  <c r="A345" i="1"/>
  <c r="D122" i="2"/>
  <c r="D113" i="2"/>
  <c r="D114" i="2"/>
  <c r="D116" i="2"/>
  <c r="D117" i="2"/>
  <c r="D118" i="2"/>
  <c r="D119" i="2"/>
  <c r="D120" i="2"/>
  <c r="D121" i="2"/>
  <c r="Q8" i="2"/>
  <c r="T60" i="2" s="1"/>
  <c r="A23" i="1" s="1"/>
  <c r="S60" i="2"/>
  <c r="A22" i="1" s="1"/>
  <c r="H115" i="2" l="1"/>
  <c r="C68" i="9" s="1"/>
  <c r="J115" i="2"/>
  <c r="K60" i="2" s="1"/>
  <c r="A32" i="1" s="1"/>
  <c r="K6" i="18"/>
  <c r="F87" i="2"/>
  <c r="I8" i="7" s="1"/>
  <c r="AB8" i="7" s="1"/>
  <c r="K9" i="18"/>
  <c r="AG7" i="18"/>
  <c r="W7" i="18"/>
  <c r="F86" i="2"/>
  <c r="I7" i="7" s="1"/>
  <c r="K8" i="18"/>
  <c r="Z90" i="2"/>
  <c r="AA90" i="2" s="1"/>
  <c r="E85" i="2"/>
  <c r="AC103" i="2" s="1"/>
  <c r="AB6" i="7"/>
  <c r="A346" i="1"/>
  <c r="F84" i="2"/>
  <c r="E84" i="2" s="1"/>
  <c r="AC102" i="2" s="1"/>
  <c r="H90" i="2"/>
  <c r="T6" i="7"/>
  <c r="K6" i="7"/>
  <c r="H54" i="2"/>
  <c r="A176" i="1" s="1"/>
  <c r="I115" i="2"/>
  <c r="E68" i="9" s="1"/>
  <c r="E60" i="2" l="1"/>
  <c r="G9" i="2" s="1"/>
  <c r="AD6" i="7"/>
  <c r="G8" i="9" s="1"/>
  <c r="K8" i="7"/>
  <c r="L8" i="7" s="1"/>
  <c r="F90" i="2"/>
  <c r="K12" i="18"/>
  <c r="AG9" i="18"/>
  <c r="W9" i="18"/>
  <c r="Z92" i="2"/>
  <c r="AA92" i="2" s="1"/>
  <c r="E87" i="2"/>
  <c r="AC105" i="2" s="1"/>
  <c r="AG8" i="18"/>
  <c r="W8" i="18"/>
  <c r="AG6" i="18"/>
  <c r="W6" i="18"/>
  <c r="Z91" i="2"/>
  <c r="AA91" i="2" s="1"/>
  <c r="E86" i="2"/>
  <c r="AC104" i="2" s="1"/>
  <c r="AB7" i="7"/>
  <c r="T8" i="7"/>
  <c r="L6" i="7"/>
  <c r="L7" i="18"/>
  <c r="M7" i="18" s="1"/>
  <c r="T7" i="7"/>
  <c r="K7" i="7"/>
  <c r="Z89" i="2"/>
  <c r="AA89" i="2" s="1"/>
  <c r="I5" i="7"/>
  <c r="H88" i="2"/>
  <c r="A350" i="1"/>
  <c r="D49" i="7"/>
  <c r="O60" i="2"/>
  <c r="W60" i="2"/>
  <c r="A27" i="1" s="1"/>
  <c r="N60" i="2"/>
  <c r="A35" i="1" s="1"/>
  <c r="K10" i="18" l="1"/>
  <c r="AG10" i="18" s="1"/>
  <c r="AI7" i="18"/>
  <c r="AD5" i="7"/>
  <c r="G7" i="9" s="1"/>
  <c r="AD8" i="7"/>
  <c r="AI9" i="18" s="1"/>
  <c r="AD7" i="7"/>
  <c r="AI8" i="18" s="1"/>
  <c r="Z95" i="2"/>
  <c r="E90" i="2"/>
  <c r="A36" i="1"/>
  <c r="K10" i="4"/>
  <c r="L9" i="18"/>
  <c r="M9" i="18" s="1"/>
  <c r="AG12" i="18"/>
  <c r="W12" i="18"/>
  <c r="I11" i="7"/>
  <c r="L7" i="7"/>
  <c r="L8" i="18"/>
  <c r="M8" i="18" s="1"/>
  <c r="F88" i="2"/>
  <c r="T5" i="7"/>
  <c r="K5" i="7"/>
  <c r="AB5" i="7"/>
  <c r="W10" i="18" l="1"/>
  <c r="AA95" i="2"/>
  <c r="AD11" i="7" s="1"/>
  <c r="G9" i="9"/>
  <c r="G10" i="9"/>
  <c r="E88" i="2"/>
  <c r="AC106" i="2" s="1"/>
  <c r="AI6" i="18"/>
  <c r="AD108" i="2"/>
  <c r="AC108" i="2"/>
  <c r="T11" i="7"/>
  <c r="AB11" i="7"/>
  <c r="K11" i="7"/>
  <c r="L5" i="7"/>
  <c r="L6" i="18"/>
  <c r="M6" i="18" s="1"/>
  <c r="Z93" i="2"/>
  <c r="AA93" i="2" s="1"/>
  <c r="I9" i="7"/>
  <c r="F60" i="2"/>
  <c r="G13" i="9" l="1"/>
  <c r="AI12" i="18"/>
  <c r="AD9" i="7"/>
  <c r="G11" i="9" s="1"/>
  <c r="L11" i="7"/>
  <c r="L12" i="18"/>
  <c r="M12" i="18" s="1"/>
  <c r="AB9" i="7"/>
  <c r="K9" i="7"/>
  <c r="T9" i="7"/>
  <c r="F110" i="3"/>
  <c r="AI10" i="18" l="1"/>
  <c r="L9" i="7"/>
  <c r="L10" i="18"/>
  <c r="M10" i="18" s="1"/>
  <c r="G63" i="2"/>
  <c r="A218" i="1" s="1"/>
  <c r="G110" i="3"/>
  <c r="H63" i="2" s="1"/>
  <c r="A217" i="1" s="1"/>
  <c r="G37" i="2"/>
  <c r="J44" i="3" s="1"/>
  <c r="J108" i="2"/>
  <c r="L91" i="3"/>
  <c r="J91" i="3"/>
  <c r="I91" i="3"/>
  <c r="I93" i="3" s="1"/>
  <c r="H91" i="3"/>
  <c r="F91" i="3"/>
  <c r="F93" i="3" s="1"/>
  <c r="E91" i="3"/>
  <c r="E93" i="3" s="1"/>
  <c r="L90" i="3"/>
  <c r="J90" i="3"/>
  <c r="I90" i="3"/>
  <c r="H90" i="3"/>
  <c r="F90" i="3"/>
  <c r="E90" i="3"/>
  <c r="G91" i="3"/>
  <c r="G90" i="3"/>
  <c r="O31" i="3" l="1"/>
  <c r="M7" i="3"/>
  <c r="K22" i="2" l="1"/>
  <c r="A150" i="1" s="1"/>
  <c r="N31" i="3"/>
  <c r="M31" i="3"/>
  <c r="J34" i="2" s="1"/>
  <c r="A330" i="1" s="1"/>
  <c r="J31" i="3"/>
  <c r="G34" i="2" s="1"/>
  <c r="K31" i="3"/>
  <c r="H34" i="2" s="1"/>
  <c r="A328" i="1" s="1"/>
  <c r="K7" i="3"/>
  <c r="I22" i="2" s="1"/>
  <c r="L7" i="3"/>
  <c r="J22" i="2" s="1"/>
  <c r="A149" i="1" s="1"/>
  <c r="I7" i="3"/>
  <c r="G22" i="2" s="1"/>
  <c r="A108" i="2"/>
  <c r="F37" i="2"/>
  <c r="F5" i="2" s="1"/>
  <c r="F13" i="2" l="1"/>
  <c r="L51" i="2"/>
  <c r="F52" i="2" s="1"/>
  <c r="G52" i="2" s="1"/>
  <c r="A148" i="1"/>
  <c r="C2" i="4"/>
  <c r="A119" i="1"/>
  <c r="A120" i="1"/>
  <c r="A126" i="1"/>
  <c r="F9" i="2"/>
  <c r="F44" i="3"/>
  <c r="G44" i="3"/>
  <c r="D44" i="3"/>
  <c r="E44" i="3"/>
  <c r="H44" i="3"/>
  <c r="A216" i="1" l="1"/>
  <c r="H52" i="2"/>
  <c r="A143" i="1"/>
  <c r="K78" i="2"/>
  <c r="A132" i="1"/>
  <c r="I37" i="2"/>
  <c r="A188" i="1" s="1"/>
  <c r="J37" i="2"/>
  <c r="M38" i="2" s="1"/>
  <c r="L37" i="2"/>
  <c r="A186" i="1" s="1"/>
  <c r="K37" i="2"/>
  <c r="A187" i="1" s="1"/>
  <c r="G69" i="2"/>
  <c r="B168" i="2"/>
  <c r="A170" i="2" s="1"/>
  <c r="B170" i="2" s="1"/>
  <c r="L70" i="2"/>
  <c r="L25" i="2"/>
  <c r="A123" i="1" s="1"/>
  <c r="A124" i="1"/>
  <c r="H37" i="2"/>
  <c r="B108" i="31" l="1"/>
  <c r="B109" i="31" s="1"/>
  <c r="C1" i="4"/>
  <c r="A147" i="1"/>
  <c r="F77" i="2"/>
  <c r="A212" i="1" s="1"/>
  <c r="G77" i="2"/>
  <c r="A213" i="1" s="1"/>
  <c r="A181" i="1"/>
  <c r="B169" i="2"/>
  <c r="M37" i="2"/>
  <c r="A189" i="1" s="1"/>
  <c r="A171" i="2"/>
  <c r="B171" i="2" s="1"/>
  <c r="A172" i="2"/>
  <c r="B172" i="2" s="1"/>
  <c r="K72" i="3"/>
  <c r="M25" i="2"/>
  <c r="A125" i="1" s="1"/>
  <c r="D56" i="3"/>
  <c r="G13" i="2" s="1"/>
  <c r="G31" i="2"/>
  <c r="I28" i="2"/>
  <c r="H28" i="2"/>
  <c r="A154" i="1" s="1"/>
  <c r="K31" i="2"/>
  <c r="I31" i="2"/>
  <c r="H31" i="2"/>
  <c r="A65" i="1" s="1"/>
  <c r="J28" i="2"/>
  <c r="M31" i="2"/>
  <c r="B105" i="31" l="1"/>
  <c r="G51" i="2"/>
  <c r="A174" i="2"/>
  <c r="M169" i="2" s="1"/>
  <c r="A225" i="1" s="1"/>
  <c r="C7" i="4"/>
  <c r="H20" i="4"/>
  <c r="H22" i="4" s="1"/>
  <c r="L20" i="4"/>
  <c r="E20" i="4"/>
  <c r="G3" i="4"/>
  <c r="G4" i="4" s="1"/>
  <c r="G10" i="4"/>
  <c r="D20" i="4"/>
  <c r="F20" i="4"/>
  <c r="K20" i="4"/>
  <c r="M20" i="4"/>
  <c r="I20" i="4"/>
  <c r="N20" i="4"/>
  <c r="J20" i="4"/>
  <c r="G20" i="4"/>
  <c r="G22" i="4" s="1"/>
  <c r="D8" i="4"/>
  <c r="D3" i="4" s="1"/>
  <c r="D4" i="4" s="1"/>
  <c r="H3" i="4"/>
  <c r="H4" i="4" s="1"/>
  <c r="E12" i="4"/>
  <c r="A156" i="1"/>
  <c r="A327" i="1"/>
  <c r="K34" i="2"/>
  <c r="A331" i="1" s="1"/>
  <c r="M34" i="2"/>
  <c r="A333" i="1" s="1"/>
  <c r="L34" i="2"/>
  <c r="A332" i="1" s="1"/>
  <c r="A67" i="1"/>
  <c r="AA49" i="2"/>
  <c r="A289" i="1"/>
  <c r="L44" i="2"/>
  <c r="A164" i="1" s="1"/>
  <c r="I104" i="2"/>
  <c r="I108" i="2" s="1"/>
  <c r="C80" i="3"/>
  <c r="A69" i="1"/>
  <c r="M44" i="2"/>
  <c r="A165" i="1" s="1"/>
  <c r="J31" i="2"/>
  <c r="A194" i="1"/>
  <c r="A90" i="1"/>
  <c r="A93" i="1"/>
  <c r="A87" i="1"/>
  <c r="A91" i="1"/>
  <c r="A97" i="1"/>
  <c r="A86" i="1"/>
  <c r="A94" i="1"/>
  <c r="A92" i="1"/>
  <c r="A95" i="1"/>
  <c r="A85" i="1"/>
  <c r="A96" i="1"/>
  <c r="L72" i="3"/>
  <c r="E6" i="2"/>
  <c r="E5" i="2"/>
  <c r="B99" i="31" l="1"/>
  <c r="J99" i="31" s="1"/>
  <c r="A432" i="1" s="1"/>
  <c r="F51" i="2"/>
  <c r="D80" i="3"/>
  <c r="K79" i="3"/>
  <c r="E80" i="3" s="1"/>
  <c r="H21" i="4"/>
  <c r="H24" i="4" s="1"/>
  <c r="H26" i="4" s="1"/>
  <c r="N22" i="4"/>
  <c r="N21" i="4"/>
  <c r="N24" i="4" s="1"/>
  <c r="I22" i="4"/>
  <c r="I21" i="4"/>
  <c r="I24" i="4" s="1"/>
  <c r="G21" i="4"/>
  <c r="G24" i="4" s="1"/>
  <c r="M22" i="4"/>
  <c r="M21" i="4"/>
  <c r="M24" i="4" s="1"/>
  <c r="E22" i="4"/>
  <c r="E21" i="4"/>
  <c r="E24" i="4" s="1"/>
  <c r="A153" i="1"/>
  <c r="L22" i="4"/>
  <c r="L21" i="4"/>
  <c r="L24" i="4" s="1"/>
  <c r="F22" i="4"/>
  <c r="F21" i="4"/>
  <c r="F24" i="4" s="1"/>
  <c r="K22" i="4"/>
  <c r="K21" i="4"/>
  <c r="K24" i="4" s="1"/>
  <c r="J22" i="4"/>
  <c r="J21" i="4"/>
  <c r="J24" i="4" s="1"/>
  <c r="D22" i="4"/>
  <c r="D21" i="4"/>
  <c r="D24" i="4" s="1"/>
  <c r="T75" i="2"/>
  <c r="H41" i="2"/>
  <c r="A287" i="1"/>
  <c r="AB49" i="2"/>
  <c r="D48" i="3"/>
  <c r="S99" i="2"/>
  <c r="U89" i="2"/>
  <c r="V89" i="2" s="1"/>
  <c r="U90" i="2" s="1"/>
  <c r="T99" i="2"/>
  <c r="X99" i="2" s="1"/>
  <c r="W100" i="2" s="1"/>
  <c r="W101" i="2" s="1"/>
  <c r="T100" i="2" s="1"/>
  <c r="U94" i="2"/>
  <c r="V94" i="2" s="1"/>
  <c r="U91" i="2"/>
  <c r="X70" i="2"/>
  <c r="W71" i="2" s="1"/>
  <c r="W72" i="2" s="1"/>
  <c r="T71" i="2" s="1"/>
  <c r="A98" i="1"/>
  <c r="A66" i="1"/>
  <c r="F44" i="2"/>
  <c r="B174" i="2"/>
  <c r="P25" i="2" s="1"/>
  <c r="A151" i="1"/>
  <c r="L31" i="3"/>
  <c r="I34" i="2" s="1"/>
  <c r="A329" i="1" s="1"/>
  <c r="I75" i="3" l="1"/>
  <c r="I44" i="2" s="1"/>
  <c r="H75" i="3"/>
  <c r="H44" i="2" s="1"/>
  <c r="G75" i="3"/>
  <c r="G44" i="2" s="1"/>
  <c r="H16" i="2" s="1"/>
  <c r="H25" i="4"/>
  <c r="Z14" i="4" s="1"/>
  <c r="L25" i="4"/>
  <c r="L26" i="4"/>
  <c r="I26" i="4"/>
  <c r="I25" i="4"/>
  <c r="G25" i="4"/>
  <c r="G26" i="4"/>
  <c r="F26" i="4"/>
  <c r="F25" i="4"/>
  <c r="E26" i="4"/>
  <c r="E25" i="4"/>
  <c r="K25" i="4"/>
  <c r="K26" i="4"/>
  <c r="D26" i="4"/>
  <c r="D25" i="4"/>
  <c r="N26" i="4"/>
  <c r="N25" i="4"/>
  <c r="J25" i="4"/>
  <c r="J26" i="4"/>
  <c r="M25" i="4"/>
  <c r="M26" i="4"/>
  <c r="A129" i="1"/>
  <c r="A394" i="1"/>
  <c r="A393" i="1"/>
  <c r="A50" i="1"/>
  <c r="AB51" i="2"/>
  <c r="AB52" i="2" s="1"/>
  <c r="I25" i="5"/>
  <c r="I26" i="5" s="1"/>
  <c r="AA43" i="2"/>
  <c r="B129" i="2"/>
  <c r="C129" i="2" s="1"/>
  <c r="C130" i="2" s="1"/>
  <c r="W70" i="2"/>
  <c r="V71" i="2" s="1"/>
  <c r="V72" i="2" s="1"/>
  <c r="S71" i="2" s="1"/>
  <c r="S72" i="2" s="1"/>
  <c r="H26" i="5"/>
  <c r="H25" i="5"/>
  <c r="W99" i="2"/>
  <c r="V100" i="2" s="1"/>
  <c r="V101" i="2" s="1"/>
  <c r="S100" i="2" s="1"/>
  <c r="S101" i="2" s="1"/>
  <c r="T72" i="2"/>
  <c r="A205" i="1"/>
  <c r="A389" i="1"/>
  <c r="I11" i="5"/>
  <c r="P11" i="5" s="1"/>
  <c r="Q11" i="5" s="1"/>
  <c r="H11" i="5"/>
  <c r="O11" i="5" s="1"/>
  <c r="A118" i="1"/>
  <c r="U95" i="2"/>
  <c r="U96" i="2"/>
  <c r="T101" i="2"/>
  <c r="Y14" i="4" l="1"/>
  <c r="A161" i="1"/>
  <c r="G7" i="2"/>
  <c r="X14" i="4"/>
  <c r="W14" i="4" s="1"/>
  <c r="V14" i="4" s="1"/>
  <c r="U14" i="4" s="1"/>
  <c r="T14" i="4" s="1"/>
  <c r="S14" i="4" s="1"/>
  <c r="R14" i="4" s="1"/>
  <c r="Q14" i="4" s="1"/>
  <c r="P14" i="4" s="1"/>
  <c r="N29" i="4"/>
  <c r="M29" i="4" s="1"/>
  <c r="L29" i="4" s="1"/>
  <c r="K29" i="4" s="1"/>
  <c r="J29" i="4" s="1"/>
  <c r="I29" i="4" s="1"/>
  <c r="H29" i="4" s="1"/>
  <c r="G29" i="4" s="1"/>
  <c r="F29" i="4" s="1"/>
  <c r="E29" i="4" s="1"/>
  <c r="D29" i="4" s="1"/>
  <c r="D30" i="4" s="1"/>
  <c r="O44" i="2"/>
  <c r="A167" i="1" s="1"/>
  <c r="F164" i="2"/>
  <c r="A59" i="1" s="1"/>
  <c r="AB43" i="2"/>
  <c r="AB45" i="2" s="1"/>
  <c r="AB46" i="2" s="1"/>
  <c r="A285" i="1"/>
  <c r="AB50" i="2"/>
  <c r="A396" i="1" s="1"/>
  <c r="AC52" i="2"/>
  <c r="AC51" i="2"/>
  <c r="B130" i="2"/>
  <c r="D129" i="2"/>
  <c r="D130" i="2" s="1"/>
  <c r="H10" i="5"/>
  <c r="O10" i="5" s="1"/>
  <c r="I37" i="5"/>
  <c r="H37" i="5" s="1"/>
  <c r="A160" i="1"/>
  <c r="P44" i="2"/>
  <c r="A159" i="1" s="1"/>
  <c r="A215" i="1"/>
  <c r="D14" i="2"/>
  <c r="A55" i="1" s="1"/>
  <c r="B13" i="2"/>
  <c r="A386" i="1" s="1"/>
  <c r="J44" i="2"/>
  <c r="A162" i="1" s="1"/>
  <c r="A290" i="1"/>
  <c r="K44" i="2"/>
  <c r="A163" i="1" s="1"/>
  <c r="G6" i="2"/>
  <c r="R7" i="2"/>
  <c r="U60" i="2" s="1"/>
  <c r="A24" i="1" s="1"/>
  <c r="G5" i="2"/>
  <c r="A158" i="1"/>
  <c r="M73" i="2"/>
  <c r="A214" i="1"/>
  <c r="H14" i="5"/>
  <c r="O14" i="5" s="1"/>
  <c r="P16" i="4" l="1"/>
  <c r="P15" i="4"/>
  <c r="C3" i="4" s="1"/>
  <c r="C6" i="4"/>
  <c r="C5" i="4" s="1"/>
  <c r="C10" i="4" s="1"/>
  <c r="AC50" i="2"/>
  <c r="A288" i="1" s="1"/>
  <c r="AB44" i="2"/>
  <c r="A395" i="1" s="1"/>
  <c r="AC45" i="2"/>
  <c r="AC46" i="2"/>
  <c r="T81" i="2"/>
  <c r="A388" i="1"/>
  <c r="T80" i="2"/>
  <c r="A51" i="1" s="1"/>
  <c r="B132" i="2"/>
  <c r="B14" i="2"/>
  <c r="A387" i="1" s="1"/>
  <c r="I10" i="5"/>
  <c r="P10" i="5" s="1"/>
  <c r="Q10" i="5" s="1"/>
  <c r="D15" i="2"/>
  <c r="A56" i="1" s="1"/>
  <c r="H15" i="5"/>
  <c r="O15" i="5" s="1"/>
  <c r="D12" i="2"/>
  <c r="A53" i="1" s="1"/>
  <c r="H5" i="2"/>
  <c r="C132" i="2"/>
  <c r="P10" i="4" l="1"/>
  <c r="V8" i="2" s="1"/>
  <c r="L60" i="2" s="1"/>
  <c r="A33" i="1" s="1"/>
  <c r="A134" i="1"/>
  <c r="C4" i="4"/>
  <c r="L9" i="10"/>
  <c r="D8" i="10" s="1"/>
  <c r="E8" i="10" s="1"/>
  <c r="D132" i="2"/>
  <c r="AC44" i="2"/>
  <c r="A286" i="1" s="1"/>
  <c r="D13" i="2"/>
  <c r="A54" i="1" s="1"/>
  <c r="H30" i="5"/>
  <c r="H29" i="5" s="1"/>
  <c r="B134" i="2"/>
  <c r="B135" i="2" s="1"/>
  <c r="I15" i="5"/>
  <c r="P15" i="5" s="1"/>
  <c r="Q15" i="5" s="1"/>
  <c r="I14" i="5"/>
  <c r="P14" i="5" s="1"/>
  <c r="Q14" i="5" s="1"/>
  <c r="I41" i="5"/>
  <c r="I42" i="5" s="1"/>
  <c r="H42" i="5" s="1"/>
  <c r="H41" i="5"/>
  <c r="A133" i="1"/>
  <c r="N8" i="2"/>
  <c r="M60" i="2" s="1"/>
  <c r="A34" i="1" s="1"/>
  <c r="C134" i="2"/>
  <c r="C135" i="2" s="1"/>
  <c r="C136" i="2" s="1"/>
  <c r="D137" i="2" s="1"/>
  <c r="A137" i="1" s="1"/>
  <c r="J30" i="10" l="1"/>
  <c r="J41" i="10" s="1"/>
  <c r="G54" i="9" s="1"/>
  <c r="D134" i="2"/>
  <c r="D135" i="2" s="1"/>
  <c r="D136" i="2" s="1"/>
  <c r="B137" i="2" s="1"/>
  <c r="A135" i="1" s="1"/>
  <c r="G8" i="10"/>
  <c r="J93" i="10" s="1"/>
  <c r="J104" i="10" s="1"/>
  <c r="G56" i="9" s="1"/>
  <c r="J51" i="10"/>
  <c r="J62" i="10" s="1"/>
  <c r="G55" i="9" s="1"/>
  <c r="A152" i="1"/>
  <c r="B136" i="2"/>
  <c r="B144" i="2" l="1"/>
  <c r="B139" i="2" s="1"/>
  <c r="A138" i="1" s="1"/>
  <c r="C137" i="2"/>
  <c r="A136" i="1" s="1"/>
  <c r="D144" i="2"/>
  <c r="D139" i="2" s="1"/>
  <c r="A140" i="1" s="1"/>
  <c r="B140" i="2" l="1"/>
  <c r="A141" i="1" s="1"/>
  <c r="C144" i="2"/>
  <c r="C139" i="2" s="1"/>
  <c r="A139" i="1" s="1"/>
  <c r="D140" i="2"/>
  <c r="A144" i="1" s="1"/>
  <c r="C140" i="2" l="1"/>
  <c r="A142" i="1" s="1"/>
  <c r="B53" i="2"/>
  <c r="B59" i="2" s="1"/>
  <c r="C66" i="2" l="1"/>
  <c r="B65" i="2" l="1"/>
  <c r="B66" i="2" l="1"/>
  <c r="C62" i="2"/>
  <c r="D62" i="2" s="1"/>
  <c r="C63" i="2" l="1"/>
  <c r="J93" i="2"/>
  <c r="K93" i="2" s="1"/>
  <c r="L93" i="2" s="1"/>
  <c r="D63" i="2"/>
  <c r="A348" i="1" l="1"/>
  <c r="B302" i="2"/>
  <c r="D283" i="2"/>
  <c r="D47" i="7"/>
  <c r="A347" i="1"/>
  <c r="D285" i="2"/>
  <c r="I284" i="2" s="1"/>
  <c r="B300" i="2" l="1"/>
  <c r="A359" i="1"/>
  <c r="H284" i="2"/>
  <c r="I282" i="2"/>
  <c r="D282" i="2"/>
  <c r="D31" i="7"/>
  <c r="D46" i="7"/>
  <c r="A358" i="1"/>
  <c r="H283" i="2" l="1"/>
  <c r="I281" i="2"/>
  <c r="B299" i="2"/>
  <c r="D281" i="2"/>
  <c r="A357" i="1"/>
  <c r="D45" i="7"/>
  <c r="D30" i="7"/>
  <c r="D280" i="2" l="1"/>
  <c r="H281" i="2" s="1"/>
  <c r="H282" i="2"/>
  <c r="I280" i="2"/>
  <c r="B298" i="2"/>
  <c r="D44" i="7"/>
  <c r="D29" i="7"/>
  <c r="I279" i="2" l="1"/>
  <c r="B297" i="2"/>
  <c r="A356" i="1"/>
  <c r="A344" i="1"/>
  <c r="D43" i="7"/>
  <c r="A354" i="1"/>
  <c r="D279" i="2"/>
  <c r="H280" i="2" s="1"/>
  <c r="D28" i="7"/>
  <c r="B282" i="2" l="1"/>
  <c r="C283" i="2" s="1"/>
  <c r="A362" i="1"/>
  <c r="B296" i="2"/>
  <c r="B280" i="2"/>
  <c r="C281" i="2" s="1"/>
  <c r="B281" i="2"/>
  <c r="B278" i="2"/>
  <c r="D42" i="7"/>
  <c r="C279" i="2"/>
  <c r="D278" i="2"/>
  <c r="H279" i="2" s="1"/>
  <c r="B279" i="2"/>
  <c r="B283" i="2"/>
  <c r="C284" i="2" l="1"/>
  <c r="C282" i="2"/>
  <c r="B295" i="2"/>
  <c r="C280" i="2"/>
  <c r="H89" i="2" l="1"/>
  <c r="F93" i="2" s="1"/>
  <c r="G89" i="2"/>
  <c r="G93" i="2" s="1"/>
  <c r="C59" i="2" s="1"/>
  <c r="O25" i="2" s="1"/>
  <c r="S53" i="10" l="1"/>
  <c r="M143" i="2"/>
  <c r="N143" i="2" s="1"/>
  <c r="M144" i="2"/>
  <c r="N144" i="2" s="1"/>
  <c r="Q168" i="2"/>
  <c r="K11" i="18"/>
  <c r="AG11" i="18" s="1"/>
  <c r="B301" i="2"/>
  <c r="J11" i="18"/>
  <c r="A360" i="1"/>
  <c r="A349" i="1"/>
  <c r="D48" i="7"/>
  <c r="F51" i="7" s="1"/>
  <c r="J89" i="2"/>
  <c r="K89" i="2" s="1"/>
  <c r="B285" i="2"/>
  <c r="J88" i="2"/>
  <c r="K88" i="2" s="1"/>
  <c r="J92" i="2"/>
  <c r="K92" i="2" s="1"/>
  <c r="L92" i="2" s="1"/>
  <c r="B284" i="2"/>
  <c r="D284" i="2"/>
  <c r="J91" i="2"/>
  <c r="K91" i="2" s="1"/>
  <c r="L91" i="2" s="1"/>
  <c r="J90" i="2"/>
  <c r="K90" i="2" s="1"/>
  <c r="J87" i="2"/>
  <c r="K87" i="2" s="1"/>
  <c r="D32" i="7"/>
  <c r="F89" i="2"/>
  <c r="E89" i="2" s="1"/>
  <c r="AC107" i="2" s="1"/>
  <c r="A206" i="2"/>
  <c r="A205" i="2" s="1"/>
  <c r="A204" i="2" s="1"/>
  <c r="A203" i="2" s="1"/>
  <c r="A202" i="2" s="1"/>
  <c r="A201" i="2" s="1"/>
  <c r="A200" i="2" s="1"/>
  <c r="C64" i="2" s="1"/>
  <c r="G95" i="2"/>
  <c r="Q144" i="2" l="1"/>
  <c r="T46" i="10"/>
  <c r="C58" i="2"/>
  <c r="N25" i="2" s="1"/>
  <c r="A121" i="1" s="1"/>
  <c r="A228" i="1"/>
  <c r="W11" i="18"/>
  <c r="F95" i="2"/>
  <c r="AE11" i="18"/>
  <c r="U11" i="18"/>
  <c r="A122" i="1"/>
  <c r="K296" i="2"/>
  <c r="J296" i="2" s="1"/>
  <c r="A47" i="1" s="1"/>
  <c r="H39" i="2"/>
  <c r="L90" i="2"/>
  <c r="L89" i="2" s="1"/>
  <c r="L88" i="2" s="1"/>
  <c r="L87" i="2" s="1"/>
  <c r="C285" i="2"/>
  <c r="A288" i="2"/>
  <c r="H93" i="2"/>
  <c r="F66" i="2" s="1"/>
  <c r="A322" i="1"/>
  <c r="G176" i="2"/>
  <c r="H16" i="15" s="1"/>
  <c r="E95" i="2"/>
  <c r="A321" i="1"/>
  <c r="I10" i="7"/>
  <c r="Z94" i="2"/>
  <c r="AA94" i="2" s="1"/>
  <c r="H285" i="2"/>
  <c r="I283" i="2"/>
  <c r="O143" i="2" l="1"/>
  <c r="O144" i="2" s="1"/>
  <c r="N148" i="2" s="1"/>
  <c r="G161" i="2"/>
  <c r="E40" i="9" s="1"/>
  <c r="I14" i="7"/>
  <c r="A63" i="1"/>
  <c r="L71" i="2"/>
  <c r="K73" i="2" s="1"/>
  <c r="K74" i="2" s="1"/>
  <c r="L68" i="2"/>
  <c r="J38" i="2"/>
  <c r="A191" i="1" s="1"/>
  <c r="I38" i="2"/>
  <c r="A190" i="1" s="1"/>
  <c r="K38" i="2"/>
  <c r="A192" i="1" s="1"/>
  <c r="L38" i="2"/>
  <c r="A193" i="1" s="1"/>
  <c r="L39" i="2"/>
  <c r="A185" i="1" s="1"/>
  <c r="O39" i="2"/>
  <c r="I39" i="2"/>
  <c r="A182" i="1" s="1"/>
  <c r="K39" i="2"/>
  <c r="A184" i="1" s="1"/>
  <c r="N39" i="2"/>
  <c r="J39" i="2"/>
  <c r="A183" i="1" s="1"/>
  <c r="D288" i="2"/>
  <c r="D289" i="2" s="1"/>
  <c r="A334" i="1" s="1"/>
  <c r="G288" i="2"/>
  <c r="E288" i="2"/>
  <c r="E289" i="2" s="1"/>
  <c r="A335" i="1" s="1"/>
  <c r="H288" i="2"/>
  <c r="C288" i="2"/>
  <c r="C290" i="2" s="1"/>
  <c r="I288" i="2"/>
  <c r="L288" i="2"/>
  <c r="J288" i="2"/>
  <c r="J289" i="2" s="1"/>
  <c r="A336" i="1" s="1"/>
  <c r="K288" i="2"/>
  <c r="B288" i="2"/>
  <c r="B290" i="2" s="1"/>
  <c r="F288" i="2"/>
  <c r="M93" i="2"/>
  <c r="M92" i="2" s="1"/>
  <c r="M91" i="2" s="1"/>
  <c r="M90" i="2" s="1"/>
  <c r="M89" i="2" s="1"/>
  <c r="M88" i="2" s="1"/>
  <c r="M87" i="2" s="1"/>
  <c r="T10" i="7"/>
  <c r="AB10" i="7"/>
  <c r="K10" i="7"/>
  <c r="AD104" i="2"/>
  <c r="AD107" i="2"/>
  <c r="AD103" i="2"/>
  <c r="AD101" i="2"/>
  <c r="AD105" i="2"/>
  <c r="AD106" i="2"/>
  <c r="AD102" i="2"/>
  <c r="A230" i="1"/>
  <c r="Q143" i="2" l="1"/>
  <c r="R143" i="2" s="1"/>
  <c r="R144" i="2" s="1"/>
  <c r="T54" i="10" s="1"/>
  <c r="T45" i="10" s="1"/>
  <c r="S45" i="10" s="1"/>
  <c r="S47" i="10" s="1"/>
  <c r="S48" i="10" s="1"/>
  <c r="P45" i="10"/>
  <c r="AD10" i="7"/>
  <c r="G12" i="9" s="1"/>
  <c r="G4" i="9" s="1"/>
  <c r="I18" i="16"/>
  <c r="T31" i="10"/>
  <c r="S31" i="10"/>
  <c r="Q31" i="10"/>
  <c r="R31" i="10"/>
  <c r="P31" i="10"/>
  <c r="O31" i="10"/>
  <c r="L10" i="7"/>
  <c r="L11" i="18"/>
  <c r="M11" i="18" s="1"/>
  <c r="K76" i="2"/>
  <c r="M76" i="2" s="1"/>
  <c r="M78" i="2" s="1"/>
  <c r="G289" i="2"/>
  <c r="A341" i="1" s="1"/>
  <c r="F289" i="2"/>
  <c r="A338" i="1" s="1"/>
  <c r="M100" i="2"/>
  <c r="A256" i="1" s="1"/>
  <c r="M101" i="2"/>
  <c r="A257" i="1" s="1"/>
  <c r="M98" i="2"/>
  <c r="A254" i="1" s="1"/>
  <c r="M96" i="2"/>
  <c r="A252" i="1" s="1"/>
  <c r="M95" i="2"/>
  <c r="A251" i="1" s="1"/>
  <c r="M99" i="2"/>
  <c r="A255" i="1" s="1"/>
  <c r="N93" i="2"/>
  <c r="N92" i="2" s="1"/>
  <c r="N91" i="2" s="1"/>
  <c r="N90" i="2" s="1"/>
  <c r="N89" i="2" s="1"/>
  <c r="N88" i="2" s="1"/>
  <c r="N87" i="2" s="1"/>
  <c r="J66" i="2" s="1"/>
  <c r="A232" i="1" s="1"/>
  <c r="M97" i="2"/>
  <c r="A253" i="1" s="1"/>
  <c r="A326" i="1"/>
  <c r="D8" i="26" l="1"/>
  <c r="R46" i="10"/>
  <c r="R47" i="10"/>
  <c r="O78" i="2"/>
  <c r="M79" i="2" s="1"/>
  <c r="M82" i="2" s="1"/>
  <c r="J8" i="2" s="1"/>
  <c r="O8" i="2" s="1"/>
  <c r="R60" i="2" s="1"/>
  <c r="A21" i="1" s="1"/>
  <c r="P52" i="10"/>
  <c r="P53" i="10" s="1"/>
  <c r="P54" i="10" s="1"/>
  <c r="P55" i="10" s="1"/>
  <c r="P56" i="10" s="1"/>
  <c r="P46" i="10" s="1"/>
  <c r="A268" i="1"/>
  <c r="AI11" i="18"/>
  <c r="AI15" i="18" s="1"/>
  <c r="AD14" i="7"/>
  <c r="V31" i="10"/>
  <c r="L289" i="2"/>
  <c r="A342" i="1" s="1"/>
  <c r="I289" i="2"/>
  <c r="A340" i="1" s="1"/>
  <c r="K289" i="2"/>
  <c r="A339" i="1" s="1"/>
  <c r="H289" i="2"/>
  <c r="A337" i="1" s="1"/>
  <c r="P47" i="10" l="1"/>
  <c r="D9" i="26" s="1"/>
  <c r="M83" i="2"/>
  <c r="X60" i="2" s="1"/>
  <c r="A28" i="1" s="1"/>
  <c r="H60" i="2"/>
  <c r="M39" i="2" s="1"/>
  <c r="P48" i="10" l="1"/>
  <c r="G99" i="9" s="1"/>
  <c r="O46" i="10"/>
  <c r="F68" i="2"/>
  <c r="A29" i="1"/>
  <c r="F69" i="2"/>
  <c r="O47" i="10" l="1"/>
  <c r="G68" i="2"/>
  <c r="H68" i="2" s="1"/>
  <c r="A25" i="1" s="1"/>
  <c r="C12" i="26"/>
  <c r="B24" i="26" s="1"/>
  <c r="B14" i="26"/>
  <c r="C14" i="26" s="1"/>
  <c r="B23" i="26" s="1"/>
  <c r="B15" i="26"/>
  <c r="C15" i="26" s="1"/>
  <c r="B25" i="26" s="1"/>
  <c r="D26" i="20" l="1" a="1"/>
  <c r="I25" i="26"/>
  <c r="H26" i="26" s="1"/>
  <c r="I27" i="26"/>
  <c r="G26" i="20" l="1"/>
  <c r="AA62" i="10" s="1"/>
  <c r="E26" i="20"/>
  <c r="Y62" i="10" s="1"/>
  <c r="H26" i="20"/>
  <c r="AB62" i="10" s="1"/>
  <c r="J26" i="20"/>
  <c r="AD62" i="10" s="1"/>
  <c r="M26" i="20"/>
  <c r="AG62" i="10" s="1"/>
  <c r="D26" i="20"/>
  <c r="L26" i="20"/>
  <c r="AF62" i="10" s="1"/>
  <c r="O26" i="20"/>
  <c r="AI62" i="10" s="1"/>
  <c r="F26" i="20"/>
  <c r="Z62" i="10" s="1"/>
  <c r="I26" i="20"/>
  <c r="AC62" i="10" s="1"/>
  <c r="K26" i="20"/>
  <c r="AE62" i="10" s="1"/>
  <c r="N26" i="20"/>
  <c r="AH62" i="10" s="1"/>
  <c r="M25" i="26"/>
  <c r="L26" i="26" s="1"/>
  <c r="M27" i="26"/>
  <c r="AD93" i="10" l="1"/>
  <c r="AD72" i="10"/>
  <c r="AD82" i="10" s="1"/>
  <c r="AD92" i="10" s="1"/>
  <c r="AD102" i="10" s="1"/>
  <c r="AD73" i="10"/>
  <c r="AD103" i="10"/>
  <c r="AD83" i="10"/>
  <c r="AH103" i="10"/>
  <c r="AH72" i="10"/>
  <c r="AH82" i="10" s="1"/>
  <c r="AH92" i="10" s="1"/>
  <c r="AH102" i="10" s="1"/>
  <c r="AH73" i="10"/>
  <c r="AH63" i="10"/>
  <c r="AH83" i="10"/>
  <c r="AH93" i="10"/>
  <c r="P76" i="10"/>
  <c r="T72" i="10" s="1"/>
  <c r="G110" i="9" s="1"/>
  <c r="P73" i="10"/>
  <c r="T69" i="10" s="1"/>
  <c r="G107" i="9" s="1"/>
  <c r="P72" i="10"/>
  <c r="P74" i="10"/>
  <c r="T70" i="10" s="1"/>
  <c r="G108" i="9" s="1"/>
  <c r="X62" i="10"/>
  <c r="P75" i="10"/>
  <c r="T71" i="10" s="1"/>
  <c r="G109" i="9" s="1"/>
  <c r="AB83" i="10"/>
  <c r="AB72" i="10"/>
  <c r="AB82" i="10" s="1"/>
  <c r="AB92" i="10" s="1"/>
  <c r="AB102" i="10" s="1"/>
  <c r="AB103" i="10"/>
  <c r="AB93" i="10"/>
  <c r="AG73" i="10"/>
  <c r="AG93" i="10"/>
  <c r="AG103" i="10"/>
  <c r="AG83" i="10"/>
  <c r="AG72" i="10"/>
  <c r="AG82" i="10" s="1"/>
  <c r="AG92" i="10" s="1"/>
  <c r="AG102" i="10" s="1"/>
  <c r="AI93" i="10"/>
  <c r="AI72" i="10"/>
  <c r="AI82" i="10" s="1"/>
  <c r="AI92" i="10" s="1"/>
  <c r="AI102" i="10" s="1"/>
  <c r="AI103" i="10"/>
  <c r="AI83" i="10"/>
  <c r="AI73" i="10"/>
  <c r="AI63" i="10"/>
  <c r="Y72" i="10"/>
  <c r="Y82" i="10" s="1"/>
  <c r="Y92" i="10" s="1"/>
  <c r="Y102" i="10" s="1"/>
  <c r="Y103" i="10"/>
  <c r="AE73" i="10"/>
  <c r="AE93" i="10"/>
  <c r="AE103" i="10"/>
  <c r="AE72" i="10"/>
  <c r="AE82" i="10" s="1"/>
  <c r="AE92" i="10" s="1"/>
  <c r="AE102" i="10" s="1"/>
  <c r="AE83" i="10"/>
  <c r="AC93" i="10"/>
  <c r="AC83" i="10"/>
  <c r="AC72" i="10"/>
  <c r="AC82" i="10" s="1"/>
  <c r="AC92" i="10" s="1"/>
  <c r="AC102" i="10" s="1"/>
  <c r="AC103" i="10"/>
  <c r="Z72" i="10"/>
  <c r="Z82" i="10" s="1"/>
  <c r="Z92" i="10" s="1"/>
  <c r="Z102" i="10" s="1"/>
  <c r="Z103" i="10"/>
  <c r="AF93" i="10"/>
  <c r="AF83" i="10"/>
  <c r="AF72" i="10"/>
  <c r="AF82" i="10" s="1"/>
  <c r="AF92" i="10" s="1"/>
  <c r="AF102" i="10" s="1"/>
  <c r="AF73" i="10"/>
  <c r="AF103" i="10"/>
  <c r="AA103" i="10"/>
  <c r="AA72" i="10"/>
  <c r="AA82" i="10" s="1"/>
  <c r="AA92" i="10" s="1"/>
  <c r="AA102" i="10" s="1"/>
  <c r="E8" i="26"/>
  <c r="B20" i="26" s="1"/>
  <c r="T68" i="10" l="1"/>
  <c r="G106" i="9" s="1"/>
  <c r="X72" i="10"/>
  <c r="X82" i="10" s="1"/>
  <c r="X92" i="10" s="1"/>
  <c r="X102" i="10" s="1"/>
  <c r="E9" i="26"/>
  <c r="B21" i="26" s="1"/>
  <c r="B22" i="26" s="1"/>
  <c r="B30" i="26" l="1"/>
  <c r="I36" i="26" s="1"/>
  <c r="B28" i="26"/>
  <c r="G36" i="26" s="1"/>
  <c r="B29" i="26"/>
  <c r="H33" i="26" l="1"/>
  <c r="H36" i="26"/>
  <c r="J36" i="26" s="1"/>
  <c r="G33" i="26"/>
  <c r="I33" i="26"/>
  <c r="J33" i="26" l="1"/>
  <c r="K33" i="26"/>
  <c r="K36" i="26"/>
  <c r="J27" i="20" l="1"/>
  <c r="AD63" i="10" s="1"/>
  <c r="M27" i="20"/>
  <c r="AG63" i="10" s="1"/>
  <c r="H27" i="20"/>
  <c r="L27" i="20"/>
  <c r="AF63" i="10" s="1"/>
  <c r="N27" i="20"/>
  <c r="O27" i="20"/>
  <c r="F27" i="20"/>
  <c r="E27" i="20"/>
  <c r="I27" i="20"/>
  <c r="D27" i="20"/>
  <c r="X103" i="10" s="1"/>
  <c r="AK103" i="10" s="1"/>
  <c r="G27" i="20"/>
  <c r="K27" i="20"/>
  <c r="AE63" i="10" s="1"/>
  <c r="F14" i="20"/>
  <c r="E14" i="20"/>
  <c r="I14" i="20"/>
  <c r="L14" i="20"/>
  <c r="AF59" i="10" s="1"/>
  <c r="D14" i="20"/>
  <c r="X99" i="10" s="1"/>
  <c r="AK99" i="10" s="1"/>
  <c r="K14" i="20"/>
  <c r="AE59" i="10" s="1"/>
  <c r="M14" i="20"/>
  <c r="AG59" i="10" s="1"/>
  <c r="G14" i="20"/>
  <c r="O14" i="20"/>
  <c r="H14" i="20"/>
  <c r="J14" i="20"/>
  <c r="AD59" i="10" s="1"/>
  <c r="N14" i="20"/>
  <c r="AK106" i="10" l="1"/>
  <c r="T79" i="10" s="1"/>
  <c r="G105" i="9" s="1"/>
  <c r="AB69" i="10"/>
  <c r="AB59" i="10"/>
  <c r="AC73" i="10"/>
  <c r="AC63" i="10"/>
  <c r="AB73" i="10"/>
  <c r="AB63" i="10"/>
  <c r="AC69" i="10"/>
  <c r="AC59" i="10"/>
  <c r="AA73" i="10"/>
  <c r="AA83" i="10"/>
  <c r="AA69" i="10"/>
  <c r="AA79" i="10"/>
  <c r="Z69" i="10"/>
  <c r="Z79" i="10"/>
  <c r="Z73" i="10"/>
  <c r="Z83" i="10"/>
  <c r="X93" i="10"/>
  <c r="X73" i="10"/>
  <c r="X89" i="10"/>
  <c r="X69" i="10"/>
  <c r="Y79" i="10"/>
  <c r="Y69" i="10"/>
  <c r="Y83" i="10"/>
  <c r="Y73" i="10"/>
  <c r="AA63" i="10"/>
  <c r="AA93" i="10"/>
  <c r="AA59" i="10"/>
  <c r="AA89" i="10"/>
  <c r="Z59" i="10"/>
  <c r="Z89" i="10"/>
  <c r="Z63" i="10"/>
  <c r="Z93" i="10"/>
  <c r="Y89" i="10"/>
  <c r="Y59" i="10"/>
  <c r="Y93" i="10"/>
  <c r="Y63" i="10"/>
  <c r="X79" i="10"/>
  <c r="X59" i="10"/>
  <c r="X83" i="10"/>
  <c r="X63" i="10"/>
  <c r="AK79" i="10" l="1"/>
  <c r="AK69" i="10"/>
  <c r="AK73" i="10"/>
  <c r="AK83" i="10"/>
  <c r="AK93" i="10"/>
  <c r="AK89" i="10"/>
  <c r="AK59" i="10"/>
  <c r="AK63" i="10"/>
  <c r="AK96" i="10" l="1"/>
  <c r="T78" i="10" s="1"/>
  <c r="G104" i="9" s="1"/>
  <c r="AK76" i="10"/>
  <c r="T76" i="10" s="1"/>
  <c r="G102" i="9" s="1"/>
  <c r="AK66" i="10"/>
  <c r="T75" i="10" s="1"/>
  <c r="G101" i="9" s="1"/>
  <c r="AK86" i="10"/>
  <c r="T77" i="10" s="1"/>
  <c r="G103" i="9" s="1"/>
</calcChain>
</file>

<file path=xl/comments1.xml><?xml version="1.0" encoding="utf-8"?>
<comments xmlns="http://schemas.openxmlformats.org/spreadsheetml/2006/main">
  <authors>
    <author>Kythuat3</author>
  </authors>
  <commentList>
    <comment ref="B111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lấy số chẵn</t>
        </r>
      </text>
    </comment>
  </commentList>
</comments>
</file>

<file path=xl/comments2.xml><?xml version="1.0" encoding="utf-8"?>
<comments xmlns="http://schemas.openxmlformats.org/spreadsheetml/2006/main">
  <authors>
    <author>Kythuat3</author>
  </authors>
  <commentList>
    <comment ref="D65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sai số 0.5</t>
        </r>
      </text>
    </comment>
    <comment ref="D67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sai số 2
</t>
        </r>
      </text>
    </comment>
    <comment ref="B79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Kích thước lòng trong 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Chiều dài</t>
        </r>
      </text>
    </comment>
    <comment ref="C81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Lỗ</t>
        </r>
      </text>
    </comment>
    <comment ref="D81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Tâm lỗ ovan đến mép SK</t>
        </r>
      </text>
    </comment>
    <comment ref="D82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kt tâm hcn đến lỗ bắt với sk trên</t>
        </r>
      </text>
    </comment>
    <comment ref="B8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Phi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Khoảng cách lỗ</t>
        </r>
      </text>
    </comment>
    <comment ref="D8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Số lỗ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Đoạn còn lại</t>
        </r>
      </text>
    </comment>
    <comment ref="B85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bản rộng</t>
        </r>
      </text>
    </comment>
    <comment ref="C85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dày</t>
        </r>
      </text>
    </comment>
    <comment ref="D85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dài</t>
        </r>
      </text>
    </comment>
    <comment ref="B9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Lấy số chẵn</t>
        </r>
      </text>
    </comment>
    <comment ref="C94" authorId="0" shapeId="0">
      <text>
        <r>
          <rPr>
            <b/>
            <sz val="9"/>
            <color indexed="81"/>
            <rFont val="Tahoma"/>
            <family val="2"/>
          </rPr>
          <t xml:space="preserve">kích thước từ mép đến tâm lỗ
</t>
        </r>
      </text>
    </comment>
    <comment ref="B114" authorId="0" shapeId="0">
      <text>
        <r>
          <rPr>
            <b/>
            <sz val="9"/>
            <color indexed="81"/>
            <rFont val="Tahoma"/>
            <family val="2"/>
          </rPr>
          <t xml:space="preserve">Kyt
</t>
        </r>
      </text>
    </comment>
  </commentList>
</comments>
</file>

<file path=xl/comments3.xml><?xml version="1.0" encoding="utf-8"?>
<comments xmlns="http://schemas.openxmlformats.org/spreadsheetml/2006/main">
  <authors>
    <author>Kythuat3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dư tính cho giấy DDP</t>
        </r>
      </text>
    </comment>
  </commentList>
</comments>
</file>

<file path=xl/comments4.xml><?xml version="1.0" encoding="utf-8"?>
<comments xmlns="http://schemas.openxmlformats.org/spreadsheetml/2006/main">
  <authors>
    <author>Tuân Nguyễn</author>
    <author>Kythuat3</author>
    <author>kythuat3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Tuân Nguyễn
</t>
        </r>
        <r>
          <rPr>
            <sz val="9"/>
            <color indexed="81"/>
            <rFont val="Tahoma"/>
            <family val="2"/>
          </rPr>
          <t>chiều dài cộng thêm tấm đáy của 2 cánh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Tuân Nguyễn:</t>
        </r>
        <r>
          <rPr>
            <sz val="9"/>
            <color indexed="81"/>
            <rFont val="Tahoma"/>
            <family val="2"/>
          </rPr>
          <t xml:space="preserve">
chiều dày tấm đáy cánh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Tuân Nguyễn:</t>
        </r>
        <r>
          <rPr>
            <sz val="9"/>
            <color indexed="81"/>
            <rFont val="Tahoma"/>
            <family val="2"/>
          </rPr>
          <t xml:space="preserve">
đoạn gấp wor nắp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1-cắt chéo
2-Unicore
</t>
        </r>
      </text>
    </comment>
    <comment ref="F52" authorId="2" shapeId="0">
      <text/>
    </comment>
    <comment ref="H52" authorId="2" shapeId="0">
      <text>
        <r>
          <rPr>
            <b/>
            <sz val="9"/>
            <color indexed="81"/>
            <rFont val="Tahoma"/>
            <family val="2"/>
          </rPr>
          <t>Chiều cao đáy</t>
        </r>
      </text>
    </comment>
    <comment ref="V79" authorId="2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3" authorId="2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55 LÀ KT ĐOẠN GẤP GIỮA CỦA TĐ</t>
        </r>
      </text>
    </comment>
    <comment ref="B153" authorId="2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&lt;=2,85 OK</t>
        </r>
      </text>
    </comment>
    <comment ref="K170" authorId="2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số lỗ ty ép
</t>
        </r>
      </text>
    </comment>
  </commentList>
</comments>
</file>

<file path=xl/comments5.xml><?xml version="1.0" encoding="utf-8"?>
<comments xmlns="http://schemas.openxmlformats.org/spreadsheetml/2006/main">
  <authors>
    <author>kythuat3</author>
  </authors>
  <commentList>
    <comment ref="F20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Điền tay
</t>
        </r>
      </text>
    </comment>
  </commentList>
</comments>
</file>

<file path=xl/comments6.xml><?xml version="1.0" encoding="utf-8"?>
<comments xmlns="http://schemas.openxmlformats.org/spreadsheetml/2006/main">
  <authors>
    <author>kythuat3</author>
  </authors>
  <commentList>
    <comment ref="K27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&lt;=4.5</t>
        </r>
      </text>
    </comment>
    <comment ref="O27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&lt;=4.5
</t>
        </r>
      </text>
    </comment>
    <comment ref="K3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&lt;=2
</t>
        </r>
      </text>
    </comment>
    <comment ref="R33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&lt;=2
</t>
        </r>
      </text>
    </comment>
  </commentList>
</comments>
</file>

<file path=xl/comments7.xml><?xml version="1.0" encoding="utf-8"?>
<comments xmlns="http://schemas.openxmlformats.org/spreadsheetml/2006/main">
  <authors>
    <author>kythuat3</author>
  </authors>
  <commentList>
    <comment ref="Q65" authorId="0" shapeId="0">
      <text>
        <r>
          <rPr>
            <b/>
            <sz val="9"/>
            <color indexed="81"/>
            <rFont val="Tahoma"/>
            <family val="2"/>
          </rPr>
          <t xml:space="preserve">KÍN </t>
        </r>
      </text>
    </comment>
    <comment ref="Q66" authorId="0" shapeId="0">
      <text>
        <r>
          <rPr>
            <b/>
            <sz val="9"/>
            <color indexed="81"/>
            <rFont val="Tahoma"/>
            <family val="2"/>
          </rPr>
          <t xml:space="preserve">HỞ
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 xml:space="preserve">Môi trường:
25 - Bình thường
31 - Ngập mặn, . . . 
</t>
        </r>
      </text>
    </comment>
  </commentList>
</comments>
</file>

<file path=xl/comments8.xml><?xml version="1.0" encoding="utf-8"?>
<comments xmlns="http://schemas.openxmlformats.org/spreadsheetml/2006/main">
  <authors>
    <author>Kythuat3</author>
  </authors>
  <commentList>
    <comment ref="Q26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Check P.a rồi viết
p.a từ 40 là lõi amor
Các p.a từ 80 là phi tiêu chuẩn
</t>
        </r>
      </text>
    </comment>
  </commentList>
</comments>
</file>

<file path=xl/comments9.xml><?xml version="1.0" encoding="utf-8"?>
<comments xmlns="http://schemas.openxmlformats.org/spreadsheetml/2006/main">
  <authors>
    <author>kythuat3</author>
    <author>Kythuat3</author>
  </authors>
  <commentList>
    <comment ref="Q35" authorId="0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Dấu cách
</t>
        </r>
      </text>
    </comment>
    <comment ref="P36" authorId="0" shapeId="0">
      <text>
        <r>
          <rPr>
            <b/>
            <sz val="9"/>
            <color indexed="81"/>
            <rFont val="Tahoma"/>
            <family val="2"/>
          </rPr>
          <t xml:space="preserve">kythuat3:
</t>
        </r>
        <r>
          <rPr>
            <sz val="9"/>
            <color indexed="81"/>
            <rFont val="Tahoma"/>
            <family val="2"/>
          </rPr>
          <t>Loại đồng của ty sứ hạ thế</t>
        </r>
      </text>
    </comment>
    <comment ref="T45" authorId="1" shapeId="0">
      <text>
        <r>
          <rPr>
            <b/>
            <sz val="9"/>
            <color indexed="81"/>
            <rFont val="Tahoma"/>
            <family val="2"/>
          </rPr>
          <t>Kythuat3:</t>
        </r>
        <r>
          <rPr>
            <sz val="9"/>
            <color indexed="81"/>
            <rFont val="Tahoma"/>
            <family val="2"/>
          </rPr>
          <t xml:space="preserve">
unicore</t>
        </r>
      </text>
    </comment>
    <comment ref="T46" authorId="1" shapeId="0">
      <text>
        <r>
          <rPr>
            <b/>
            <sz val="9"/>
            <color indexed="81"/>
            <rFont val="Tahoma"/>
            <family val="2"/>
          </rPr>
          <t>Kythuat3
Cắt chéo</t>
        </r>
      </text>
    </comment>
  </commentList>
</comments>
</file>

<file path=xl/comments10.xml><?xml version="1.0" encoding="utf-8"?>
<comments xmlns="http://schemas.openxmlformats.org/spreadsheetml/2006/main">
  <authors>
    <author>kythuat3</author>
  </authors>
  <commentList>
    <comment ref="G266" authorId="0" shapeId="0">
      <text>
        <r>
          <rPr>
            <b/>
            <sz val="9"/>
            <color indexed="81"/>
            <rFont val="Tahoma"/>
            <family val="2"/>
          </rPr>
          <t xml:space="preserve">dấu cách
</t>
        </r>
      </text>
    </comment>
  </commentList>
</comments>
</file>

<file path=xl/comments11.xml><?xml version="1.0" encoding="utf-8"?>
<comments xmlns="http://schemas.openxmlformats.org/spreadsheetml/2006/main">
  <authors>
    <author>kythuat3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 xml:space="preserve">kythuat3:
sửa thành có
</t>
        </r>
      </text>
    </comment>
  </commentList>
</comments>
</file>

<file path=xl/comments12.xml><?xml version="1.0" encoding="utf-8"?>
<comments xmlns="http://schemas.openxmlformats.org/spreadsheetml/2006/main">
  <authors>
    <author>kythuat3</author>
  </authors>
  <commentList>
    <comment ref="P13" authorId="0" shapeId="0">
      <text>
        <r>
          <rPr>
            <b/>
            <sz val="9"/>
            <color indexed="81"/>
            <rFont val="Tahoma"/>
            <family val="2"/>
          </rPr>
          <t xml:space="preserve">Khoảng cách tối thiểu (min)
</t>
        </r>
      </text>
    </comment>
  </commentList>
</comments>
</file>

<file path=xl/sharedStrings.xml><?xml version="1.0" encoding="utf-8"?>
<sst xmlns="http://schemas.openxmlformats.org/spreadsheetml/2006/main" count="7237" uniqueCount="4384">
  <si>
    <t>[mm]a=20</t>
  </si>
  <si>
    <t>[mm]b=1.2</t>
  </si>
  <si>
    <t>[mm]G=20</t>
  </si>
  <si>
    <t>BẦU DẦU</t>
  </si>
  <si>
    <t>CAO THẾ</t>
  </si>
  <si>
    <t>TAI TREO</t>
  </si>
  <si>
    <t>BULONG TIẾP ĐỊA</t>
  </si>
  <si>
    <t>KHỐI V</t>
  </si>
  <si>
    <t>HẠ THẾ</t>
  </si>
  <si>
    <t>TẤM INOX</t>
  </si>
  <si>
    <t>LỖ ĐỒNG HỒ</t>
  </si>
  <si>
    <t>LỖ VAN GIẢM ÁP</t>
  </si>
  <si>
    <t>MÓC CẨU</t>
  </si>
  <si>
    <t>LỖ ĐIỀU CHỈNH</t>
  </si>
  <si>
    <t>ĐỘ DÀY</t>
  </si>
  <si>
    <t>CHÂN U</t>
  </si>
  <si>
    <t>ĐÁY MÁY</t>
  </si>
  <si>
    <t>KT VỎ</t>
  </si>
  <si>
    <t>chiều dài</t>
  </si>
  <si>
    <t>dày</t>
  </si>
  <si>
    <t>kc lỗ</t>
  </si>
  <si>
    <t>kt lỗ</t>
  </si>
  <si>
    <t>kc tai</t>
  </si>
  <si>
    <t>chiều dài cạnh</t>
  </si>
  <si>
    <t>kt bulong</t>
  </si>
  <si>
    <t>kc bulong</t>
  </si>
  <si>
    <t>độ dày đáy</t>
  </si>
  <si>
    <t>chiều rộng tai treo</t>
  </si>
  <si>
    <t>độ dày</t>
  </si>
  <si>
    <t>kc từ tâm</t>
  </si>
  <si>
    <t>kc theo truc x</t>
  </si>
  <si>
    <t>kc theo y</t>
  </si>
  <si>
    <t xml:space="preserve">kt lỗ </t>
  </si>
  <si>
    <t>kc cách các lỗ</t>
  </si>
  <si>
    <t>kc thanh chặn</t>
  </si>
  <si>
    <t>Lỗ sứ</t>
  </si>
  <si>
    <t>Cấp điện áp</t>
  </si>
  <si>
    <t>10Kv-250A</t>
  </si>
  <si>
    <t>22Kv-250A</t>
  </si>
  <si>
    <t>35Kv-250A</t>
  </si>
  <si>
    <t>10Kv-630A</t>
  </si>
  <si>
    <t>22Kv-630A</t>
  </si>
  <si>
    <t>35Kv-630A</t>
  </si>
  <si>
    <t>Ty sứ</t>
  </si>
  <si>
    <t>M12</t>
  </si>
  <si>
    <t>M20</t>
  </si>
  <si>
    <t>GUZONG</t>
  </si>
  <si>
    <t>M10X58/M12X65</t>
  </si>
  <si>
    <t>CÔNG SUẤT</t>
  </si>
  <si>
    <t>TY SỨ</t>
  </si>
  <si>
    <t>LỖ SỨ</t>
  </si>
  <si>
    <t>KHOẢNG CÁCH CÁC SỨ</t>
  </si>
  <si>
    <t>250-400KVA</t>
  </si>
  <si>
    <t>560-800KVA</t>
  </si>
  <si>
    <t>1000-1250KVA</t>
  </si>
  <si>
    <t>1500-2200KVA</t>
  </si>
  <si>
    <t>M20-630A</t>
  </si>
  <si>
    <t>M30-1000A</t>
  </si>
  <si>
    <t>M42-2000A</t>
  </si>
  <si>
    <t>M48-3150A</t>
  </si>
  <si>
    <t>KHỐI CHÂN U</t>
  </si>
  <si>
    <t>KHOẢNG CÁCH BÁNH XE</t>
  </si>
  <si>
    <t>U5</t>
  </si>
  <si>
    <t>U6</t>
  </si>
  <si>
    <t>CÔNG SUẤT(KVA)</t>
  </si>
  <si>
    <t>kc sứ</t>
  </si>
  <si>
    <t>M10X58/M10X55</t>
  </si>
  <si>
    <t>M12-250A</t>
  </si>
  <si>
    <t>KHOẢNG CÁCH VS THANH CHẶN</t>
  </si>
  <si>
    <t>Công suất</t>
  </si>
  <si>
    <t xml:space="preserve">CẤP ĐIỆN ÁP </t>
  </si>
  <si>
    <t>KT RỘNG</t>
  </si>
  <si>
    <t>KT DÀI</t>
  </si>
  <si>
    <t>kc BULONG</t>
  </si>
  <si>
    <t>kc LỖ</t>
  </si>
  <si>
    <t>ĐỘ DÀY NẮP</t>
  </si>
  <si>
    <t>KT LỖ</t>
  </si>
  <si>
    <t>KC TRỤC X</t>
  </si>
  <si>
    <t>KC X</t>
  </si>
  <si>
    <t>KC Y</t>
  </si>
  <si>
    <t>KTHUOC DÀI</t>
  </si>
  <si>
    <t>DÀY</t>
  </si>
  <si>
    <t>RỘNG</t>
  </si>
  <si>
    <t>ĐỘ DÀY NẮP MÁY</t>
  </si>
  <si>
    <t>&lt;=400</t>
  </si>
  <si>
    <t>CHIỀU RỘNG VỎ</t>
  </si>
  <si>
    <t>ĐỘ DÀY ĐÁY</t>
  </si>
  <si>
    <t>&gt;400-615</t>
  </si>
  <si>
    <t>&gt;615-830</t>
  </si>
  <si>
    <t>MỐI HÀN CÁNH VS ĐÁY</t>
  </si>
  <si>
    <t>DÀI</t>
  </si>
  <si>
    <t xml:space="preserve">MỐI HÀN CÁNH VS ĐÁY </t>
  </si>
  <si>
    <t>CHIỀU DÀI CÁNH</t>
  </si>
  <si>
    <t>CHIỀU DÀY CÁNH</t>
  </si>
  <si>
    <t>khoảng cách các lỗ đoạn giữa</t>
  </si>
  <si>
    <t>đoạn còn lại</t>
  </si>
  <si>
    <t>Số  lỗ giữa 2 lỗ cố định</t>
  </si>
  <si>
    <t>H3</t>
  </si>
  <si>
    <t>KC lỗ đến vỏ</t>
  </si>
  <si>
    <t>D</t>
  </si>
  <si>
    <t>Chiều dài/rộng vỏ</t>
  </si>
  <si>
    <t>H10/H9</t>
  </si>
  <si>
    <t>H8/H7</t>
  </si>
  <si>
    <t>TÊN TIÊU CHUẨN</t>
  </si>
  <si>
    <t>TRỌNG LƯỢNG</t>
  </si>
  <si>
    <t>F</t>
  </si>
  <si>
    <t>MTN-1</t>
  </si>
  <si>
    <t>0-75</t>
  </si>
  <si>
    <t>MTN-2</t>
  </si>
  <si>
    <t>75-560</t>
  </si>
  <si>
    <t>MTN-3</t>
  </si>
  <si>
    <t>MTN-4</t>
  </si>
  <si>
    <t>MTN-5</t>
  </si>
  <si>
    <t>560-1000</t>
  </si>
  <si>
    <t>1000-1800</t>
  </si>
  <si>
    <t>1800-4000</t>
  </si>
  <si>
    <t>PHI-M4</t>
  </si>
  <si>
    <t>DÀY-M2</t>
  </si>
  <si>
    <t>NHẬP CÔNG SUẤT</t>
  </si>
  <si>
    <t>TRỌNG LƯỢNG CHỊU ĐỰNG CỦA 1 MÓC</t>
  </si>
  <si>
    <t>điện thế</t>
  </si>
  <si>
    <t>1000-2000</t>
  </si>
  <si>
    <t>&gt;=2500</t>
  </si>
  <si>
    <t>kc lỗ DƯỚI</t>
  </si>
  <si>
    <t>kc lỗ TRÊN</t>
  </si>
  <si>
    <t>kt lỗ TRÊN</t>
  </si>
  <si>
    <t>kt lỗ DƯỚI</t>
  </si>
  <si>
    <t>801-2500</t>
  </si>
  <si>
    <t>3200-4000</t>
  </si>
  <si>
    <t>&gt;5600</t>
  </si>
  <si>
    <t>CÔNG SUẤT KHỐI V</t>
  </si>
  <si>
    <t>CHIỀU RỘNG VỎ NẮP</t>
  </si>
  <si>
    <t>CHIỀU RỘNG VỎ ĐÁY</t>
  </si>
  <si>
    <t>CÔNG SUẤT TAI TREO</t>
  </si>
  <si>
    <t>KC LỖ TRÊN</t>
  </si>
  <si>
    <t>KT LỖ TRÊN</t>
  </si>
  <si>
    <t>CÔNG SUẤT chân u</t>
  </si>
  <si>
    <t>&gt;=5600</t>
  </si>
  <si>
    <t>KL TỔNG</t>
  </si>
  <si>
    <t>STEP 1</t>
  </si>
  <si>
    <t>KL MÓC CẨU</t>
  </si>
  <si>
    <t>KÍ HIỆU</t>
  </si>
  <si>
    <t>GIẢI THÍCH KÍ HIỆU</t>
  </si>
  <si>
    <t>CÁNH NGẮN</t>
  </si>
  <si>
    <t>CÁNH DÀI</t>
  </si>
  <si>
    <t>ĐƠN VỊ</t>
  </si>
  <si>
    <t/>
  </si>
  <si>
    <t>Số lượng cánh</t>
  </si>
  <si>
    <t>Cái.</t>
  </si>
  <si>
    <t>L</t>
  </si>
  <si>
    <t>mm.</t>
  </si>
  <si>
    <t>H</t>
  </si>
  <si>
    <t>Chiều cao cánh</t>
  </si>
  <si>
    <t>T</t>
  </si>
  <si>
    <t>Khoảng cách</t>
  </si>
  <si>
    <t>B</t>
  </si>
  <si>
    <t>Gờ trước</t>
  </si>
  <si>
    <t>A</t>
  </si>
  <si>
    <t>Gờ sau</t>
  </si>
  <si>
    <t>Độ dài cánh</t>
  </si>
  <si>
    <t>Chiều dày cánh</t>
  </si>
  <si>
    <t>Số lượng</t>
  </si>
  <si>
    <t>DÀI (Dx)</t>
  </si>
  <si>
    <t>RỘNG (Dy)</t>
  </si>
  <si>
    <t>CAO (Dz)</t>
  </si>
  <si>
    <t>STEP 2</t>
  </si>
  <si>
    <t>STEP 3</t>
  </si>
  <si>
    <t>STEP 4</t>
  </si>
  <si>
    <t>STEP 5</t>
  </si>
  <si>
    <t>STEP 6</t>
  </si>
  <si>
    <t>STEP 7</t>
  </si>
  <si>
    <t>STEP 8</t>
  </si>
  <si>
    <t>E4</t>
  </si>
  <si>
    <t>E5</t>
  </si>
  <si>
    <t>25-31,5-50</t>
  </si>
  <si>
    <t>75-100-160</t>
  </si>
  <si>
    <t>560-630-750</t>
  </si>
  <si>
    <t>2000-3200 
4000-6300</t>
  </si>
  <si>
    <t>TIÊU CHUẨN BD</t>
  </si>
  <si>
    <t>BD30(21)</t>
  </si>
  <si>
    <t>E</t>
  </si>
  <si>
    <t>G</t>
  </si>
  <si>
    <t>I</t>
  </si>
  <si>
    <t>BD31(22)</t>
  </si>
  <si>
    <t>BD32(23)</t>
  </si>
  <si>
    <t>BD33(24)</t>
  </si>
  <si>
    <t>BD34(25)</t>
  </si>
  <si>
    <t>BD35(26)</t>
  </si>
  <si>
    <t>BD36(27)</t>
  </si>
  <si>
    <t>BD37(28)</t>
  </si>
  <si>
    <t>BD38</t>
  </si>
  <si>
    <t>BD39</t>
  </si>
  <si>
    <t>C35</t>
  </si>
  <si>
    <t>C22</t>
  </si>
  <si>
    <t>180-250-320</t>
  </si>
  <si>
    <t>KC BULONG quanh bd</t>
  </si>
  <si>
    <t>kc bulong chân đỡ bd x</t>
  </si>
  <si>
    <t>kc bulong chân đỡ bd y</t>
  </si>
  <si>
    <t>CÔNG SUẤT BẦU DẦU</t>
  </si>
  <si>
    <t>kc từ tâm hạ thế(E4)</t>
  </si>
  <si>
    <t>kc từ tâmcao thế(E5)</t>
  </si>
  <si>
    <t>LỖ VAN ĐÁY</t>
  </si>
  <si>
    <t xml:space="preserve">KC </t>
  </si>
  <si>
    <t>KT</t>
  </si>
  <si>
    <t>&lt;=800</t>
  </si>
  <si>
    <t>&gt;800</t>
  </si>
  <si>
    <t>KC</t>
  </si>
  <si>
    <t>&lt;=450</t>
  </si>
  <si>
    <t>LOẠI U</t>
  </si>
  <si>
    <t>ĐỘ Dài</t>
  </si>
  <si>
    <t>dài BD</t>
  </si>
  <si>
    <t>C1</t>
  </si>
  <si>
    <t>CÁNH THƯỜNG</t>
  </si>
  <si>
    <t>CÁNH GÓC</t>
  </si>
  <si>
    <t>Số cánh ngắn (Cn3)</t>
  </si>
  <si>
    <t>Số cánh dài (Cn4)</t>
  </si>
  <si>
    <t>Chiều cao cánh dài (Cy4)</t>
  </si>
  <si>
    <t xml:space="preserve"> Chiều cao cánh ngắn (Cy3)</t>
  </si>
  <si>
    <t>Tổng cánh</t>
  </si>
  <si>
    <t>201-800</t>
  </si>
  <si>
    <t>800-1000-1250 1600-1800-2000</t>
  </si>
  <si>
    <t>rộng vỏ + 2</t>
  </si>
  <si>
    <t>[mm]mh2=20</t>
  </si>
  <si>
    <t>&lt;=200</t>
  </si>
  <si>
    <t>BD10</t>
  </si>
  <si>
    <t>BD11</t>
  </si>
  <si>
    <t>Kín</t>
  </si>
  <si>
    <t>Hở</t>
  </si>
  <si>
    <t>Kiểu loại nắp máy</t>
  </si>
  <si>
    <t>BD2-X</t>
  </si>
  <si>
    <t>BD3-Y</t>
  </si>
  <si>
    <t>BD7</t>
  </si>
  <si>
    <t>BD12</t>
  </si>
  <si>
    <t>BD13</t>
  </si>
  <si>
    <t>BD14</t>
  </si>
  <si>
    <t>BD15</t>
  </si>
  <si>
    <t>V</t>
  </si>
  <si>
    <t>OIL WEIGHT</t>
  </si>
  <si>
    <t>OIL TYPE</t>
  </si>
  <si>
    <t>tính theo độ dày đáy</t>
  </si>
  <si>
    <t>CÔNG SUẤT MÁY</t>
  </si>
  <si>
    <t>&lt;500</t>
  </si>
  <si>
    <t>&gt;= 500</t>
  </si>
  <si>
    <t>KC X (BD2)</t>
  </si>
  <si>
    <t>0-100</t>
  </si>
  <si>
    <t>450-2500</t>
  </si>
  <si>
    <t>CÔNG SUẤT /U/CĂN 3, SO SANH VS DÒNG ĐIỆN TY SỨ</t>
  </si>
  <si>
    <t>0-180KVA</t>
  </si>
  <si>
    <t>TỔNG CÁC CẤP TÔN</t>
  </si>
  <si>
    <t>Mo</t>
  </si>
  <si>
    <t>KT SẮT KẸP</t>
  </si>
  <si>
    <t>SỬA BẢN VẼ NẮP MÁY</t>
  </si>
  <si>
    <t>Yoke-Top</t>
  </si>
  <si>
    <t>van giảm áp y</t>
  </si>
  <si>
    <t>van giảm áp x</t>
  </si>
  <si>
    <t>KT lỗ dầu</t>
  </si>
  <si>
    <t>Inside Dim</t>
  </si>
  <si>
    <t>Đồng thanh cái</t>
  </si>
  <si>
    <t>STEP CUỐI</t>
  </si>
  <si>
    <t>CHIỀU RỘNG TÔN</t>
  </si>
  <si>
    <t>CHIỀU DÀY TÔN</t>
  </si>
  <si>
    <t>Giới hạn hạ thế TAI TREO</t>
  </si>
  <si>
    <t>Giới hạn cao thế TAI TREO</t>
  </si>
  <si>
    <t>CHIA STEP CUỐI BÊN HẠ</t>
  </si>
  <si>
    <t>CHIA STEP CUỐI BÊN CAO</t>
  </si>
  <si>
    <t>CHIỀU CAO CÁNH DÀI (KHÔNG CÁNH NGẮN)BÊN CAO THẾ</t>
  </si>
  <si>
    <t>CHIỀU CAO CÁNH DÀI (KHÔNG CÁNH NGẮN)BÊN HẠ THẾ</t>
  </si>
  <si>
    <t>kc sứ đến vỏ</t>
  </si>
  <si>
    <t>KC SỨ ĐẾN VỎ</t>
  </si>
  <si>
    <t>VỊ TRÍ MÓC CẨU(M5)</t>
  </si>
  <si>
    <t>ĐỘ DÀY TAI TREO</t>
  </si>
  <si>
    <t>INOX</t>
  </si>
  <si>
    <t>sửa bản vẽ nắp máy 12xm10,4x lỗ hạ,điều chỉnh</t>
  </si>
  <si>
    <t>CÁNH LÒ SƯỞI</t>
  </si>
  <si>
    <t>NẮP THƯỜNG</t>
  </si>
  <si>
    <t>C</t>
  </si>
  <si>
    <t>TÍNH LỖ LÒ SƯỞI</t>
  </si>
  <si>
    <t>KC AN TOÀN</t>
  </si>
  <si>
    <t>GÓC ALPHA</t>
  </si>
  <si>
    <t>KC 2 LỖ CỐ ĐỊNH</t>
  </si>
  <si>
    <t>SỐ LỖ GIỮA 2 LỖ GIỮA 2 LỖ CỐ ĐỊNH</t>
  </si>
  <si>
    <t>KC LỖ</t>
  </si>
  <si>
    <t>ĐOẠN CÒN LẠI</t>
  </si>
  <si>
    <t>CHIỀU DÀI CHÂN ĐỠ BD</t>
  </si>
  <si>
    <t>SK2 ĐỘ DÀY SẮT KẸP</t>
  </si>
  <si>
    <t>SK1 ĐỘ DÀY U HÀN VÀO SK</t>
  </si>
  <si>
    <t>SK3 CHIỀU RỘNG SK</t>
  </si>
  <si>
    <t>a1</t>
  </si>
  <si>
    <t>a12</t>
  </si>
  <si>
    <t>a21</t>
  </si>
  <si>
    <t>SẮT KẸP DƯỚI</t>
  </si>
  <si>
    <t>50-560</t>
  </si>
  <si>
    <t>1000-1500</t>
  </si>
  <si>
    <t xml:space="preserve">SK6 </t>
  </si>
  <si>
    <t>SK6</t>
  </si>
  <si>
    <t>TRỤ 1</t>
  </si>
  <si>
    <t>Cấp</t>
  </si>
  <si>
    <t>L1</t>
  </si>
  <si>
    <t>M1</t>
  </si>
  <si>
    <t>L2</t>
  </si>
  <si>
    <t>M2</t>
  </si>
  <si>
    <t>L3</t>
  </si>
  <si>
    <t>M3</t>
  </si>
  <si>
    <t>Chiều dày</t>
  </si>
  <si>
    <t>Số lá</t>
  </si>
  <si>
    <t>TRỤ 2</t>
  </si>
  <si>
    <t>XÀ</t>
  </si>
  <si>
    <t>KL</t>
  </si>
  <si>
    <t>Tổng</t>
  </si>
  <si>
    <t>Loại 1-2-3</t>
  </si>
  <si>
    <t>(kg)</t>
  </si>
  <si>
    <t>01</t>
  </si>
  <si>
    <t>x2</t>
  </si>
  <si>
    <t>x4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</si>
  <si>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</si>
  <si>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</si>
  <si>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</si>
  <si>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</si>
  <si>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</si>
  <si>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</si>
  <si>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</si>
  <si>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</si>
  <si>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KL tổng = </t>
  </si>
  <si>
    <t>THÔNG SỐ LÕI TÔN</t>
  </si>
  <si>
    <t>Chiều cao cửa sổ</t>
  </si>
  <si>
    <t>Kh cách tâm trụ</t>
  </si>
  <si>
    <t>k=</t>
  </si>
  <si>
    <t>i=</t>
  </si>
  <si>
    <t>Trọng lượng tinh</t>
  </si>
  <si>
    <t>Trọng lượng thô</t>
  </si>
  <si>
    <t>kc=</t>
  </si>
  <si>
    <t>Loại tôn</t>
  </si>
  <si>
    <t>- Độ bavia &lt;= 0,02mm</t>
  </si>
  <si>
    <t>- Cắt thử 1 hoặc 2 lá sau đó kiểm tra thấy đạt yêu cầu rồi mới cắt hàng loạt</t>
  </si>
  <si>
    <t xml:space="preserve">NO OF COOL </t>
  </si>
  <si>
    <t>Dây quấn</t>
  </si>
  <si>
    <t>DQ2</t>
  </si>
  <si>
    <t>DQ4</t>
  </si>
  <si>
    <t>DQ6</t>
  </si>
  <si>
    <t>DQ8</t>
  </si>
  <si>
    <t>WH</t>
  </si>
  <si>
    <t>Kthuoc căn thông dầu</t>
  </si>
  <si>
    <t>Chia tôn</t>
  </si>
  <si>
    <t>ST1</t>
  </si>
  <si>
    <t>ST2</t>
  </si>
  <si>
    <t>ST3</t>
  </si>
  <si>
    <t>ST4</t>
  </si>
  <si>
    <t>ST5</t>
  </si>
  <si>
    <t>ST6</t>
  </si>
  <si>
    <t>ST7</t>
  </si>
  <si>
    <t>ST8</t>
  </si>
  <si>
    <t>KIỂU KÍN,HÀN GÂN KHÔNG ĐÍNH</t>
  </si>
  <si>
    <t>KIỂU HỞ,H&gt;=200,HÀN GÂN ĐÍNH</t>
  </si>
  <si>
    <t>??????????????????</t>
  </si>
  <si>
    <t>TRU</t>
  </si>
  <si>
    <t>WD1</t>
  </si>
  <si>
    <t>WD2</t>
  </si>
  <si>
    <t>WD3</t>
  </si>
  <si>
    <t>WD4</t>
  </si>
  <si>
    <t>WD5</t>
  </si>
  <si>
    <t>WD6</t>
  </si>
  <si>
    <t>WD7</t>
  </si>
  <si>
    <t>WD8</t>
  </si>
  <si>
    <t>DQ1 CAO THẾ</t>
  </si>
  <si>
    <t>DQ3 HẠ THẾ</t>
  </si>
  <si>
    <t>DQ7 HẠ THẾ</t>
  </si>
  <si>
    <t>DQ5 CAO THẾ</t>
  </si>
  <si>
    <t>HW</t>
  </si>
  <si>
    <t>BD17</t>
  </si>
  <si>
    <t>BD16</t>
  </si>
  <si>
    <t>BD18</t>
  </si>
  <si>
    <t>chiều dài tấm inox</t>
  </si>
  <si>
    <t>đoạn bù cho chiều dài ống dẫn dầu đủ 300 để uốn</t>
  </si>
  <si>
    <t>phi BD8</t>
  </si>
  <si>
    <t>ĐK (2) CHÂN ĐỠ BẦU DẦU VS MẶT NẮP KHI ĐÃ THỎA MÃN (ĐK1 &gt;=40)</t>
  </si>
  <si>
    <t>chiều dài ống dẫn dầu             điều kiện để uốn &gt;= 300</t>
  </si>
  <si>
    <t>CHIỀU DÀI NẮP từ tâm</t>
  </si>
  <si>
    <t>ĐK (1) KHÔNG CHẠM INOX (&gt;=10)</t>
  </si>
  <si>
    <t>BD2 - đoạn bù chiều dài ống dẫn dầu</t>
  </si>
  <si>
    <t>BD2 VỚI ĐK1</t>
  </si>
  <si>
    <t>THAY VÀO BẢN VẼ BẦU DẦU</t>
  </si>
  <si>
    <t>BẰNG VS BD2 TRONG BẢNG HỞ KÍN</t>
  </si>
  <si>
    <r>
      <t xml:space="preserve">chiều dài ống dẫn dầu </t>
    </r>
    <r>
      <rPr>
        <sz val="11"/>
        <color rgb="FFFF0000"/>
        <rFont val="Calibri"/>
        <family val="2"/>
        <scheme val="minor"/>
      </rPr>
      <t>(BD19)</t>
    </r>
  </si>
  <si>
    <t>BD19</t>
  </si>
  <si>
    <t>ĐÁY KHÔNG THÓP KHI QUẤN ĐỒNG DÂY VỚI MÁY&lt;50KVA</t>
  </si>
  <si>
    <t>CỐ ĐỊNH ĐOẠN CONG BD CAO TỪ CHÂN MẶT BÍCH ĐẾN TÂM ỐNG</t>
  </si>
  <si>
    <t>NẮP SỨ NGHIÊNG THÌ ỐNG BD CỘNG THÊM 10 LY</t>
  </si>
  <si>
    <t>BD2 THEO CÔNG THỨC CŨ GIỚI HẠN LỖ BẦU DẦU TRÊN MẶT NẮP</t>
  </si>
  <si>
    <t>1….8</t>
  </si>
  <si>
    <t>[mm]WD9=</t>
  </si>
  <si>
    <t>[mm]WD10=</t>
  </si>
  <si>
    <t>[mm]Wd11=</t>
  </si>
  <si>
    <t>[mm]Wd12=</t>
  </si>
  <si>
    <t>[mm]Wd13=</t>
  </si>
  <si>
    <t>[mm]Wd14=</t>
  </si>
  <si>
    <t>[mm]Wd15=</t>
  </si>
  <si>
    <t>[mm]Wd16=</t>
  </si>
  <si>
    <t>[mm]TRUC1=</t>
  </si>
  <si>
    <t>[mm]TRUC2=</t>
  </si>
  <si>
    <t>[mm]TRUC3=</t>
  </si>
  <si>
    <t>[mm]TRUC4=</t>
  </si>
  <si>
    <t>[mm]TRUC5=</t>
  </si>
  <si>
    <t>[mm]TRUC6=</t>
  </si>
  <si>
    <t>[mm]TRUC7=</t>
  </si>
  <si>
    <t>[mm]TRUC8=</t>
  </si>
  <si>
    <t>[mm]TRUL1=</t>
  </si>
  <si>
    <t>[mm]TRUL3=</t>
  </si>
  <si>
    <t>[mm]TRUL2=</t>
  </si>
  <si>
    <t>[mm]TRUL4=</t>
  </si>
  <si>
    <t>[mm]TRUL5=</t>
  </si>
  <si>
    <t>[mm]TRUL6=</t>
  </si>
  <si>
    <t>[mm]TRUL7=</t>
  </si>
  <si>
    <t>[mm]TRUL8=</t>
  </si>
  <si>
    <t>[mm]XAL1=</t>
  </si>
  <si>
    <t>[mm]XAL2=</t>
  </si>
  <si>
    <t>[mm]XAL3=</t>
  </si>
  <si>
    <t>[mm]XAL4=</t>
  </si>
  <si>
    <t>[mm]XAL5=</t>
  </si>
  <si>
    <t>[mm]XAL6=</t>
  </si>
  <si>
    <t>[mm]XAL7=</t>
  </si>
  <si>
    <t>[mm]XAL8=</t>
  </si>
  <si>
    <t>[mm]XAC1=</t>
  </si>
  <si>
    <t>[mm]XAC2=</t>
  </si>
  <si>
    <t>[mm]XAC3=</t>
  </si>
  <si>
    <t>[mm]XAC4=</t>
  </si>
  <si>
    <t>[mm]XAC5=</t>
  </si>
  <si>
    <t>[mm]XAC6=</t>
  </si>
  <si>
    <t>[mm]XAC7=</t>
  </si>
  <si>
    <t>[mm]XAC8=</t>
  </si>
  <si>
    <t>[mm]TRUGL1=</t>
  </si>
  <si>
    <t>[mm]TRUGL2=</t>
  </si>
  <si>
    <t>[mm]TRUGL3=</t>
  </si>
  <si>
    <t>[mm]TRUGL4=</t>
  </si>
  <si>
    <t>[mm]TRUGL5=</t>
  </si>
  <si>
    <t>[mm]TRUGL6=</t>
  </si>
  <si>
    <t>[mm]TRUGL7=</t>
  </si>
  <si>
    <t>[mm]TRUGL8=</t>
  </si>
  <si>
    <t>[mm]XA=</t>
  </si>
  <si>
    <t>2.Sứ cao thế</t>
  </si>
  <si>
    <t>3.Điều chỉnh điện áp</t>
  </si>
  <si>
    <t>4.Sứ hạ thế</t>
  </si>
  <si>
    <t>5.Van giảm áp</t>
  </si>
  <si>
    <t>6.Ống đổ dầu - chỉ thị mức dầu</t>
  </si>
  <si>
    <t>10.Van xả dầu</t>
  </si>
  <si>
    <t>1.Thermometer</t>
  </si>
  <si>
    <t>2.HV bushing 22kV</t>
  </si>
  <si>
    <t>3.Off load tap changer</t>
  </si>
  <si>
    <t>4.LV bushing 1kV</t>
  </si>
  <si>
    <t>5.Valve reduce pressure</t>
  </si>
  <si>
    <t>6.Oil level indicator</t>
  </si>
  <si>
    <t>7.Tank</t>
  </si>
  <si>
    <t>8.Radiator</t>
  </si>
  <si>
    <t>9.Rating plate</t>
  </si>
  <si>
    <t>10.Oil drain valve</t>
  </si>
  <si>
    <t>11.Earthing stud</t>
  </si>
  <si>
    <t>12.Wheel frame</t>
  </si>
  <si>
    <t>BD6</t>
  </si>
  <si>
    <t>KÍCH THƯỚC (mm)</t>
  </si>
  <si>
    <t>KHỐI LƯỢNG (kg)</t>
  </si>
  <si>
    <t>DẦU</t>
  </si>
  <si>
    <t>RUỘT</t>
  </si>
  <si>
    <t>TỔNG</t>
  </si>
  <si>
    <t>670</t>
  </si>
  <si>
    <t xml:space="preserve"> </t>
  </si>
  <si>
    <t>CÁNH DÀI IN</t>
  </si>
  <si>
    <t>CÁNH NGẮN IN</t>
  </si>
  <si>
    <t>Cn</t>
  </si>
  <si>
    <t>GỜ TRƯỚC SAU</t>
  </si>
  <si>
    <r>
      <t xml:space="preserve">CHIỀU CAO CÁNH NGẮN BÊN KIA </t>
    </r>
    <r>
      <rPr>
        <sz val="11"/>
        <color rgb="FFFF0000"/>
        <rFont val="Calibri"/>
        <family val="2"/>
        <scheme val="minor"/>
      </rPr>
      <t>(Cy7)</t>
    </r>
  </si>
  <si>
    <r>
      <t xml:space="preserve">GỜ SAU A CỦA CÁNH DÀI </t>
    </r>
    <r>
      <rPr>
        <sz val="11"/>
        <color rgb="FFFF0000"/>
        <rFont val="Calibri"/>
        <family val="2"/>
        <scheme val="minor"/>
      </rPr>
      <t>C7</t>
    </r>
  </si>
  <si>
    <r>
      <t xml:space="preserve">GỜ SAU A CỦA CÁNH NGẮN </t>
    </r>
    <r>
      <rPr>
        <sz val="11"/>
        <color rgb="FFFF0000"/>
        <rFont val="Calibri"/>
        <family val="2"/>
        <scheme val="minor"/>
      </rPr>
      <t>C6</t>
    </r>
  </si>
  <si>
    <r>
      <t xml:space="preserve">THANH SẮT TRÊN CÁNH DÀI </t>
    </r>
    <r>
      <rPr>
        <sz val="11"/>
        <color rgb="FFFF0000"/>
        <rFont val="Calibri"/>
        <family val="2"/>
        <scheme val="minor"/>
      </rPr>
      <t>(C5)</t>
    </r>
  </si>
  <si>
    <r>
      <t xml:space="preserve">THANH SẮT TRÊN CÁNH NGẮN </t>
    </r>
    <r>
      <rPr>
        <sz val="11"/>
        <color rgb="FFFF0000"/>
        <rFont val="Calibri"/>
        <family val="2"/>
        <scheme val="minor"/>
      </rPr>
      <t>(C4)</t>
    </r>
  </si>
  <si>
    <r>
      <t xml:space="preserve">CHIỀU CAO CÁNH DÀI BÊN CAO THẾ </t>
    </r>
    <r>
      <rPr>
        <sz val="11"/>
        <color rgb="FFFF0000"/>
        <rFont val="Calibri"/>
        <family val="2"/>
        <scheme val="minor"/>
      </rPr>
      <t>(Cy8)</t>
    </r>
  </si>
  <si>
    <r>
      <t>CHIỀU CAO CÁNH DÀI (KHÔNG CÁNH NGẮN)BÊN CAO THẾ-</t>
    </r>
    <r>
      <rPr>
        <sz val="11"/>
        <color rgb="FFFF0000"/>
        <rFont val="Calibri"/>
        <family val="2"/>
        <scheme val="minor"/>
      </rPr>
      <t>Cy6</t>
    </r>
  </si>
  <si>
    <r>
      <t>CHIỀU CAO CÁNH DÀI (KHÔNG CÁNH NGẮN)BÊN HẠ THẾ-</t>
    </r>
    <r>
      <rPr>
        <sz val="11"/>
        <color rgb="FFFF0000"/>
        <rFont val="Calibri"/>
        <family val="2"/>
        <scheme val="minor"/>
      </rPr>
      <t>Cy5</t>
    </r>
  </si>
  <si>
    <r>
      <t xml:space="preserve">SỐ CÁNH DÀI- </t>
    </r>
    <r>
      <rPr>
        <sz val="11"/>
        <color rgb="FFFF0000"/>
        <rFont val="Calibri"/>
        <family val="2"/>
        <scheme val="minor"/>
      </rPr>
      <t>Cn2</t>
    </r>
  </si>
  <si>
    <r>
      <t xml:space="preserve">SỐ CÁNH NGẮN- </t>
    </r>
    <r>
      <rPr>
        <sz val="11"/>
        <color rgb="FFFF0000"/>
        <rFont val="Calibri"/>
        <family val="2"/>
        <scheme val="minor"/>
      </rPr>
      <t>Cn1</t>
    </r>
  </si>
  <si>
    <r>
      <t xml:space="preserve">CHIỀU DÀI CÁNH- </t>
    </r>
    <r>
      <rPr>
        <sz val="11"/>
        <color rgb="FFFF0000"/>
        <rFont val="Calibri"/>
        <family val="2"/>
        <scheme val="minor"/>
      </rPr>
      <t>Cz</t>
    </r>
  </si>
  <si>
    <r>
      <t xml:space="preserve">CHIỀU CAO CÁNH DÀI BÊN HẠ THẾ </t>
    </r>
    <r>
      <rPr>
        <sz val="11"/>
        <color rgb="FFFF0000"/>
        <rFont val="Calibri"/>
        <family val="2"/>
        <scheme val="minor"/>
      </rPr>
      <t>(Cy2)</t>
    </r>
  </si>
  <si>
    <t>C1 GỜ SAU CÁNH DÀI</t>
  </si>
  <si>
    <t>C2 GỜ SAU CÁNH NGẮN</t>
  </si>
  <si>
    <t>IN</t>
  </si>
  <si>
    <t>NHẬP</t>
  </si>
  <si>
    <t>H11/H22</t>
  </si>
  <si>
    <t>Bỏ</t>
  </si>
  <si>
    <t>MIẾNG TĂNG CỨNG</t>
  </si>
  <si>
    <t>KHỐI TĂNG CỨNG</t>
  </si>
  <si>
    <t>KHOẢNG CÁCH 2 SK (SK7)</t>
  </si>
  <si>
    <t>KHOẢNG CÁCH LẮP SK VS TRỤ TÔN (SK8)</t>
  </si>
  <si>
    <t>SK4 Lỗ tai treo với SK trên</t>
  </si>
  <si>
    <t>CUNG TRÒN</t>
  </si>
  <si>
    <t>BÊN TRONG CỦA SỔ</t>
  </si>
  <si>
    <t>(TD2)</t>
  </si>
  <si>
    <r>
      <t xml:space="preserve">Đồng thanh cái </t>
    </r>
    <r>
      <rPr>
        <sz val="11"/>
        <color rgb="FFFF0000"/>
        <rFont val="Calibri"/>
        <family val="2"/>
        <scheme val="minor"/>
      </rPr>
      <t>(TD1)</t>
    </r>
  </si>
  <si>
    <t>CHÂN KÊ</t>
  </si>
  <si>
    <r>
      <t xml:space="preserve">RỘNG </t>
    </r>
    <r>
      <rPr>
        <sz val="11"/>
        <color rgb="FFFF0000"/>
        <rFont val="Calibri"/>
        <family val="2"/>
        <scheme val="minor"/>
      </rPr>
      <t>(CK1)</t>
    </r>
  </si>
  <si>
    <r>
      <t xml:space="preserve">DÀY </t>
    </r>
    <r>
      <rPr>
        <sz val="11"/>
        <color rgb="FFFF0000"/>
        <rFont val="Calibri"/>
        <family val="2"/>
        <scheme val="minor"/>
      </rPr>
      <t>(CK2)</t>
    </r>
  </si>
  <si>
    <t>3.Điều chỉnh điệp áp</t>
  </si>
  <si>
    <t>7.Chỉ thị mức dàu</t>
  </si>
  <si>
    <t>11.Nhãn máy</t>
  </si>
  <si>
    <t>DIMENSION (mm)</t>
  </si>
  <si>
    <t>WEIGHT (kg)</t>
  </si>
  <si>
    <t>Oil</t>
  </si>
  <si>
    <t>Core</t>
  </si>
  <si>
    <t>Total</t>
  </si>
  <si>
    <t>980</t>
  </si>
  <si>
    <t>720</t>
  </si>
  <si>
    <t>1250</t>
  </si>
  <si>
    <t>520</t>
  </si>
  <si>
    <t>150</t>
  </si>
  <si>
    <t>400</t>
  </si>
  <si>
    <t>680</t>
  </si>
  <si>
    <t>SỐ LỖ BULONG SỨ CAO</t>
  </si>
  <si>
    <t>VỊ TRÍ BULONG SỨ CAO</t>
  </si>
  <si>
    <t>gợi ý thóp đáy</t>
  </si>
  <si>
    <t>CHECK</t>
  </si>
  <si>
    <t>ĐỘ LỆCH TÔN</t>
  </si>
  <si>
    <t>9…16</t>
  </si>
  <si>
    <t>hạt chống ẩm</t>
  </si>
  <si>
    <t>h11</t>
  </si>
  <si>
    <t>h10</t>
  </si>
  <si>
    <t>h8</t>
  </si>
  <si>
    <t>chân bầu dầu</t>
  </si>
  <si>
    <t>H10</t>
  </si>
  <si>
    <t>H8</t>
  </si>
  <si>
    <t>H11</t>
  </si>
  <si>
    <t>Tổng tôn phía bên hạ cấp 2</t>
  </si>
  <si>
    <t>Tổng tôn phía bên hạ cấp 3</t>
  </si>
  <si>
    <t>Tổng tôn phía bên hạ cấp 4</t>
  </si>
  <si>
    <t>Tổng tôn phía bên hạ cấp 5</t>
  </si>
  <si>
    <t>Tổng tôn phía bên hạ cấp 6</t>
  </si>
  <si>
    <t>Tổng tôn phía bên hạ cấp 7</t>
  </si>
  <si>
    <t>Tổng tôn phía bên hạ cấp 8</t>
  </si>
  <si>
    <t>cấp tôn đc chọn</t>
  </si>
  <si>
    <t>chiều rộng tôn</t>
  </si>
  <si>
    <t>chiều rộng cấp tôn cuối</t>
  </si>
  <si>
    <t>KHOẢNG CÁCH TỪ TÔN ĐẾN MIẾNG ĐỠ TRÊN SK DƯỚI (SK5)</t>
  </si>
  <si>
    <t>TÍNH TOÁN SK5</t>
  </si>
  <si>
    <t>TBK 2</t>
  </si>
  <si>
    <t>TBK 3</t>
  </si>
  <si>
    <t>TBK 4</t>
  </si>
  <si>
    <t>TBK 5</t>
  </si>
  <si>
    <t>TBK 6</t>
  </si>
  <si>
    <t>TBK 7</t>
  </si>
  <si>
    <t>TBK 8</t>
  </si>
  <si>
    <t>DÒNG ĐỎ DI CHUYỂN THEO SK5</t>
  </si>
  <si>
    <t>TẤM BÌA KÊ 2 BÊN</t>
  </si>
  <si>
    <t>mặt nắp cộng thêm 1,5 kg các chi tiết phụ</t>
  </si>
  <si>
    <t>Sú cao thế</t>
  </si>
  <si>
    <t>Số Guzong/ 1 lỗ</t>
  </si>
  <si>
    <t>Bối dây hạ thế</t>
  </si>
  <si>
    <t>Chiêu cao hạ thế</t>
  </si>
  <si>
    <t>Kích thước trong phía trong cửa sổ \ Cao hạ</t>
  </si>
  <si>
    <t>Kích thước ngoài phía trong cửa sổ \ Cao hạ</t>
  </si>
  <si>
    <t>Chiêu dày dây phía cửa sổ \ phía cao hạ</t>
  </si>
  <si>
    <t>Kích thước thông dầu</t>
  </si>
  <si>
    <t>Khoảng cách cao hạ</t>
  </si>
  <si>
    <t>Bối dây cao thế</t>
  </si>
  <si>
    <t>Kiểu vỏ</t>
  </si>
  <si>
    <t>(mm)</t>
  </si>
  <si>
    <t>MÁY KHÔNG CÁNH NGẮN</t>
  </si>
  <si>
    <t>sai số dầu %</t>
  </si>
  <si>
    <t>hở</t>
  </si>
  <si>
    <t>1 cấp</t>
  </si>
  <si>
    <t>kín</t>
  </si>
  <si>
    <t>2 cấp</t>
  </si>
  <si>
    <t>10(22)</t>
  </si>
  <si>
    <t>Tổ đấu</t>
  </si>
  <si>
    <t>DY</t>
  </si>
  <si>
    <t>DD</t>
  </si>
  <si>
    <t>9.Van xả dầu</t>
  </si>
  <si>
    <t>Yoke -Top</t>
  </si>
  <si>
    <t>số cấp</t>
  </si>
  <si>
    <t>kiểu</t>
  </si>
  <si>
    <t>điện áp</t>
  </si>
  <si>
    <t>tổ đấu</t>
  </si>
  <si>
    <t>Yoke top</t>
  </si>
  <si>
    <t>1.Oil thermomether</t>
  </si>
  <si>
    <t>2.HV bushing</t>
  </si>
  <si>
    <t>4.LV bushing</t>
  </si>
  <si>
    <t>5.Relay Gas</t>
  </si>
  <si>
    <t>6.Conservator</t>
  </si>
  <si>
    <t>7.Oil level indicator</t>
  </si>
  <si>
    <t>8.Wheel frame</t>
  </si>
  <si>
    <t>9.Oil drain valve</t>
  </si>
  <si>
    <t>10.Tank</t>
  </si>
  <si>
    <t>11.Control cable box</t>
  </si>
  <si>
    <t>12.Radiator</t>
  </si>
  <si>
    <t>13.Intake valve</t>
  </si>
  <si>
    <t>Số gân</t>
  </si>
  <si>
    <t>chiều cao cánh</t>
  </si>
  <si>
    <t>250&lt;Cy&lt;350</t>
  </si>
  <si>
    <t>Cy&lt;=250</t>
  </si>
  <si>
    <t>350&lt;=Cy&lt;=400</t>
  </si>
  <si>
    <t>250&lt;Cy&lt;=300</t>
  </si>
  <si>
    <t>300&lt;Cy&lt;=400</t>
  </si>
  <si>
    <t>lỗ trên (SK9)</t>
  </si>
  <si>
    <t>lỗ dưới (SK10)</t>
  </si>
  <si>
    <t>SẮT KẸP</t>
  </si>
  <si>
    <t>&gt;=2500 làm tăng cứng</t>
  </si>
  <si>
    <t>Order</t>
  </si>
  <si>
    <t>Tên sản phẩm :</t>
  </si>
  <si>
    <t>1.Ống nhiệt kế</t>
  </si>
  <si>
    <t>4 buzong</t>
  </si>
  <si>
    <t xml:space="preserve">   </t>
  </si>
  <si>
    <t>dòng điện cao thế</t>
  </si>
  <si>
    <t>dòng điện hạ thế</t>
  </si>
  <si>
    <t>BUZONG</t>
  </si>
  <si>
    <t>Chân V BD</t>
  </si>
  <si>
    <t xml:space="preserve">&gt;=560 </t>
  </si>
  <si>
    <t>&lt;560</t>
  </si>
  <si>
    <t>công suất</t>
  </si>
  <si>
    <t>độ day</t>
  </si>
  <si>
    <r>
      <rPr>
        <sz val="11"/>
        <color rgb="FFFF0000"/>
        <rFont val="Calibri"/>
        <family val="2"/>
        <scheme val="minor"/>
      </rPr>
      <t>BD2</t>
    </r>
    <r>
      <rPr>
        <sz val="11"/>
        <color theme="1"/>
        <rFont val="Calibri"/>
        <family val="2"/>
        <scheme val="minor"/>
      </rPr>
      <t xml:space="preserve"> CHUẨN</t>
    </r>
  </si>
  <si>
    <r>
      <rPr>
        <sz val="11"/>
        <color rgb="FFFF0000"/>
        <rFont val="Calibri"/>
        <family val="2"/>
        <scheme val="minor"/>
      </rPr>
      <t>BD19</t>
    </r>
    <r>
      <rPr>
        <sz val="11"/>
        <color theme="1"/>
        <rFont val="Calibri"/>
        <family val="2"/>
        <scheme val="minor"/>
      </rPr>
      <t xml:space="preserve"> CHIỀU DÀI ỐNG DẪN DẦU CHUẨN</t>
    </r>
  </si>
  <si>
    <t>MÁY 2000KVA KINDEN LÀM VÀNH MIỆNG KHÁC KC LỖ 60 = 33</t>
  </si>
  <si>
    <t>Chân bd</t>
  </si>
  <si>
    <t>IF(A51&gt;B60,A53,A51)</t>
  </si>
  <si>
    <t>KC SK dưới vs bối dây (SK11)</t>
  </si>
  <si>
    <t>dài</t>
  </si>
  <si>
    <t>rộng</t>
  </si>
  <si>
    <t>WD9</t>
  </si>
  <si>
    <t>WD10</t>
  </si>
  <si>
    <t>WD11</t>
  </si>
  <si>
    <t>WD12</t>
  </si>
  <si>
    <t>WD13</t>
  </si>
  <si>
    <t>WD14</t>
  </si>
  <si>
    <t>WD15</t>
  </si>
  <si>
    <t>WD16</t>
  </si>
  <si>
    <t>Bìa</t>
  </si>
  <si>
    <t>10.Nhãn máy</t>
  </si>
  <si>
    <t>Tính dây quấn</t>
  </si>
  <si>
    <t>Hạ thế</t>
  </si>
  <si>
    <t>số thông dầu</t>
  </si>
  <si>
    <t>phần đặt thông dầu</t>
  </si>
  <si>
    <t>HỆ SỐ LỚP ĐẶT</t>
  </si>
  <si>
    <t>NO OF COOL</t>
  </si>
  <si>
    <t>VỊ TRÍ ĐẶT</t>
  </si>
  <si>
    <t>điện áp lớp</t>
  </si>
  <si>
    <t>cách điện lớp</t>
  </si>
  <si>
    <t>lệnh if</t>
  </si>
  <si>
    <t>Kích thước đầu dây ra</t>
  </si>
  <si>
    <t>Chiều quấn</t>
  </si>
  <si>
    <t>Nẹp hai đầu</t>
  </si>
  <si>
    <t>Nẹp giữa bối dây</t>
  </si>
  <si>
    <t>Chiều cao bối dây</t>
  </si>
  <si>
    <t>Chu vi ngoài bối dây</t>
  </si>
  <si>
    <t>Chu vi trong bối dây</t>
  </si>
  <si>
    <t>Chu vi khuôn</t>
  </si>
  <si>
    <t>Số lớp đặt thông dầu</t>
  </si>
  <si>
    <t>Số thông dầu</t>
  </si>
  <si>
    <t>Cách điện lớp</t>
  </si>
  <si>
    <t>Số vòng điều chỉnh</t>
  </si>
  <si>
    <t>Số vòng/lớp</t>
  </si>
  <si>
    <t>Tổng số vòng</t>
  </si>
  <si>
    <t>Tổng số lớp</t>
  </si>
  <si>
    <t>Kiểu quấn</t>
  </si>
  <si>
    <t>Trọng lượng</t>
  </si>
  <si>
    <t>Số sợi (chồng x dàn)</t>
  </si>
  <si>
    <t>Kích thước dây</t>
  </si>
  <si>
    <t>TT</t>
  </si>
  <si>
    <t>Hình ống</t>
  </si>
  <si>
    <t>DDP</t>
  </si>
  <si>
    <t>cao thế</t>
  </si>
  <si>
    <t>(chỉ cao)</t>
  </si>
  <si>
    <t>(cao hạ)</t>
  </si>
  <si>
    <t>(toàn bộ)</t>
  </si>
  <si>
    <t>Hạng mục</t>
  </si>
  <si>
    <t xml:space="preserve">Cao thế </t>
  </si>
  <si>
    <t>&gt;=230</t>
  </si>
  <si>
    <t>&gt;=160</t>
  </si>
  <si>
    <t>chiều cao cánh góc</t>
  </si>
  <si>
    <t>chiều cao cánh thường</t>
  </si>
  <si>
    <t>vành +10, đáy -10</t>
  </si>
  <si>
    <t>kiểu cánh</t>
  </si>
  <si>
    <t>trừ đáy bù cho vành(R3)</t>
  </si>
  <si>
    <t>Chèn xà (CX)</t>
  </si>
  <si>
    <t>chắn Thanh cái (CTC)</t>
  </si>
  <si>
    <t>chắn pha(CP)</t>
  </si>
  <si>
    <t>THIẾU T.CHUAN</t>
  </si>
  <si>
    <t>RỘNG(CK3)</t>
  </si>
  <si>
    <t>BỘ TY</t>
  </si>
  <si>
    <t>TY ĐỨNG</t>
  </si>
  <si>
    <t>TY ÉP</t>
  </si>
  <si>
    <t>M</t>
  </si>
  <si>
    <t>Phải</t>
  </si>
  <si>
    <t>Trái</t>
  </si>
  <si>
    <t>Chú thích sk11 : 20 là KC (ST1-10) + (SK dưới cách tôn 10 ly)</t>
  </si>
  <si>
    <t xml:space="preserve">Số lỗ bắt cáp </t>
  </si>
  <si>
    <t>Số lỗ bắt cáp</t>
  </si>
  <si>
    <t>THANH ĐỒNG</t>
  </si>
  <si>
    <t>THANH TRONG</t>
  </si>
  <si>
    <t>THANH NGOÀI</t>
  </si>
  <si>
    <t>TRUNG TÍNH</t>
  </si>
  <si>
    <t>K.C LỖ TRÊN TĐ</t>
  </si>
  <si>
    <t>tiết diện TĐ</t>
  </si>
  <si>
    <t>Tiết diện dây cáp</t>
  </si>
  <si>
    <t>Tiết diện thanh đồng</t>
  </si>
  <si>
    <t>1X50</t>
  </si>
  <si>
    <t>1X35</t>
  </si>
  <si>
    <t>1X70</t>
  </si>
  <si>
    <t>1x95</t>
  </si>
  <si>
    <t>1X95</t>
  </si>
  <si>
    <t>2*95+2*70</t>
  </si>
  <si>
    <t>95*4</t>
  </si>
  <si>
    <t>2*70+2*50</t>
  </si>
  <si>
    <t>4*120</t>
  </si>
  <si>
    <t>4*95</t>
  </si>
  <si>
    <t>4*95+2*120</t>
  </si>
  <si>
    <t>95*8/95*6+2*120</t>
  </si>
  <si>
    <t>8*120</t>
  </si>
  <si>
    <t>10*120</t>
  </si>
  <si>
    <t>12*120</t>
  </si>
  <si>
    <t>MẬT ĐỘ ĐIỆN TRÊN THANH ĐỒNG</t>
  </si>
  <si>
    <t>DÂY CÁP 120 &lt; 200 LY K  UỐN ĐC</t>
  </si>
  <si>
    <t>MẬT ĐỘ ĐIỆN THEO TỔNG DÂY CÁP</t>
  </si>
  <si>
    <t>1x50+1x70</t>
  </si>
  <si>
    <t>1x70+1x70</t>
  </si>
  <si>
    <t>1x95+1x95</t>
  </si>
  <si>
    <t>1x120+1x120</t>
  </si>
  <si>
    <t>4x70</t>
  </si>
  <si>
    <t>1x70+1x95</t>
  </si>
  <si>
    <t>số dây cáp</t>
  </si>
  <si>
    <t>loại cáp</t>
  </si>
  <si>
    <t>TIẾT DIỆN THANH ĐỒNG</t>
  </si>
  <si>
    <t>SỐ DÂY CÁP</t>
  </si>
  <si>
    <t>LOẠI CÁP</t>
  </si>
  <si>
    <t>loại cáp 1</t>
  </si>
  <si>
    <t>loại cáp 2</t>
  </si>
  <si>
    <t>số cáp 1</t>
  </si>
  <si>
    <t>số cáp 2</t>
  </si>
  <si>
    <t>chỉ có cho loại 800</t>
  </si>
  <si>
    <t>tổng số dây cáp</t>
  </si>
  <si>
    <t>số lg</t>
  </si>
  <si>
    <t>Khoảng cách lỗ thanh đồng</t>
  </si>
  <si>
    <t>Thanh đồng trong</t>
  </si>
  <si>
    <t>Thanh đồng trung tính</t>
  </si>
  <si>
    <t>_</t>
  </si>
  <si>
    <t>Nẹp đầu dây quấn hạ (LV)</t>
  </si>
  <si>
    <t>KT lỗ thanh đồng</t>
  </si>
  <si>
    <t>I (TD3) (td9)</t>
  </si>
  <si>
    <t>_ (TD4)(TD14)</t>
  </si>
  <si>
    <t>8.Khung bánh xe</t>
  </si>
  <si>
    <t>11.Cánh tản nhiệt</t>
  </si>
  <si>
    <t>12.Thân máy</t>
  </si>
  <si>
    <t>Số vòng lớp phần cơ bản\ toàn bộ</t>
  </si>
  <si>
    <t xml:space="preserve">Số vòng 1 nấc điều chỉnh </t>
  </si>
  <si>
    <t>Nẹp đầu dây quấn hạ (LV1)</t>
  </si>
  <si>
    <t>"</t>
  </si>
  <si>
    <t>2x0,08</t>
  </si>
  <si>
    <t>2x0,13</t>
  </si>
  <si>
    <t>Loại giấy dùng màng tĩnh điện</t>
  </si>
  <si>
    <t>cách điện lớp phía hạ thế</t>
  </si>
  <si>
    <t>MTD</t>
  </si>
  <si>
    <t xml:space="preserve">Đặt màn tĩnh điện đầu cách điện : </t>
  </si>
  <si>
    <t>Ø</t>
  </si>
  <si>
    <t>Miếng U gấp hàn trên SK (SK12)</t>
  </si>
  <si>
    <t>Lỗ ty ép</t>
  </si>
  <si>
    <t>Lỗ trên U gấp (SK13)</t>
  </si>
  <si>
    <t>Bản đồng</t>
  </si>
  <si>
    <t>số lỗ</t>
  </si>
  <si>
    <t>lỗ</t>
  </si>
  <si>
    <t>DÂY CÁP TRÊN THANH TRUNG TÍNH</t>
  </si>
  <si>
    <t>KC an toàn thanh đồng ngoài</t>
  </si>
  <si>
    <t>KT màn tĩnh điện</t>
  </si>
  <si>
    <t>trái</t>
  </si>
  <si>
    <t>phải</t>
  </si>
  <si>
    <t>0,13+0,075</t>
  </si>
  <si>
    <t>0,075 (đầu 1 cuối 2)</t>
  </si>
  <si>
    <t>0,075 (đầu 1 cuối 3)</t>
  </si>
  <si>
    <t>0,075 (đầu 1 cuối 5)</t>
  </si>
  <si>
    <t>0,075 (đầu 1 cuối 6)</t>
  </si>
  <si>
    <t>0,075 (đầu 1 cuối 7)</t>
  </si>
  <si>
    <t>0,075 (đầu 1 cuối 4)</t>
  </si>
  <si>
    <t>Kt lỗ ty ép có ecu</t>
  </si>
  <si>
    <t>Kiểm Tra Sắt kẹp vs thanh treo</t>
  </si>
  <si>
    <t>Kt thanh treo</t>
  </si>
  <si>
    <t>(sai số 5 ly)</t>
  </si>
  <si>
    <t>100-1000</t>
  </si>
  <si>
    <t xml:space="preserve"> Kích thước lỗ ovan (Sk14) (SK15)</t>
  </si>
  <si>
    <t>Kc tai treo cách vỏ (E10)</t>
  </si>
  <si>
    <t xml:space="preserve">Ty sứ hạ </t>
  </si>
  <si>
    <t>KT dưới tấm inox</t>
  </si>
  <si>
    <t>độ dày tấm bắt cáp</t>
  </si>
  <si>
    <t>KC lỗ</t>
  </si>
  <si>
    <t>DC1</t>
  </si>
  <si>
    <t>DC2</t>
  </si>
  <si>
    <t>DC3</t>
  </si>
  <si>
    <t>DC4</t>
  </si>
  <si>
    <t>DC5</t>
  </si>
  <si>
    <t>DC6</t>
  </si>
  <si>
    <t>DC7</t>
  </si>
  <si>
    <t>DC8</t>
  </si>
  <si>
    <t>DC9</t>
  </si>
  <si>
    <t>DC10</t>
  </si>
  <si>
    <t>DC11</t>
  </si>
  <si>
    <t xml:space="preserve">Chú ý cánh </t>
  </si>
  <si>
    <t xml:space="preserve">không </t>
  </si>
  <si>
    <t>hàn đính gân</t>
  </si>
  <si>
    <t>thường- góc</t>
  </si>
  <si>
    <t>không cánh ngắn</t>
  </si>
  <si>
    <t>SK Loại 2 (SK16)</t>
  </si>
  <si>
    <t>sk loại 2 (SK17)</t>
  </si>
  <si>
    <t>VÀNH CÁCH ĐIỆN</t>
  </si>
  <si>
    <t>±5%</t>
  </si>
  <si>
    <t>Cấp tôn cần trừ đi</t>
  </si>
  <si>
    <t>CHIA TÔN</t>
  </si>
  <si>
    <t>2vs6</t>
  </si>
  <si>
    <t>M30</t>
  </si>
  <si>
    <t>M42</t>
  </si>
  <si>
    <t>M48</t>
  </si>
  <si>
    <t>KHOẢNG CÁCH 2 VÀNH CÁCH ĐIỆN (BK)</t>
  </si>
  <si>
    <t>KT  miếng đỡ (BK1) P&gt;1250</t>
  </si>
  <si>
    <t>KT miếng đỡ  (BK2)</t>
  </si>
  <si>
    <t>kt miếng đỡ (BK3)</t>
  </si>
  <si>
    <t>KT  miếng đỡ (BK4) P&lt;1250</t>
  </si>
  <si>
    <t>bk5</t>
  </si>
  <si>
    <t>bk6</t>
  </si>
  <si>
    <t>Bk7</t>
  </si>
  <si>
    <t>bk8</t>
  </si>
  <si>
    <t>cấp 2</t>
  </si>
  <si>
    <t>cấp 3</t>
  </si>
  <si>
    <t>cấp 4</t>
  </si>
  <si>
    <t>cấp 5</t>
  </si>
  <si>
    <t>cấp 6</t>
  </si>
  <si>
    <t>cấp 7</t>
  </si>
  <si>
    <t>cấp 8</t>
  </si>
  <si>
    <t>cấp 1</t>
  </si>
  <si>
    <t>Cao thế</t>
  </si>
  <si>
    <t>hạ thế</t>
  </si>
  <si>
    <t>Loại cáp 1</t>
  </si>
  <si>
    <t>Loại cáp 2</t>
  </si>
  <si>
    <t>Số cáp loại 2</t>
  </si>
  <si>
    <t>Số cáp loại 1</t>
  </si>
  <si>
    <t>DÂY CÁP THANH NGOÀI</t>
  </si>
  <si>
    <t>DÂY CÁP THANH TRUNG TÍNH</t>
  </si>
  <si>
    <t>Loại cáp</t>
  </si>
  <si>
    <t>số lượng</t>
  </si>
  <si>
    <t xml:space="preserve">Loại cáp </t>
  </si>
  <si>
    <t>SỐ LỖ TRÊN THANH ĐỒNG (TD18)</t>
  </si>
  <si>
    <t>(TD5) (TD10)</t>
  </si>
  <si>
    <t>(TD6) (TD11)(TD19)</t>
  </si>
  <si>
    <t>(TD7)(TD12)(TD15)</t>
  </si>
  <si>
    <t>(TD8)(TD13)</t>
  </si>
  <si>
    <t>(TD16)</t>
  </si>
  <si>
    <t>(TD17)</t>
  </si>
  <si>
    <t>dây đồng loại</t>
  </si>
  <si>
    <t>Tổng só vòng \ Số vòng 1 lớp</t>
  </si>
  <si>
    <t>Kích thước dây  hướng kính\hướng trục(có cđ)</t>
  </si>
  <si>
    <t>Chiều dày cách điện lớp</t>
  </si>
  <si>
    <t>Số sợi hướng kính\ hướng trục</t>
  </si>
  <si>
    <t>Chu vi trong\ chu vi ngoài</t>
  </si>
  <si>
    <t>Chiều dày cách điện lớp\ cđ lớp tăng cường</t>
  </si>
  <si>
    <t>Số sợi hướng kính dây cơ bản\ điều chỉnh</t>
  </si>
  <si>
    <t>Số sợi hướng trục dây cơ bản\ điều chỉnh</t>
  </si>
  <si>
    <t>Chu vi trong\ ngoài</t>
  </si>
  <si>
    <t>Điện áp lớp phần cơ bản \ điều chỉnh</t>
  </si>
  <si>
    <t>Kích thước màn tĩnh điện</t>
  </si>
  <si>
    <t>mm</t>
  </si>
  <si>
    <t>Kích thước dây điều chỉnh  hướng kính\hướng trục</t>
  </si>
  <si>
    <t xml:space="preserve">Kích thước cách điện </t>
  </si>
  <si>
    <t>Nẹp đầu dây quấn hạ</t>
  </si>
  <si>
    <t>Khoảng cách pha - pha a22</t>
  </si>
  <si>
    <t>Khoảng cách cao hạ a12</t>
  </si>
  <si>
    <t>Nẹp giữa bối dây hạ thế</t>
  </si>
  <si>
    <t>Nẹp giữa bối dây cao thế</t>
  </si>
  <si>
    <t>Không  chỉnh sửa</t>
  </si>
  <si>
    <t>Trọng lượng tôn</t>
  </si>
  <si>
    <t>DQ10</t>
  </si>
  <si>
    <t>dàn (DQ14)</t>
  </si>
  <si>
    <t>chồng (DQ13-dq15)</t>
  </si>
  <si>
    <t>DQ9-DQ11-DQ12-dq16</t>
  </si>
  <si>
    <t>Thanh đồng hạ thế loại 2</t>
  </si>
  <si>
    <t>TD20</t>
  </si>
  <si>
    <t>TD21</t>
  </si>
  <si>
    <t>KC 2 Thanh đồng</t>
  </si>
  <si>
    <t>TD 22</t>
  </si>
  <si>
    <t>7.Khung bánh xe</t>
  </si>
  <si>
    <t>8.Tiếp địa</t>
  </si>
  <si>
    <t>6.Lỗ đổ dầu</t>
  </si>
  <si>
    <t>9.Tiếp địa</t>
  </si>
  <si>
    <t>12.Cánh tản nhiệt</t>
  </si>
  <si>
    <t>13.Bình hút ẩm</t>
  </si>
  <si>
    <t>14.Bình dầu phụ</t>
  </si>
  <si>
    <t>dài  I1</t>
  </si>
  <si>
    <t>rộng  I2</t>
  </si>
  <si>
    <t>dày I3</t>
  </si>
  <si>
    <t>DÀI PHÔI I4</t>
  </si>
  <si>
    <t>RỘNG PHÔI I5</t>
  </si>
  <si>
    <t>cấp  tôn đỡ Vành cách điện</t>
  </si>
  <si>
    <t>Bìa đỡ vành cách điện</t>
  </si>
  <si>
    <t>Cấp n</t>
  </si>
  <si>
    <t>n-1</t>
  </si>
  <si>
    <t>n+1</t>
  </si>
  <si>
    <t>Mo-STn</t>
  </si>
  <si>
    <t>[mm]vcd1=</t>
  </si>
  <si>
    <t>[mm]vcd2=</t>
  </si>
  <si>
    <t>[mm]vcd5=</t>
  </si>
  <si>
    <t>[mm]vcd8=</t>
  </si>
  <si>
    <t>[mm]vcd4=</t>
  </si>
  <si>
    <t>[mm]vcd7=</t>
  </si>
  <si>
    <t>[mm]vcd3=</t>
  </si>
  <si>
    <t>[mm]vcd6=</t>
  </si>
  <si>
    <t>[mm]vcd9=</t>
  </si>
  <si>
    <t>1 HÀNG SỨ</t>
  </si>
  <si>
    <t>2 HÀNG SỨ</t>
  </si>
  <si>
    <t>LỖ SỨ HẠ 2 HÀNG SỨ I6</t>
  </si>
  <si>
    <t>I7</t>
  </si>
  <si>
    <t>I8</t>
  </si>
  <si>
    <t>KC lỗ sứ hạ vs tiếp địa</t>
  </si>
  <si>
    <t>RỘNG-M3 Z</t>
  </si>
  <si>
    <t>DÀI-M1 X</t>
  </si>
  <si>
    <t>LỖ CẨU M1,M6,M10</t>
  </si>
  <si>
    <t>CHIỀU DÀI M2,M7,M11</t>
  </si>
  <si>
    <t>RỘNG M3,M8,M12</t>
  </si>
  <si>
    <t>DÀY M4,M9,M13</t>
  </si>
  <si>
    <t>KC Y O3</t>
  </si>
  <si>
    <t>KT LỖ O1</t>
  </si>
  <si>
    <t>KC X O2</t>
  </si>
  <si>
    <t>O4</t>
  </si>
  <si>
    <t>O5</t>
  </si>
  <si>
    <t>td23</t>
  </si>
  <si>
    <t>td24</t>
  </si>
  <si>
    <t>tiết diện tính theo dây đồng</t>
  </si>
  <si>
    <t>Inside Dim (Id1)</t>
  </si>
  <si>
    <t>Id2</t>
  </si>
  <si>
    <t>rộng tôn</t>
  </si>
  <si>
    <t>dày tôn Bên CAO THẾ</t>
  </si>
  <si>
    <t>DÀY TÔN HẠ THẾ TÍNH NỬA CUNG TRÒN</t>
  </si>
  <si>
    <t>code tôn kiểu cũ</t>
  </si>
  <si>
    <t>Tổng tôn</t>
  </si>
  <si>
    <t>N.weight</t>
  </si>
  <si>
    <t>G.weight</t>
  </si>
  <si>
    <t>STT</t>
  </si>
  <si>
    <t>1</t>
  </si>
  <si>
    <t>2</t>
  </si>
  <si>
    <t>3</t>
  </si>
  <si>
    <t>4</t>
  </si>
  <si>
    <t>5</t>
  </si>
  <si>
    <t>6</t>
  </si>
  <si>
    <t>7</t>
  </si>
  <si>
    <t>8</t>
  </si>
  <si>
    <t>kg</t>
  </si>
  <si>
    <t>m</t>
  </si>
  <si>
    <t xml:space="preserve">Bulon </t>
  </si>
  <si>
    <t>9</t>
  </si>
  <si>
    <t>10</t>
  </si>
  <si>
    <t>11</t>
  </si>
  <si>
    <t>12</t>
  </si>
  <si>
    <t>13</t>
  </si>
  <si>
    <t>14</t>
  </si>
  <si>
    <t>15</t>
  </si>
  <si>
    <t>0,35AT</t>
  </si>
  <si>
    <t>Φ</t>
  </si>
  <si>
    <t>Role Gaz</t>
  </si>
  <si>
    <t>Keo ATM</t>
  </si>
  <si>
    <t>Keo 502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</si>
  <si>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</si>
  <si>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</si>
  <si>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</si>
  <si>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</si>
  <si>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</si>
  <si>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</si>
  <si>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</si>
  <si>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</si>
  <si>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</si>
  <si>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</si>
  <si>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</si>
  <si>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</si>
  <si>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h(mm)</t>
  </si>
  <si>
    <t>Sợi 1</t>
  </si>
  <si>
    <t>Sợi 2</t>
  </si>
  <si>
    <t>Sợi 5-6</t>
  </si>
  <si>
    <t>Sợi 7-8</t>
  </si>
  <si>
    <t>Sợi 9-10</t>
  </si>
  <si>
    <t>Pha a</t>
  </si>
  <si>
    <t>Pha b</t>
  </si>
  <si>
    <t>Pha c</t>
  </si>
  <si>
    <t>Loại dây đồng</t>
  </si>
  <si>
    <t>Sợi 11-12</t>
  </si>
  <si>
    <t>Sợi 1-2</t>
  </si>
  <si>
    <t>Sợi 3-4</t>
  </si>
  <si>
    <t>Trung tính</t>
  </si>
  <si>
    <t>pha</t>
  </si>
  <si>
    <t>trug tính</t>
  </si>
  <si>
    <t>trung tính</t>
  </si>
  <si>
    <t>Khối lượng(kg)</t>
  </si>
  <si>
    <t>Dây đồng hạ thế</t>
  </si>
  <si>
    <t>Chiều khoanh tròn Sk(SK18)</t>
  </si>
  <si>
    <t>Tiếp địa</t>
  </si>
  <si>
    <t>số vòng đệm</t>
  </si>
  <si>
    <t>số ecu</t>
  </si>
  <si>
    <t>Sứ cao thế</t>
  </si>
  <si>
    <t>số ecu mũ</t>
  </si>
  <si>
    <t>Sứ hạ thế</t>
  </si>
  <si>
    <t>Mặt nắp</t>
  </si>
  <si>
    <t>lỗ trên nắp</t>
  </si>
  <si>
    <t xml:space="preserve">Kiểu </t>
  </si>
  <si>
    <t>Bầu dầu</t>
  </si>
  <si>
    <t>Hạt chống ẩm</t>
  </si>
  <si>
    <t>Chỉ thị dầu của BD</t>
  </si>
  <si>
    <t>Số lượng Bulong</t>
  </si>
  <si>
    <t>Loại Bulong</t>
  </si>
  <si>
    <t>Thanh treo</t>
  </si>
  <si>
    <t>Lỗ ghép với Sk</t>
  </si>
  <si>
    <t>Ty đứng</t>
  </si>
  <si>
    <t>Ty ép</t>
  </si>
  <si>
    <t>SK trên</t>
  </si>
  <si>
    <t>số lượng bulong</t>
  </si>
  <si>
    <t>ty sứ</t>
  </si>
  <si>
    <t>Chân kê</t>
  </si>
  <si>
    <t>Đầu cốt</t>
  </si>
  <si>
    <t>Đầu trâu</t>
  </si>
  <si>
    <t>Loại sứ</t>
  </si>
  <si>
    <t>Hàng sứ</t>
  </si>
  <si>
    <t>Kiểu hở</t>
  </si>
  <si>
    <t>Số ecu mũ</t>
  </si>
  <si>
    <t>Ecu mũ</t>
  </si>
  <si>
    <t>Cái</t>
  </si>
  <si>
    <t>mm2</t>
  </si>
  <si>
    <t>Thanh chặn sứ</t>
  </si>
  <si>
    <t>x</t>
  </si>
  <si>
    <t xml:space="preserve">Bảng kê vật tư máy biến áp </t>
  </si>
  <si>
    <t>Ty sứ hạ thế</t>
  </si>
  <si>
    <t>đồng đỏ</t>
  </si>
  <si>
    <t>Quyết đinh:</t>
  </si>
  <si>
    <t>Auxiliary circuits box</t>
  </si>
  <si>
    <t>Phôi vành miệng</t>
  </si>
  <si>
    <t>PVM1</t>
  </si>
  <si>
    <t>PVM2</t>
  </si>
  <si>
    <t>KG</t>
  </si>
  <si>
    <t>lít</t>
  </si>
  <si>
    <t>Chỉ đúng với 1 hàng sứ</t>
  </si>
  <si>
    <t>Ø40x32x4</t>
  </si>
  <si>
    <t>CÁNH DÀI BÊN HẠ THẾ</t>
  </si>
  <si>
    <t>CÁNH DÀI BÊN CAO THẾ</t>
  </si>
  <si>
    <t>MIẾNG TĂNG CỨNG CHO THANH TREO</t>
  </si>
  <si>
    <r>
      <t xml:space="preserve">Bước cánh dài / ngắn </t>
    </r>
    <r>
      <rPr>
        <sz val="11"/>
        <color rgb="FFFF0000"/>
        <rFont val="Calibri"/>
        <family val="2"/>
        <scheme val="minor"/>
      </rPr>
      <t>(C3) (C8)</t>
    </r>
  </si>
  <si>
    <t>BK9  ty đứng và vcđ</t>
  </si>
  <si>
    <t>2 hàng sứ</t>
  </si>
  <si>
    <t>TD25</t>
  </si>
  <si>
    <t>Số lượng : 3 cái/1 máy</t>
  </si>
  <si>
    <t>&lt;C0.750&gt;Thanh ngoài</t>
  </si>
  <si>
    <t>&lt;C0.750&gt;Thanh trong</t>
  </si>
  <si>
    <t>-Số lượng : 1 cái / 1 máy</t>
  </si>
  <si>
    <t>i9(inox)</t>
  </si>
  <si>
    <t>i10(lỗ khoét inox)</t>
  </si>
  <si>
    <t>Tổng chiều dây quấn</t>
  </si>
  <si>
    <t>bk10 chiều dày miếng đỡ của vcđ</t>
  </si>
  <si>
    <t>điều chỉnh</t>
  </si>
  <si>
    <t>sin a</t>
  </si>
  <si>
    <t>góc a</t>
  </si>
  <si>
    <t>góc b</t>
  </si>
  <si>
    <t>tan b</t>
  </si>
  <si>
    <t>Sợi 3</t>
  </si>
  <si>
    <t>Sợi 4</t>
  </si>
  <si>
    <t>Sợi 5</t>
  </si>
  <si>
    <t>Sợi 6</t>
  </si>
  <si>
    <t>Sợi 7</t>
  </si>
  <si>
    <t>Sợi 8</t>
  </si>
  <si>
    <t>Sợi 9</t>
  </si>
  <si>
    <t>Sợi 10</t>
  </si>
  <si>
    <t>Sợi 11</t>
  </si>
  <si>
    <t>Sợi 12</t>
  </si>
  <si>
    <t>ttht+1+sk2+td25-ttht-2</t>
  </si>
  <si>
    <t>trul1-15+10+sk2-(st1-sk18+sk2-25)-(hw+5)-((wh-hw)/2+st1)</t>
  </si>
  <si>
    <t>Dầu thường</t>
  </si>
  <si>
    <t>Bìa chèn xà</t>
  </si>
  <si>
    <t>Bìa chắn thanh cái</t>
  </si>
  <si>
    <t>Bìa chắn pha</t>
  </si>
  <si>
    <t>Rộng</t>
  </si>
  <si>
    <t>Loại</t>
  </si>
  <si>
    <t>Dài</t>
  </si>
  <si>
    <t>Dày</t>
  </si>
  <si>
    <t>T.kế: N.A.Tuân</t>
  </si>
  <si>
    <t>Công ty cổ phần chế tạo thiết bị điện VN</t>
  </si>
  <si>
    <t>Tên bản vẽ:</t>
  </si>
  <si>
    <t>Số bản vẽ :</t>
  </si>
  <si>
    <t>Số lượng :</t>
  </si>
  <si>
    <t>Khối lượng :</t>
  </si>
  <si>
    <t>Tỉ lệ :</t>
  </si>
  <si>
    <t>Ghi chú :</t>
  </si>
  <si>
    <t>Tên</t>
  </si>
  <si>
    <t>Số lượng (1 máy)</t>
  </si>
  <si>
    <t>Làm theo tiêu chuẩn bảng chắn pha</t>
  </si>
  <si>
    <t>Bộ ty</t>
  </si>
  <si>
    <t>Cắt tôn</t>
  </si>
  <si>
    <t>Trụ 1</t>
  </si>
  <si>
    <t>Dyn11</t>
  </si>
  <si>
    <t>20A261</t>
  </si>
  <si>
    <t>Sợi 1-2-3-4</t>
  </si>
  <si>
    <t>Sợi 5-6-7-8</t>
  </si>
  <si>
    <t>Khối lượng vỏ</t>
  </si>
  <si>
    <t>Khối lượng nắp</t>
  </si>
  <si>
    <t>LOẠI CÁNH</t>
  </si>
  <si>
    <t>Bước cánh</t>
  </si>
  <si>
    <t>Trọng lượng tinh\ thô</t>
  </si>
  <si>
    <t>Kích thước tâm trụ \ Cửa sổ (Mo \ WH)</t>
  </si>
  <si>
    <t>Vành cách điện(phôi)</t>
  </si>
  <si>
    <t>Số lượng     (1 máy)</t>
  </si>
  <si>
    <t>Loại         1-2-3</t>
  </si>
  <si>
    <t>- Độ bavia ≤ 0,02 mm</t>
  </si>
  <si>
    <t>PHIẾU ĐẶT HÀNG VỎ MÁY BIẾN ÁP</t>
  </si>
  <si>
    <t>Tên phương án:</t>
  </si>
  <si>
    <t>Số lượng máy:</t>
  </si>
  <si>
    <t>Màu sơn:</t>
  </si>
  <si>
    <t xml:space="preserve">Kiểu logo, biển máy: </t>
  </si>
  <si>
    <t>Ngày đặt hàng:</t>
  </si>
  <si>
    <t>Ngày yêu cầu nhận hàng:</t>
  </si>
  <si>
    <t>Các ghi chú (hướng dẫn khác):</t>
  </si>
  <si>
    <t>Người kiểm tra</t>
  </si>
  <si>
    <t>Nguyễn Anh Tuân</t>
  </si>
  <si>
    <t>Trưởng phòng KT</t>
  </si>
  <si>
    <t>Vũ Thanh Bình</t>
  </si>
  <si>
    <t>Tiến độ SX</t>
  </si>
  <si>
    <t>Đỗ Thị Huệ</t>
  </si>
  <si>
    <t>Tên sản phẩm:</t>
  </si>
  <si>
    <t>Số máy:</t>
  </si>
  <si>
    <t>Ngày đưa bản vẽ:</t>
  </si>
  <si>
    <t>Tiến độ sản xuất</t>
  </si>
  <si>
    <r>
      <t xml:space="preserve">Mã hiệu : </t>
    </r>
    <r>
      <rPr>
        <b/>
        <sz val="16"/>
        <color theme="1"/>
        <rFont val="Times New Roman"/>
        <family val="1"/>
      </rPr>
      <t>M 8.9</t>
    </r>
  </si>
  <si>
    <r>
      <t xml:space="preserve">Ban hành lần:  </t>
    </r>
    <r>
      <rPr>
        <b/>
        <sz val="16"/>
        <color theme="1"/>
        <rFont val="Times New Roman"/>
        <family val="1"/>
      </rPr>
      <t>01</t>
    </r>
  </si>
  <si>
    <r>
      <t>Sửa đổi lần:</t>
    </r>
    <r>
      <rPr>
        <b/>
        <sz val="16"/>
        <color theme="1"/>
        <rFont val="Times New Roman"/>
        <family val="1"/>
      </rPr>
      <t xml:space="preserve"> 00</t>
    </r>
  </si>
  <si>
    <t>PHIẾU TRIỂN KHAI SẢN XUẤT</t>
  </si>
  <si>
    <t xml:space="preserve">Quấn dây: </t>
  </si>
  <si>
    <t xml:space="preserve">Tổ tôn: </t>
  </si>
  <si>
    <t xml:space="preserve"> Lắp ráp (sau B2):</t>
  </si>
  <si>
    <t>Quản đốc</t>
  </si>
  <si>
    <t>Triệu Nguyên Tú</t>
  </si>
  <si>
    <t xml:space="preserve">Các ghi chú (hướng dẫn khác): </t>
  </si>
  <si>
    <t>HAVEC</t>
  </si>
  <si>
    <t>Vỏ máy :</t>
  </si>
  <si>
    <t>Sắt kẹp :</t>
  </si>
  <si>
    <t>u7</t>
  </si>
  <si>
    <t>CHIỀU CAO CÁNH NGẮN \ PHÍA VAN</t>
  </si>
  <si>
    <t>CHIỀU CAO CÁNH DÀI CAO \ HẠ</t>
  </si>
  <si>
    <t>Cách điện dây\ Vật liêu dây quấn</t>
  </si>
  <si>
    <t>tổ đấu dây</t>
  </si>
  <si>
    <t>Cách điện dây\ vật liệu dây quấn\ vật liêu day Đc</t>
  </si>
  <si>
    <t>Dung tích dầu (Lít)</t>
  </si>
  <si>
    <t>Thanh đỡ cánh</t>
  </si>
  <si>
    <t>cánh ngắn</t>
  </si>
  <si>
    <t>cánh dài</t>
  </si>
  <si>
    <t>cánh góc</t>
  </si>
  <si>
    <t>thường</t>
  </si>
  <si>
    <t>Số lỗ</t>
  </si>
  <si>
    <t>gờ sau và trước</t>
  </si>
  <si>
    <t>Mã vật tư</t>
  </si>
  <si>
    <t>Tên vật tư</t>
  </si>
  <si>
    <t>Đvt</t>
  </si>
  <si>
    <t>TAMOR142</t>
  </si>
  <si>
    <t> Tôn Amorphous bản 142mm</t>
  </si>
  <si>
    <t>TAMOR170</t>
  </si>
  <si>
    <t> Tôn Amorphous bản 170mm</t>
  </si>
  <si>
    <t>TAMOR213</t>
  </si>
  <si>
    <t> Tôn Amorphous bản 213mm</t>
  </si>
  <si>
    <t>TSL018040</t>
  </si>
  <si>
    <t> Tôn Silic 0.18 x 40</t>
  </si>
  <si>
    <t>TSL018055</t>
  </si>
  <si>
    <t> Tôn Silic 0.18 x 55</t>
  </si>
  <si>
    <t>TSL018060</t>
  </si>
  <si>
    <t> Tôn Silic 0.18 x 60</t>
  </si>
  <si>
    <t>TSL018150</t>
  </si>
  <si>
    <t> Tôn Silic 0.18 x 150</t>
  </si>
  <si>
    <t>TSL018155</t>
  </si>
  <si>
    <t> Tôn Silic 0.18 x 155</t>
  </si>
  <si>
    <t>TSL018213</t>
  </si>
  <si>
    <t> Tôn Silic 0.18 x 213</t>
  </si>
  <si>
    <t>TSL018270</t>
  </si>
  <si>
    <t> Tôn Silic 0.18 x 270</t>
  </si>
  <si>
    <t>TSL018600</t>
  </si>
  <si>
    <t> Tôn Silic 0.18 x 600</t>
  </si>
  <si>
    <t>TSL020160</t>
  </si>
  <si>
    <t> Tôn Silic 0.20 x 160</t>
  </si>
  <si>
    <t>TSL020170</t>
  </si>
  <si>
    <t> Tôn Silic 0.20 x 170</t>
  </si>
  <si>
    <t>TSL020229</t>
  </si>
  <si>
    <t> Tôn Silic 0.20 x 229</t>
  </si>
  <si>
    <t>TSL020259</t>
  </si>
  <si>
    <t> Tôn Silic 0.20 x 259</t>
  </si>
  <si>
    <t>TSL022057</t>
  </si>
  <si>
    <t> Tôn Silic 0.22 x 57</t>
  </si>
  <si>
    <t>TSL022060</t>
  </si>
  <si>
    <t> Tôn Silic 0.22 x 60</t>
  </si>
  <si>
    <t>TSL022063</t>
  </si>
  <si>
    <t> Tôn Silic 0.22 x 63</t>
  </si>
  <si>
    <t>TSL022066</t>
  </si>
  <si>
    <t> Tôn Silic 0.22 x 66</t>
  </si>
  <si>
    <t>TSL022068</t>
  </si>
  <si>
    <t> Tôn Silic 0.22 x 68</t>
  </si>
  <si>
    <t>TSL022085</t>
  </si>
  <si>
    <t> Tôn Silic 0.22 x 85</t>
  </si>
  <si>
    <t>TSL022100</t>
  </si>
  <si>
    <t> Tôn Silic 0.22 x 100</t>
  </si>
  <si>
    <t>TSL022110</t>
  </si>
  <si>
    <t> Tôn Silic 0.22 x 110</t>
  </si>
  <si>
    <t>TSL022120</t>
  </si>
  <si>
    <t> Tôn Silic 0.22 x 120</t>
  </si>
  <si>
    <t>TSL022152</t>
  </si>
  <si>
    <t> Tôn Silic 0.22 x 152</t>
  </si>
  <si>
    <t>TSL022177</t>
  </si>
  <si>
    <t> Tôn Silic 0.22 x 177</t>
  </si>
  <si>
    <t>TSL022240</t>
  </si>
  <si>
    <t> Tôn Silic 0.22 x 240</t>
  </si>
  <si>
    <t>TSL022254</t>
  </si>
  <si>
    <t> Tôn Silic 0.22 x 254</t>
  </si>
  <si>
    <t>TSL022330</t>
  </si>
  <si>
    <t> Tôn Silic 0.22 x 330</t>
  </si>
  <si>
    <t>TSL023055</t>
  </si>
  <si>
    <t> Tôn Silic 023 x 55</t>
  </si>
  <si>
    <t>TSL023075060</t>
  </si>
  <si>
    <t> Tôn Silic 023.075 x 60</t>
  </si>
  <si>
    <t>TSL023075070</t>
  </si>
  <si>
    <t> Tôn Silic 023.075 x 70</t>
  </si>
  <si>
    <t>TSL023075080</t>
  </si>
  <si>
    <t> Tôn Silic 023.075 x 80</t>
  </si>
  <si>
    <t>TSL023075090</t>
  </si>
  <si>
    <t> Tôn Silic 023.075 x 90</t>
  </si>
  <si>
    <t>TSL023075100</t>
  </si>
  <si>
    <t> Tôn Silic 023.075 x 100</t>
  </si>
  <si>
    <t>TSL023075110</t>
  </si>
  <si>
    <t> Tôn Silic 023.075 x 110</t>
  </si>
  <si>
    <t>TSL023075120</t>
  </si>
  <si>
    <t> Tôn Silic 023.075 x 120</t>
  </si>
  <si>
    <t>TSL023075130</t>
  </si>
  <si>
    <t> Tôn Silic 023.075 x 130</t>
  </si>
  <si>
    <t>TSL023075140</t>
  </si>
  <si>
    <t> Tôn Silic 023.075 x 140</t>
  </si>
  <si>
    <t>TSL023075150</t>
  </si>
  <si>
    <t> Tôn Silic 023.075 x 150</t>
  </si>
  <si>
    <t>TSL023075160</t>
  </si>
  <si>
    <t> Tôn Silic 023.075 x 160</t>
  </si>
  <si>
    <t>TSL023075170</t>
  </si>
  <si>
    <t> Tôn Silic 023.075 x 170</t>
  </si>
  <si>
    <t>TSL023075180</t>
  </si>
  <si>
    <t> Tôn Silic 023.075 x 180</t>
  </si>
  <si>
    <t>TSL023075190</t>
  </si>
  <si>
    <t> Tôn Silic 023.075 x 190</t>
  </si>
  <si>
    <t>TSL023075200</t>
  </si>
  <si>
    <t> Tôn Silic 023.075 x 200</t>
  </si>
  <si>
    <t>TSL023075210</t>
  </si>
  <si>
    <t> Tôn Silic 023.075 x 210</t>
  </si>
  <si>
    <t>TSL023075220</t>
  </si>
  <si>
    <t> Tôn Silic 023.075 x 220</t>
  </si>
  <si>
    <t>TSL023075230</t>
  </si>
  <si>
    <t> Tôn Silic 023.075 x 230</t>
  </si>
  <si>
    <t>TSL023075240</t>
  </si>
  <si>
    <t> Tôn Silic 023.075 x 240</t>
  </si>
  <si>
    <t>TSL023075250</t>
  </si>
  <si>
    <t> Tôn Silic 023.075 x 250</t>
  </si>
  <si>
    <t>TSL023075260</t>
  </si>
  <si>
    <t> Tôn Silic 023.075 x 260</t>
  </si>
  <si>
    <t>TSL023075270</t>
  </si>
  <si>
    <t> Tôn Silic 023.075 x 270</t>
  </si>
  <si>
    <t>TSL023075290</t>
  </si>
  <si>
    <t> Tôn Silic 023.075 x 290</t>
  </si>
  <si>
    <t>TSL023075310</t>
  </si>
  <si>
    <t> Tôn Silic 023.075 x 310</t>
  </si>
  <si>
    <t>TSL023075320</t>
  </si>
  <si>
    <t> Tôn Silic 023.075 x 320</t>
  </si>
  <si>
    <t>TSL023075330</t>
  </si>
  <si>
    <t> Tôn Silic 023.075 x 330</t>
  </si>
  <si>
    <t>TSL023075340</t>
  </si>
  <si>
    <t> Tôn Silic 023.075 x 340</t>
  </si>
  <si>
    <t>TSL023080070</t>
  </si>
  <si>
    <t> Tôn Silic 023.080 x 70</t>
  </si>
  <si>
    <t>TSL023080080</t>
  </si>
  <si>
    <t> Tôn Silic 023.080 x 80</t>
  </si>
  <si>
    <t>TSL023080090</t>
  </si>
  <si>
    <t> Tôn Silic 023.080 x 90</t>
  </si>
  <si>
    <t>TSL023080100</t>
  </si>
  <si>
    <t> Tôn Silic 023.080 x 100</t>
  </si>
  <si>
    <t>TSL023080110</t>
  </si>
  <si>
    <t> Tôn Silic 023.080 x 110</t>
  </si>
  <si>
    <t>TSL023080120</t>
  </si>
  <si>
    <t> Tôn Silic 023.080 x 120</t>
  </si>
  <si>
    <t>TSL023080130</t>
  </si>
  <si>
    <t> Tôn Silic 023.080 x 130</t>
  </si>
  <si>
    <t>TSL023080140</t>
  </si>
  <si>
    <t> Tôn Silic 023.080 x 140</t>
  </si>
  <si>
    <t>TSL023080150</t>
  </si>
  <si>
    <t> Tôn Silic 023.080 x 150</t>
  </si>
  <si>
    <t>TSL023080160</t>
  </si>
  <si>
    <t> Tôn Silic 023.080 x160</t>
  </si>
  <si>
    <t>TSL023080170</t>
  </si>
  <si>
    <t> Tôn Silic 023.080 x 170</t>
  </si>
  <si>
    <t>TSL023080180</t>
  </si>
  <si>
    <t> Tôn Silic 023.080 x180</t>
  </si>
  <si>
    <t>TSL023080190</t>
  </si>
  <si>
    <t> Tôn Silic 023.080 x 190</t>
  </si>
  <si>
    <t>TSL023080200</t>
  </si>
  <si>
    <t> Tôn Silic 023.080 x 200</t>
  </si>
  <si>
    <t>TSL023080210</t>
  </si>
  <si>
    <t> Tôn Silic 023.080  x 210</t>
  </si>
  <si>
    <t>TSL023080220</t>
  </si>
  <si>
    <t> Tôn Silic 023.080 x 220</t>
  </si>
  <si>
    <t>TSL023080230</t>
  </si>
  <si>
    <t> Tôn Silic 023.080 x 230</t>
  </si>
  <si>
    <t>TSL023080240</t>
  </si>
  <si>
    <t> Tôn Silic 023.080 x 240</t>
  </si>
  <si>
    <t>TSL023080260</t>
  </si>
  <si>
    <t> Tôn Silic 023.080 x 260</t>
  </si>
  <si>
    <t>TSL023080270</t>
  </si>
  <si>
    <t> Tôn Silic 023.080 x 270</t>
  </si>
  <si>
    <t>TSL023080280</t>
  </si>
  <si>
    <t> Tôn Silic 023.080 x 280</t>
  </si>
  <si>
    <t>TSL023085080</t>
  </si>
  <si>
    <t> Tôn Silic 023.085  x 80</t>
  </si>
  <si>
    <t>TSL023085090</t>
  </si>
  <si>
    <t> Tôn Silic 023.085  x 90</t>
  </si>
  <si>
    <t>TSL023085100</t>
  </si>
  <si>
    <t> Tôn Silic 023.085 x 100</t>
  </si>
  <si>
    <t>TSL023085105</t>
  </si>
  <si>
    <t> Tôn Silic 023.085  x 105</t>
  </si>
  <si>
    <t>TSL023085110</t>
  </si>
  <si>
    <t> Tôn Silic 023.085 x 110</t>
  </si>
  <si>
    <t>TSL023085120</t>
  </si>
  <si>
    <t> Tôn Silic 023.085  x 120</t>
  </si>
  <si>
    <t>TSL023085125</t>
  </si>
  <si>
    <t> Tôn Silic 023.085  x 125</t>
  </si>
  <si>
    <t>TSL023085130</t>
  </si>
  <si>
    <t> Tôn Silic 023.085  x 130</t>
  </si>
  <si>
    <t>TSL023085140</t>
  </si>
  <si>
    <t> Tôn Silic 023.085  x 140</t>
  </si>
  <si>
    <t>TSL023085150</t>
  </si>
  <si>
    <t> Tôn Silic 023.085  x 150</t>
  </si>
  <si>
    <t>TSL023085160</t>
  </si>
  <si>
    <t> Tôn Silic 023.085  x 160</t>
  </si>
  <si>
    <t>TSL023085200</t>
  </si>
  <si>
    <t> Tôn Silic 023.085  x 200</t>
  </si>
  <si>
    <t>TSL023085220</t>
  </si>
  <si>
    <t> Tôn Silic 023.085  x 220</t>
  </si>
  <si>
    <t>TSL023085230</t>
  </si>
  <si>
    <t> Tôn Silic 023.085  x 230</t>
  </si>
  <si>
    <t>TSL023085260</t>
  </si>
  <si>
    <t> Tôn Silic 023.085  x 260</t>
  </si>
  <si>
    <t>TSL023090040</t>
  </si>
  <si>
    <t> Tôn Silic 023.090 x 40</t>
  </si>
  <si>
    <t>TSL023090050</t>
  </si>
  <si>
    <t> Tôn Silic 023.090 x 50</t>
  </si>
  <si>
    <t>TSL023090055</t>
  </si>
  <si>
    <t> Tôn Silic 023.090 x 55</t>
  </si>
  <si>
    <t>TSL023090060</t>
  </si>
  <si>
    <t> Tôn Silic 023.090 x 60</t>
  </si>
  <si>
    <t>TSL023090062</t>
  </si>
  <si>
    <t> Tôn Silic 023.090 x 62</t>
  </si>
  <si>
    <t>TSL023090070</t>
  </si>
  <si>
    <t> Tôn Silic 023.090 x 70</t>
  </si>
  <si>
    <t>TSL023090080</t>
  </si>
  <si>
    <t> Tôn Silic 023.090 x 80</t>
  </si>
  <si>
    <t>TSL023090090</t>
  </si>
  <si>
    <t> Tôn Silic 023.090 x 90</t>
  </si>
  <si>
    <t>TSL023090100</t>
  </si>
  <si>
    <t> Tôn Silic 023.090 x 100</t>
  </si>
  <si>
    <t>TSL023090110</t>
  </si>
  <si>
    <t> Tôn Silic 023.090 x 110</t>
  </si>
  <si>
    <t>TSL023090120</t>
  </si>
  <si>
    <t> Tôn Silic 023.090 x 120</t>
  </si>
  <si>
    <t>TSL023090130</t>
  </si>
  <si>
    <t> Tôn Silic 023.090 x 130</t>
  </si>
  <si>
    <t>TSL023090140</t>
  </si>
  <si>
    <t> Tôn Silic 023.090 x 140</t>
  </si>
  <si>
    <t>TSL023090150</t>
  </si>
  <si>
    <t> Tôn Silic 023.090 x 150</t>
  </si>
  <si>
    <t>TSL023090160</t>
  </si>
  <si>
    <t> Tôn Silic 023.090 x 160</t>
  </si>
  <si>
    <t>TSL023090170</t>
  </si>
  <si>
    <t> Tôn Silic 023.090 x 170</t>
  </si>
  <si>
    <t>TSL023090180</t>
  </si>
  <si>
    <t> Tôn Silic 023.090 x 180</t>
  </si>
  <si>
    <t>TSL023090190</t>
  </si>
  <si>
    <t> Tôn Silic 023.090 x 190</t>
  </si>
  <si>
    <t>TSL023090200</t>
  </si>
  <si>
    <t> Tôn Silic 023.090 x 200</t>
  </si>
  <si>
    <t>TSL023090210</t>
  </si>
  <si>
    <t> Tôn Silic 023.090 x 210</t>
  </si>
  <si>
    <t>TSL023090220</t>
  </si>
  <si>
    <t> Tôn Silic 023.090 x 220</t>
  </si>
  <si>
    <t>TSL023090230</t>
  </si>
  <si>
    <t> Tôn Silic 023.090 x 230</t>
  </si>
  <si>
    <t>TSL023090240</t>
  </si>
  <si>
    <t> Tôn Silic 023.090 x 240</t>
  </si>
  <si>
    <t>TSL023090250</t>
  </si>
  <si>
    <t> Tôn Silic 023.090 x 250</t>
  </si>
  <si>
    <t>TSL023090260</t>
  </si>
  <si>
    <t> Tôn Silic 023.090 x 260</t>
  </si>
  <si>
    <t>TSL023090270</t>
  </si>
  <si>
    <t> Tôn Silic 023.090 x 270</t>
  </si>
  <si>
    <t>TSL023090280</t>
  </si>
  <si>
    <t> Tôn Silic 023.090 x 280</t>
  </si>
  <si>
    <t>TSL023100025</t>
  </si>
  <si>
    <t> Tôn Silic 023.100 x 25</t>
  </si>
  <si>
    <t>TSL023110</t>
  </si>
  <si>
    <t> Tôn Silic 023 x 110</t>
  </si>
  <si>
    <t>TSL023120</t>
  </si>
  <si>
    <t> Tôn Silic 023 x 120</t>
  </si>
  <si>
    <t>TSL023125</t>
  </si>
  <si>
    <t> Tôn Silic 023 x 125</t>
  </si>
  <si>
    <t>TSL023135</t>
  </si>
  <si>
    <t> Tôn Silic 023 x 135</t>
  </si>
  <si>
    <t>TSL023140</t>
  </si>
  <si>
    <t> Tôn Silic 0.23 x 140</t>
  </si>
  <si>
    <t>TSL023150</t>
  </si>
  <si>
    <t> Tôn Silic 023 x 150</t>
  </si>
  <si>
    <t>TSL023170</t>
  </si>
  <si>
    <t> Tôn Silic 023 x 170</t>
  </si>
  <si>
    <t>TSL023180</t>
  </si>
  <si>
    <t> Tôn Silic 023 x 180</t>
  </si>
  <si>
    <t>TSL023215</t>
  </si>
  <si>
    <t> Tôn Silic 023 x 215</t>
  </si>
  <si>
    <t>TSL023220</t>
  </si>
  <si>
    <t> Tôn Silic 023 x 220</t>
  </si>
  <si>
    <t>TSL023245</t>
  </si>
  <si>
    <t> Tôn Silic 023 x 245</t>
  </si>
  <si>
    <t>TSL023260</t>
  </si>
  <si>
    <t> Tôn Silic 023 x 260</t>
  </si>
  <si>
    <t>TSL023290</t>
  </si>
  <si>
    <t> Tôn Silic 023 x 290</t>
  </si>
  <si>
    <t>TSL025130</t>
  </si>
  <si>
    <t> Tôn Silic 0.25 x130</t>
  </si>
  <si>
    <t>TSL026076</t>
  </si>
  <si>
    <t> Tôn Silic 0.26 x 76</t>
  </si>
  <si>
    <t>TSL026171</t>
  </si>
  <si>
    <t> Tôn Silic 0.26 x 171</t>
  </si>
  <si>
    <t>TSL027050</t>
  </si>
  <si>
    <t> Tôn Silic 0.27 x 50</t>
  </si>
  <si>
    <t>TSL027055</t>
  </si>
  <si>
    <t> Tôn Silic 0.27 x 55</t>
  </si>
  <si>
    <t>TSL027062</t>
  </si>
  <si>
    <t> Tôn Silic 0.27 x 62</t>
  </si>
  <si>
    <t>TSL027070</t>
  </si>
  <si>
    <t> Tôn Silic 0.27 x 70</t>
  </si>
  <si>
    <t>TSL027074</t>
  </si>
  <si>
    <t> Tôn Silic 0.27 x 74</t>
  </si>
  <si>
    <t>TSL027090</t>
  </si>
  <si>
    <t> Tôn Silic 0.27 x 90</t>
  </si>
  <si>
    <t>TSL027110</t>
  </si>
  <si>
    <t> Tôn Silic 0.27 x 110</t>
  </si>
  <si>
    <t>TSL027115</t>
  </si>
  <si>
    <t> Tôn Silic 0.27 x 115</t>
  </si>
  <si>
    <t>TSL027120</t>
  </si>
  <si>
    <t> Tôn Silic 0.27 x 120</t>
  </si>
  <si>
    <t>TSL027130</t>
  </si>
  <si>
    <t> Tôn Silic 0.27 x 130</t>
  </si>
  <si>
    <t>TSL027150</t>
  </si>
  <si>
    <t> Tôn Silic 0.27 x 150</t>
  </si>
  <si>
    <t>TSL027170</t>
  </si>
  <si>
    <t> Tôn Silic 0.27 x 170</t>
  </si>
  <si>
    <t>TSL027190</t>
  </si>
  <si>
    <t> Tôn Silic 0.27 x 190</t>
  </si>
  <si>
    <t>TSL027200</t>
  </si>
  <si>
    <t> Tôn Silic 0.27 x 200</t>
  </si>
  <si>
    <t>TSL027216</t>
  </si>
  <si>
    <t> Tôn Silic 0.27 x 216</t>
  </si>
  <si>
    <t>TSL027220</t>
  </si>
  <si>
    <t> Tôn Silic 0.27 x 220</t>
  </si>
  <si>
    <t>TSL027230</t>
  </si>
  <si>
    <t> Tôn Silic 0.27 x 230</t>
  </si>
  <si>
    <t>TSL027240</t>
  </si>
  <si>
    <t> Tôn Silic 0.27 x 240</t>
  </si>
  <si>
    <t>TSL027260</t>
  </si>
  <si>
    <t> Tôn Silic 0.27 x 260</t>
  </si>
  <si>
    <t>TSL027280</t>
  </si>
  <si>
    <t> Tôn Silic 0.27 x 280</t>
  </si>
  <si>
    <t>TSL027300</t>
  </si>
  <si>
    <t> Tôn Silic 0.27 x 300</t>
  </si>
  <si>
    <t>TSL027320</t>
  </si>
  <si>
    <t> Tôn Silic 0.27 x 320</t>
  </si>
  <si>
    <t>TSL027340</t>
  </si>
  <si>
    <t> Tôn Silic 0.27 x 340</t>
  </si>
  <si>
    <t>TSL030060</t>
  </si>
  <si>
    <t> Tôn Silic 0.30 x 60</t>
  </si>
  <si>
    <t>TSL030070</t>
  </si>
  <si>
    <t> Tôn Silic 0.30 x 70</t>
  </si>
  <si>
    <t>TSL030079</t>
  </si>
  <si>
    <t> Tôn Silic 0.30 x 79</t>
  </si>
  <si>
    <t>TSL030100</t>
  </si>
  <si>
    <t> Tôn Silic 0.30 x 100</t>
  </si>
  <si>
    <t>TSL030115</t>
  </si>
  <si>
    <t> Tôn Silic 0.30 x 115</t>
  </si>
  <si>
    <t>TSL030150</t>
  </si>
  <si>
    <t> Tôn Silic 0.30 x 150</t>
  </si>
  <si>
    <t>TSL030160</t>
  </si>
  <si>
    <t> Tôn Silic 0.30 x 160</t>
  </si>
  <si>
    <t>TSL030170</t>
  </si>
  <si>
    <t> Tôn Silic 0.30 x 170</t>
  </si>
  <si>
    <t>TSL030180</t>
  </si>
  <si>
    <t> Tôn Silic 0.30 x 180</t>
  </si>
  <si>
    <t>TSL035058</t>
  </si>
  <si>
    <t> Tôn Silic 0.35 x 58</t>
  </si>
  <si>
    <t>TSL035095</t>
  </si>
  <si>
    <t> Tôn Silic 0.35 x 95</t>
  </si>
  <si>
    <t> Dây cáp đồng trần mềm 1x120</t>
  </si>
  <si>
    <t> Dây cáp đồng trần mềm 1x35</t>
  </si>
  <si>
    <t> Dây cáp đồng trần mềm 1x50</t>
  </si>
  <si>
    <t> Dây cáp đồng trần mềm 1x70</t>
  </si>
  <si>
    <t> Dây cáp đồng trần mềm 1x95</t>
  </si>
  <si>
    <t> Dây đồng dẹt 2,2x3,5</t>
  </si>
  <si>
    <t> Dây đồng dẹt bọc giấy 2 sợi 1,95 x 10,9</t>
  </si>
  <si>
    <t> Dây đồng trần 2.25 x 7.1</t>
  </si>
  <si>
    <t> Dây đồng dẹt trần ủ 1.4 x 20</t>
  </si>
  <si>
    <t> Dây đồng dẹt trần ủ 1.6x20</t>
  </si>
  <si>
    <t> Dây đồng dẹt trần ủ 1.8 x20</t>
  </si>
  <si>
    <t> Dây đồng dẹt trần ủ 2.2x20</t>
  </si>
  <si>
    <t> Dây đồng dẹt trần ủ 2.4x20</t>
  </si>
  <si>
    <t> Dây đồng dẹt trần ủ 2.8x20</t>
  </si>
  <si>
    <t> Dây đồng dẹt bọc giấy 1.6x8.5</t>
  </si>
  <si>
    <t> Dây đồng dẹt bọc giấy 1.75x5.3</t>
  </si>
  <si>
    <t> Dây đồng dẹt bọc giấy 1.75 x 8</t>
  </si>
  <si>
    <t> Dây đồng dẹt bọc giấy 1.8x7,5</t>
  </si>
  <si>
    <t> Dây đồng dẹt bọc giấy 1,65x4,9 cũ</t>
  </si>
  <si>
    <t>DMG180520</t>
  </si>
  <si>
    <t> Dây đồng dẹt bọc giấy 1.8 x5.2</t>
  </si>
  <si>
    <t> Dây đồng dẹt bọc giấy 1.85 x 5,7</t>
  </si>
  <si>
    <t> Dây đồng dẹt bọc giấy 2.05x7.5</t>
  </si>
  <si>
    <t> Dây đồng dẹt bọc giấy 2.0 x 8</t>
  </si>
  <si>
    <t> Dây đồng dẹt bọc giấy 2,1x 12.65</t>
  </si>
  <si>
    <t>DMG2.2X71</t>
  </si>
  <si>
    <t> Dây đồng dẹt bọc giấy 2.2x7.1</t>
  </si>
  <si>
    <t> Dây đồng dẹt bọc giấy 2.2 x 8</t>
  </si>
  <si>
    <t> Dây đồng dẹt bọc giấy 2.35 x9.75</t>
  </si>
  <si>
    <t> Dây đồng dẹt bọc giấy 2.4 x 6</t>
  </si>
  <si>
    <t> Dây đồng dẹt bọc giấy 2.5 x7.2</t>
  </si>
  <si>
    <t> Dây đồng dẹt bọc giấy 2.,63 x 12.25</t>
  </si>
  <si>
    <t> Dây đồng dẹt bọc giấy 2,6 x 9</t>
  </si>
  <si>
    <t> Dây đồng dẹt bọc giấy 2.2x 7.5</t>
  </si>
  <si>
    <t> Dây đồng dẹt bọc giấy 2.26x13,2</t>
  </si>
  <si>
    <t> Dây đồng dẹt bọc giấy 2.4x12</t>
  </si>
  <si>
    <t> Dây đồng dẹt bọc giấy 2.5 x 10.0</t>
  </si>
  <si>
    <t> Dây đồng dẹt bọc giấy 2.5 x 11,2</t>
  </si>
  <si>
    <t> Dây đồng dẹt bọc giấy 2.5 x 11,5</t>
  </si>
  <si>
    <t> Dây đồng dẹt bọc giấy 2.5 x 12,5</t>
  </si>
  <si>
    <t> Dây đồng dẹt bọc giấy 2.,55x 10,95</t>
  </si>
  <si>
    <t> Dây đồng dẹt bọc giấy 2.,55x11.8</t>
  </si>
  <si>
    <t> Dây đồng dẹt bọc giấy 2.8 x 10</t>
  </si>
  <si>
    <t> Dây đồng dẹt bọc giấy 2.8 x 13.2</t>
  </si>
  <si>
    <t> Dây đồng dẹt bọc giấy 2,9 x 11</t>
  </si>
  <si>
    <t> Dây đồng dẹt bọc giấy 2,9 x 8.5</t>
  </si>
  <si>
    <t> Dây đồng dẹt bọc giấy 2.0 x 9</t>
  </si>
  <si>
    <t> Dây đồng dẹt bọc giấy 3.55 x 10.6</t>
  </si>
  <si>
    <t> Dây đồng dẹt bọc giấy 3.55 x 9.85</t>
  </si>
  <si>
    <t> Dây đồng dẹt bọc giấy 3.5 x 9.5</t>
  </si>
  <si>
    <t> Dây đồng dẹt bọc giấy 3.0x 12,5</t>
  </si>
  <si>
    <t> Dây đồng dẹt bọc giấy 3.05x 12,5</t>
  </si>
  <si>
    <t>DMG3098</t>
  </si>
  <si>
    <t> Dây đồng dẹt bọc giấy 3,0 x 9.8</t>
  </si>
  <si>
    <t> Dây đồng dẹt bọc giấy 3,0x8,5</t>
  </si>
  <si>
    <t> Dây đồng dẹt bọc giấy 3,15x10,6</t>
  </si>
  <si>
    <t> Dây đồng dẹt bọc giấy 3,2x10,8</t>
  </si>
  <si>
    <t> Dây đồng dẹt bọc giấy 3.5 x 10.0</t>
  </si>
  <si>
    <t> Dây đồng dẹt bọc giấy 3.5 x 11,5</t>
  </si>
  <si>
    <t> Dây đồng dẹt bọc giấy 3.5 x 12,5</t>
  </si>
  <si>
    <t> Dây đồng dẹt bọc giấy 3.5 x 15</t>
  </si>
  <si>
    <t> Dây đồng dẹt bọc giấy 3.5 x 8</t>
  </si>
  <si>
    <t> Dây đồng dẹt bọc giấy 3,9x8,5</t>
  </si>
  <si>
    <t> Dây đồng dẹt bọc giấy 3,0x 14.5</t>
  </si>
  <si>
    <t> Dây đồng dẹt bọc giấy 3,0x9</t>
  </si>
  <si>
    <t> Dây đồng dẹt bọc giấy 4 ,2 x 6.5</t>
  </si>
  <si>
    <t> Dây đồng dẹt bọc giấy 4 ,6 x14</t>
  </si>
  <si>
    <t> Dây đồng dẹt bọc giấy 4 ,5 x 9</t>
  </si>
  <si>
    <t> Dây đồng dẹt bọc giấy 4 ,5 x11,2</t>
  </si>
  <si>
    <t> Dây đồng dẹt bọc giấy 4 ,5 x12</t>
  </si>
  <si>
    <t> Dây đồng dẹt bọc giấy 4 ,5 x12,5</t>
  </si>
  <si>
    <t> Dây đồng dẹt bọc giấy 4 x 12,5 4lớp tang cường</t>
  </si>
  <si>
    <t> dây đồng dẹt bọc giấy 4 x 6</t>
  </si>
  <si>
    <t> dây đồng dẹt bọc giấy 5,6 x 12,5</t>
  </si>
  <si>
    <t> dây đồng dẹt bọc giấy 5,6 x 13,2</t>
  </si>
  <si>
    <t> dây đồng dẹt bọc giấy 5,6 x 8</t>
  </si>
  <si>
    <t> dây đồng dẹt bọc giấy 6.1 x 12.5</t>
  </si>
  <si>
    <t> Dây nhôm dẹt trần ủ 1.6x20</t>
  </si>
  <si>
    <t> Dây nhôm dẹt trần ủ 1.8x20</t>
  </si>
  <si>
    <t> Dây nhôm dẹt trần ủ 2.0x20</t>
  </si>
  <si>
    <t> Dây nhôm dẹt bọc giấy 2.5 x 9</t>
  </si>
  <si>
    <t> Dây nhôm dẹt bọc giấy 2x7</t>
  </si>
  <si>
    <t> Dây nhôm dẹt bọc giấy 3.5 x 11,2</t>
  </si>
  <si>
    <t> Dây nhôm dẹt bọc giấy 3,5 x 16</t>
  </si>
  <si>
    <t> Dây nhôm dẹt bọc giấy 3.0 x 8</t>
  </si>
  <si>
    <t> Dây nhôm dẹt bọc giấy 4,5 x 11</t>
  </si>
  <si>
    <t> Dây nhôm dẹt bọc giấy 4,5 x 11,2</t>
  </si>
  <si>
    <t> Dây nhôm dẹt bọc giấy 4.5 x 12.5</t>
  </si>
  <si>
    <t> Dây nhôm dẹt bọc giấy 5,8x 16</t>
  </si>
  <si>
    <t> Dây nhôm TM 0,9 ly</t>
  </si>
  <si>
    <t> Dây nhôm TM 1.00</t>
  </si>
  <si>
    <t> Dây nhôm TM 1.10</t>
  </si>
  <si>
    <t> Dây nhôm TM 1.20</t>
  </si>
  <si>
    <t> Dây nhôm TM 1.40</t>
  </si>
  <si>
    <t> Dây nhôm TM 1.50</t>
  </si>
  <si>
    <t> Dây nhôm TM 1.60</t>
  </si>
  <si>
    <t> Dây nhôm TM 1.70</t>
  </si>
  <si>
    <t> Dây nhôm mới 1.8ly</t>
  </si>
  <si>
    <t> Dây nhôm mới 1.9 ly</t>
  </si>
  <si>
    <t> Dây nhôm mới 2.0 ly</t>
  </si>
  <si>
    <t> Dây nhôm mới 2.1 ly</t>
  </si>
  <si>
    <t> Dây nhôm mới 2.2 ly</t>
  </si>
  <si>
    <t> Dây nhôm mới 2.3 ly</t>
  </si>
  <si>
    <t> Dây nhôm mới 2.4 ly</t>
  </si>
  <si>
    <t> Dây nhôm mới 2.5 ly</t>
  </si>
  <si>
    <t> Dây nhôm mới 2.6 ly</t>
  </si>
  <si>
    <t> Dây nhôm mới 2.8 ly</t>
  </si>
  <si>
    <t> Dây nhôm TM 3.00</t>
  </si>
  <si>
    <t> Dây nhôm TM 3.20</t>
  </si>
  <si>
    <t> Dây nhôm TM 3.50</t>
  </si>
  <si>
    <t> Dây đồng TM 0.1</t>
  </si>
  <si>
    <t> Dây đồng TM 0.08</t>
  </si>
  <si>
    <t> Dây đồng TM 0.11</t>
  </si>
  <si>
    <t> Dây đồng TM 0.12</t>
  </si>
  <si>
    <t> Dây đồng TM 0.15</t>
  </si>
  <si>
    <t> Dây đồng TM 0.2</t>
  </si>
  <si>
    <t> Dây đồng TM 0.23</t>
  </si>
  <si>
    <t> Dây đồng TM 0.25</t>
  </si>
  <si>
    <t> Dây đồng TM 0.30</t>
  </si>
  <si>
    <t> Dây đồng TM 0.35</t>
  </si>
  <si>
    <t> Dây đồng TM 0.40</t>
  </si>
  <si>
    <t> Dây đồng TM 0.45</t>
  </si>
  <si>
    <t> Dây đồng TM 0.50</t>
  </si>
  <si>
    <t> Dây đồng TM 0.55</t>
  </si>
  <si>
    <t> Dây đồng TM 0.60</t>
  </si>
  <si>
    <t> Dây đồng TM 0.65</t>
  </si>
  <si>
    <t> Dây đồng TM 0.70</t>
  </si>
  <si>
    <t> Dây đồng TM 0.75</t>
  </si>
  <si>
    <t> Dây đồng TM 0.80</t>
  </si>
  <si>
    <t> Dây đồng TM 0.85 ly</t>
  </si>
  <si>
    <t> Dây đồng TM 0.9 ly</t>
  </si>
  <si>
    <t> Dây đồng TM 0.95</t>
  </si>
  <si>
    <t> Dây đồng TM 1.00</t>
  </si>
  <si>
    <t> Dây đồng TM 1.05</t>
  </si>
  <si>
    <t> Dây đồng TM 1.10</t>
  </si>
  <si>
    <t> Dây đồng TM 1.15</t>
  </si>
  <si>
    <t> Dây đồng TM 1.20</t>
  </si>
  <si>
    <t> Dây đồng TM 1.25</t>
  </si>
  <si>
    <t> Dây đồng TM 1.30</t>
  </si>
  <si>
    <t> Dây đồng TM 1.35</t>
  </si>
  <si>
    <t> Dây đồng TM 1.40</t>
  </si>
  <si>
    <t> Dây đồng TM 1.45</t>
  </si>
  <si>
    <t> Dây đồng TM 1.50</t>
  </si>
  <si>
    <t> Dây đồng TM 1.55</t>
  </si>
  <si>
    <t> Dây đồng TM 1.60</t>
  </si>
  <si>
    <t> Dây đồng TM 1.65</t>
  </si>
  <si>
    <t> Dây đồng TM 1.70</t>
  </si>
  <si>
    <t> Dây đồng TM 1.75</t>
  </si>
  <si>
    <t> Dây đồng TM 1.80</t>
  </si>
  <si>
    <t> Dây đồng TM 1.85</t>
  </si>
  <si>
    <t> Dây đồng TM1,90</t>
  </si>
  <si>
    <t> Dây đồng TM1,95</t>
  </si>
  <si>
    <t> Dây đồng TM 2.00</t>
  </si>
  <si>
    <t> Dây đồng TM 2.05</t>
  </si>
  <si>
    <t> Dây đồng TM 2.10</t>
  </si>
  <si>
    <t> Dây đồng TM 2.20</t>
  </si>
  <si>
    <t> Dây đồng TM 2.30</t>
  </si>
  <si>
    <t> Dây đồng TM2.40</t>
  </si>
  <si>
    <t> Dây đồng TM2.50</t>
  </si>
  <si>
    <t> Dây đồng TM2.60</t>
  </si>
  <si>
    <t> Dây đồng TM 2,7ly</t>
  </si>
  <si>
    <t> Dây đồng TM 2,9ly</t>
  </si>
  <si>
    <t> Dây đồng TM 300</t>
  </si>
  <si>
    <t> Dây đồng TM320</t>
  </si>
  <si>
    <t> Bìa cách điện 0.5 ly</t>
  </si>
  <si>
    <t> Bìa cách điện 1 ly</t>
  </si>
  <si>
    <t> Bìa cách điện 1,5 ly</t>
  </si>
  <si>
    <t> Bìa cách điện 2 ly</t>
  </si>
  <si>
    <t> Bìa cách điện 3 ly</t>
  </si>
  <si>
    <t> Bìa cách điện 4 ly</t>
  </si>
  <si>
    <t> Giấy cách điện 008</t>
  </si>
  <si>
    <t>GCDDDPTS</t>
  </si>
  <si>
    <t> Giấy cách điện DDP toàn sơn</t>
  </si>
  <si>
    <t> Giấy cách điện DMD Trong</t>
  </si>
  <si>
    <t> Giấy nhăn 0.8x1100</t>
  </si>
  <si>
    <t> Giấy nhăn ống</t>
  </si>
  <si>
    <t>GMC</t>
  </si>
  <si>
    <t> Giấy Mica</t>
  </si>
  <si>
    <t> Giấy nhăn</t>
  </si>
  <si>
    <t>GOS</t>
  </si>
  <si>
    <t> Giấy ô sơn</t>
  </si>
  <si>
    <t> Giấy  ô sơn phương TQ</t>
  </si>
  <si>
    <t> Giấy ráp thô ab</t>
  </si>
  <si>
    <t> Giấy ráp mịn</t>
  </si>
  <si>
    <t>DAUBTCU</t>
  </si>
  <si>
    <t> Dầu biến thế loại cũ</t>
  </si>
  <si>
    <t>DAUBTNYNAS</t>
  </si>
  <si>
    <t> Dầu biến thế Ninas</t>
  </si>
  <si>
    <t> Dầu shell dialas2</t>
  </si>
  <si>
    <t> Dầu biến thế</t>
  </si>
  <si>
    <t> Dầu Sinh học FR3</t>
  </si>
  <si>
    <t> Dầu Silincone</t>
  </si>
  <si>
    <t> Gioăng co su chịu dầu 08</t>
  </si>
  <si>
    <t>Mét</t>
  </si>
  <si>
    <t>G1000</t>
  </si>
  <si>
    <t> Gioăng 1/1000</t>
  </si>
  <si>
    <t>Bộ</t>
  </si>
  <si>
    <t> Gioăng 115x75x8</t>
  </si>
  <si>
    <t>G2000</t>
  </si>
  <si>
    <t> Gioăng 1/2000</t>
  </si>
  <si>
    <t> Gioăng 20*10</t>
  </si>
  <si>
    <t>mét</t>
  </si>
  <si>
    <t> Gioăng 1/250</t>
  </si>
  <si>
    <t>bộ</t>
  </si>
  <si>
    <t> Gioăng 30*15</t>
  </si>
  <si>
    <t> Gioăng 30/630</t>
  </si>
  <si>
    <t> Gioăng 1/3150</t>
  </si>
  <si>
    <t> Gioăng 35x18x11</t>
  </si>
  <si>
    <t>cái</t>
  </si>
  <si>
    <t>G630</t>
  </si>
  <si>
    <t> Gioăng 1/630</t>
  </si>
  <si>
    <t> Gioăng ống phồng nổ 90x124x6</t>
  </si>
  <si>
    <t> Gioăng bầu dầu</t>
  </si>
  <si>
    <t>GBM12</t>
  </si>
  <si>
    <t> Gioăng bìa M12</t>
  </si>
  <si>
    <t> Gioăng bìa 1/630</t>
  </si>
  <si>
    <t> Gioăng bìa M30</t>
  </si>
  <si>
    <t> Gioăng bìa M42</t>
  </si>
  <si>
    <t> Gioăng bìa M48</t>
  </si>
  <si>
    <t> Gioăng cửa buồng hút chân không</t>
  </si>
  <si>
    <t> Gioăng cốc hạt ẩm</t>
  </si>
  <si>
    <t> Gioăng cao su 6mm x86 x 103</t>
  </si>
  <si>
    <t> Gioăng cao su chịu dầu</t>
  </si>
  <si>
    <t> Gioăng chóp sứ Mof</t>
  </si>
  <si>
    <t>GCT</t>
  </si>
  <si>
    <t> Gioăng cao thế</t>
  </si>
  <si>
    <t>GDCHINH</t>
  </si>
  <si>
    <t> Gioăng điều chỉnh</t>
  </si>
  <si>
    <t> Gioăng đồng tiền</t>
  </si>
  <si>
    <t> Gioăng góc 55x40x8</t>
  </si>
  <si>
    <t> Gioăng hạ thế  1pha M10</t>
  </si>
  <si>
    <t> Gioăng hạ thế  1pha M14</t>
  </si>
  <si>
    <t> Gioăng hạ thế  1pha M18</t>
  </si>
  <si>
    <t> Gioăng100x70x8</t>
  </si>
  <si>
    <t>GIOANG103X74X6</t>
  </si>
  <si>
    <t> Gioăng dẹt 103x74x6</t>
  </si>
  <si>
    <t> Gioăng10 x 3</t>
  </si>
  <si>
    <t> Gioăng12 x 4</t>
  </si>
  <si>
    <t> Gioăng12 x 5</t>
  </si>
  <si>
    <t> Gioăng18 x 3</t>
  </si>
  <si>
    <t> Gioăng 40x32x4</t>
  </si>
  <si>
    <t> Gioăng cao su 30</t>
  </si>
  <si>
    <t> Gioăng cao thế  1pha</t>
  </si>
  <si>
    <t> Gioăng chân tủ</t>
  </si>
  <si>
    <t> Gioăng cánh tản nhiệt</t>
  </si>
  <si>
    <t> Gioăng gài điện</t>
  </si>
  <si>
    <t> Gioăng hạ thế  1pha</t>
  </si>
  <si>
    <t> Gioăng miệng máy</t>
  </si>
  <si>
    <t> gioăng nẹp 08.4</t>
  </si>
  <si>
    <t> gioăng nẹp tròn 08</t>
  </si>
  <si>
    <t>GIOANGNEPTR10</t>
  </si>
  <si>
    <t> Gioăng nẹp tròn 10</t>
  </si>
  <si>
    <t> Gioăng Tấm</t>
  </si>
  <si>
    <t>tấm</t>
  </si>
  <si>
    <t> Gioăng tủ điện</t>
  </si>
  <si>
    <t> Gioăng tròn 12x25</t>
  </si>
  <si>
    <t> Gioăng tròn 20/12</t>
  </si>
  <si>
    <t> Gioăng tròn 22/18</t>
  </si>
  <si>
    <t> Gioăng tròn 24/12</t>
  </si>
  <si>
    <t> Gioăng tròn 40x3</t>
  </si>
  <si>
    <t> Gioăng Tủ điện</t>
  </si>
  <si>
    <t> Gioăng quả bàng M16</t>
  </si>
  <si>
    <t>quả</t>
  </si>
  <si>
    <t> Gioăng ống phồng nổ</t>
  </si>
  <si>
    <t> Gioăng quả bàng</t>
  </si>
  <si>
    <t> Gioăng van cụm cánh</t>
  </si>
  <si>
    <t> Gioăng van xả dầu</t>
  </si>
  <si>
    <t> Ty ép xà các loại</t>
  </si>
  <si>
    <t> Bu lông 04x20</t>
  </si>
  <si>
    <t> Bu lông 5x 20</t>
  </si>
  <si>
    <t>Con</t>
  </si>
  <si>
    <t> Bu lông 5x60</t>
  </si>
  <si>
    <t> Bu lông 5x 80</t>
  </si>
  <si>
    <t> Bu lông I Nox 6</t>
  </si>
  <si>
    <t> Bu lông 06x50</t>
  </si>
  <si>
    <t> Bu lông I Nox 8</t>
  </si>
  <si>
    <t> Bu lông 8 X 20</t>
  </si>
  <si>
    <t> Bu lông 8 X 30</t>
  </si>
  <si>
    <t> Bu lông 8 X 35</t>
  </si>
  <si>
    <t> Bu lông 8 X 50</t>
  </si>
  <si>
    <t> Bu lông 10</t>
  </si>
  <si>
    <t> Bu lông 12</t>
  </si>
  <si>
    <t> Bu lông 14 x30</t>
  </si>
  <si>
    <t> Bu lông 14 x50</t>
  </si>
  <si>
    <t> Bu lông 14 x60</t>
  </si>
  <si>
    <t> Bu lông 16 X 100</t>
  </si>
  <si>
    <t> Bu lông 16 X 30</t>
  </si>
  <si>
    <t> Bu lông 16 X 50</t>
  </si>
  <si>
    <t> Bu lông 16 X 60</t>
  </si>
  <si>
    <t>BL16X70</t>
  </si>
  <si>
    <t> Bu lông 16 X 70</t>
  </si>
  <si>
    <t> Bu lông 18 x100</t>
  </si>
  <si>
    <t> Bu lông 20</t>
  </si>
  <si>
    <t> Bu lông 4</t>
  </si>
  <si>
    <t> Bu lông 5</t>
  </si>
  <si>
    <t> Bu lông 6</t>
  </si>
  <si>
    <t> Bu lông  đồng 8 x 100</t>
  </si>
  <si>
    <t> Bu lông  đồng 8 x 40</t>
  </si>
  <si>
    <t> Bu lông  đồng 8 x 50</t>
  </si>
  <si>
    <t> Bu lông  đồng 10 x 30</t>
  </si>
  <si>
    <t> Bu lông  đồng 10 x 40</t>
  </si>
  <si>
    <t> Bu lông  đồng 10 x 50</t>
  </si>
  <si>
    <t> Bu lông  đồng 12 x 40</t>
  </si>
  <si>
    <t> Bu lông  đồng 12 x 50</t>
  </si>
  <si>
    <t> Bu lông  đồng 12 x 60</t>
  </si>
  <si>
    <t> Bu lông  đồng 12 x 70</t>
  </si>
  <si>
    <t> Bu lông  đồng 14 x 70</t>
  </si>
  <si>
    <t>BLIN06X20</t>
  </si>
  <si>
    <t> Bu lông INox 06 x 20</t>
  </si>
  <si>
    <t>BLIN06X40</t>
  </si>
  <si>
    <t> Bu lông INox 06 x 40</t>
  </si>
  <si>
    <t>BLIN06X50</t>
  </si>
  <si>
    <t> Bu lông INox 06 x 50</t>
  </si>
  <si>
    <t>BLIN08X12</t>
  </si>
  <si>
    <t> Bu lông INox 08 x 12</t>
  </si>
  <si>
    <t>BLIN08X20</t>
  </si>
  <si>
    <t> Bu lông INox 08 x 20</t>
  </si>
  <si>
    <t>BLIN08X30</t>
  </si>
  <si>
    <t> Bu lông INox 08 x 30</t>
  </si>
  <si>
    <t>BLIN10</t>
  </si>
  <si>
    <t> Bu lông INox 10</t>
  </si>
  <si>
    <t>BLIN12</t>
  </si>
  <si>
    <t> Bu lông INox 12</t>
  </si>
  <si>
    <t>BLIN14X30</t>
  </si>
  <si>
    <t> Bu lông INox 14 x 30</t>
  </si>
  <si>
    <t>BLIN16X60</t>
  </si>
  <si>
    <t> Bu lông INox 16 x 60</t>
  </si>
  <si>
    <t>BLIN16X70</t>
  </si>
  <si>
    <t> Bu lông INox 16 x 70</t>
  </si>
  <si>
    <t> Bu lông lục giác 12x70</t>
  </si>
  <si>
    <t>BLLG20X100</t>
  </si>
  <si>
    <t> Bu lông lục giác 20x100</t>
  </si>
  <si>
    <t>con</t>
  </si>
  <si>
    <t> Bu lông lục giác 6x80</t>
  </si>
  <si>
    <t> Bu lông lục giác 8x40</t>
  </si>
  <si>
    <t> Bu lông mạ 5x125</t>
  </si>
  <si>
    <t> Bu lông nhúng nóng M8x20</t>
  </si>
  <si>
    <t> Bu lông nhúng nóng M8x30</t>
  </si>
  <si>
    <t> Bu lông nhúng nóng M10x140</t>
  </si>
  <si>
    <t>BLM10X30</t>
  </si>
  <si>
    <t> Bu lông nhúng nóng M10 x 30</t>
  </si>
  <si>
    <t> Bu lông nhúng nóng M10x35</t>
  </si>
  <si>
    <t> Bu lông nhúng nóng M10x40</t>
  </si>
  <si>
    <t> Bu lông nhúng nóng M10x50</t>
  </si>
  <si>
    <t> Bu lông nhúng nóng M12x20</t>
  </si>
  <si>
    <t> Bu lông nhúng nóng M12x40</t>
  </si>
  <si>
    <t> Bu lông nhúng nóng M12x50</t>
  </si>
  <si>
    <t> Bu lông nhúng nóng M12x60</t>
  </si>
  <si>
    <t> Bu lông nhúng nóng M 20x100</t>
  </si>
  <si>
    <t> Bu lông M4x10</t>
  </si>
  <si>
    <t> Bu lông nhựa</t>
  </si>
  <si>
    <t> Bu lông 12 x80</t>
  </si>
  <si>
    <t> Bu lông M5x20</t>
  </si>
  <si>
    <t>BULONG5X30</t>
  </si>
  <si>
    <t> Bu lông M5x30</t>
  </si>
  <si>
    <t> Bu lông M5x70</t>
  </si>
  <si>
    <t>BULONG6X70</t>
  </si>
  <si>
    <t> Bu lông M6x70</t>
  </si>
  <si>
    <t> Bu lông 6 x 80</t>
  </si>
  <si>
    <t> Bu lông 8 x15</t>
  </si>
  <si>
    <t> Bu lông lục giác chìm</t>
  </si>
  <si>
    <t> Bu lông lục giác chìm 6x12</t>
  </si>
  <si>
    <t> Đai ốc 3</t>
  </si>
  <si>
    <t>gói</t>
  </si>
  <si>
    <t> Đai ốc 10</t>
  </si>
  <si>
    <t>Chiếc</t>
  </si>
  <si>
    <t> Đai ốc 12</t>
  </si>
  <si>
    <t> Đai ốc 14</t>
  </si>
  <si>
    <t> Đai ốc 16</t>
  </si>
  <si>
    <t> Đai ốc 18</t>
  </si>
  <si>
    <t> Đai ốc 20</t>
  </si>
  <si>
    <t> Đai ốc 22</t>
  </si>
  <si>
    <t> Đai ốc 24</t>
  </si>
  <si>
    <t> Đai ốc 27</t>
  </si>
  <si>
    <t> Đai ốc 30</t>
  </si>
  <si>
    <t> Đai ốc 4</t>
  </si>
  <si>
    <t> Đai ốc 5</t>
  </si>
  <si>
    <t> Đai ốc 6</t>
  </si>
  <si>
    <t> Đai ốc 8</t>
  </si>
  <si>
    <t> Đai ốc đồng 10</t>
  </si>
  <si>
    <t> Đai ốc đồng 12</t>
  </si>
  <si>
    <t> Đai ốc đồng 14</t>
  </si>
  <si>
    <t> Đai ốc đồng 20</t>
  </si>
  <si>
    <t> Đai ốc đồng M30</t>
  </si>
  <si>
    <t> Đai ốc 08 i nox</t>
  </si>
  <si>
    <t> Đai ốc 10 i nox</t>
  </si>
  <si>
    <t> Đai ốc 12 i nox</t>
  </si>
  <si>
    <t> Đai ốc 16 i nox</t>
  </si>
  <si>
    <t> Đai ốc 6 i nox</t>
  </si>
  <si>
    <t> Đai ốc 8 i nox</t>
  </si>
  <si>
    <t>DOINM10</t>
  </si>
  <si>
    <t> Đai ốc mũ Inox M10</t>
  </si>
  <si>
    <t> Đai ốc mạ M10 khía</t>
  </si>
  <si>
    <t> Đai ốc 10 nhúng nóng</t>
  </si>
  <si>
    <t> Đai ốc 12 nhúng nóng</t>
  </si>
  <si>
    <t> Đai ốc 20 nhúng nóng</t>
  </si>
  <si>
    <t> Đai ốc 8 nhúng nóng</t>
  </si>
  <si>
    <t> Long đen 8</t>
  </si>
  <si>
    <t> Long đen 10</t>
  </si>
  <si>
    <t> Long đen 12</t>
  </si>
  <si>
    <t> Long đen 14</t>
  </si>
  <si>
    <t> Long đen 16</t>
  </si>
  <si>
    <t> Long đen 18</t>
  </si>
  <si>
    <t> Long đen 20</t>
  </si>
  <si>
    <t> Long đen 22</t>
  </si>
  <si>
    <t> Long đen 24</t>
  </si>
  <si>
    <t> Long đen 27</t>
  </si>
  <si>
    <t> Long đen 30</t>
  </si>
  <si>
    <t> Long đen 4</t>
  </si>
  <si>
    <t> Long đen 5</t>
  </si>
  <si>
    <t> Long đen 6</t>
  </si>
  <si>
    <t> Long đen đồng 8</t>
  </si>
  <si>
    <t> Long đen đồng10</t>
  </si>
  <si>
    <t>LDD12</t>
  </si>
  <si>
    <t> Long đen đồng 12</t>
  </si>
  <si>
    <t> Long đen đồng 14</t>
  </si>
  <si>
    <t> Long đen đồng 20</t>
  </si>
  <si>
    <t>LDD30</t>
  </si>
  <si>
    <t> Long đen đồng 30</t>
  </si>
  <si>
    <t> Long đen Inox 08</t>
  </si>
  <si>
    <t> Long đen Inox 10</t>
  </si>
  <si>
    <t> Long đen Inox 12</t>
  </si>
  <si>
    <t> Long đen Inox 16</t>
  </si>
  <si>
    <t> long đen inox6</t>
  </si>
  <si>
    <t> Long đen M8 nhúng nóng</t>
  </si>
  <si>
    <t> Long đen M10 nhúng nóng</t>
  </si>
  <si>
    <t> Long đen M12 nhúng nóng</t>
  </si>
  <si>
    <t> Long đen M20 nhúng nóng</t>
  </si>
  <si>
    <t> Long đen phíp</t>
  </si>
  <si>
    <t>LDV1012</t>
  </si>
  <si>
    <t> Long đen vênh 10 - 12 (cũ)</t>
  </si>
  <si>
    <t> Long đen vênh 12</t>
  </si>
  <si>
    <t> Long đen vênh 14</t>
  </si>
  <si>
    <t> Long đen vênh 16</t>
  </si>
  <si>
    <t> Long đen vênh 20</t>
  </si>
  <si>
    <t> Long đen vênh 5</t>
  </si>
  <si>
    <t> Long đen vênh 6</t>
  </si>
  <si>
    <t> Long đen vênh 8</t>
  </si>
  <si>
    <t> Long đen vênh inox6</t>
  </si>
  <si>
    <t> Long đen vênh inox8</t>
  </si>
  <si>
    <t> Long đen vênh inox12</t>
  </si>
  <si>
    <t> Long đen vênh inox16</t>
  </si>
  <si>
    <t> Long đen vênh M10 nhúng nóng</t>
  </si>
  <si>
    <t> Đế mắt nhìn dầu</t>
  </si>
  <si>
    <t>Lít</t>
  </si>
  <si>
    <t>Kg</t>
  </si>
  <si>
    <t> Mắt báo dầu</t>
  </si>
  <si>
    <t>ONCD</t>
  </si>
  <si>
    <t> Ống nhựa chịu dầu</t>
  </si>
  <si>
    <t> ống phao báo dầu</t>
  </si>
  <si>
    <t> Phao báo dầu dài</t>
  </si>
  <si>
    <t> phao báo dầu EM -LV 45 (G1 )</t>
  </si>
  <si>
    <t> phao báo dầu có tiếp điểm</t>
  </si>
  <si>
    <t> Phao báo dầu 801-4</t>
  </si>
  <si>
    <t> Phao báo dầu 804-277</t>
  </si>
  <si>
    <t> phớt dầu</t>
  </si>
  <si>
    <t>QLD1</t>
  </si>
  <si>
    <t> Quả lọc dầu Find Filter OFM 800</t>
  </si>
  <si>
    <t>Quả</t>
  </si>
  <si>
    <t>QLD2</t>
  </si>
  <si>
    <t> Quả lọc dầu Degasing OFM 800</t>
  </si>
  <si>
    <t> Sắt mặt bích bầu dầu to</t>
  </si>
  <si>
    <t> Thước dầu</t>
  </si>
  <si>
    <t> Thước dầu ls3</t>
  </si>
  <si>
    <t> Thước dầu TS03</t>
  </si>
  <si>
    <t> Van dầu 480</t>
  </si>
  <si>
    <t> Van 3 càng</t>
  </si>
  <si>
    <t> Chống sét van 12kv</t>
  </si>
  <si>
    <t> Chống sét van 24kv</t>
  </si>
  <si>
    <t> Chống sét van 42kv</t>
  </si>
  <si>
    <t> Chống sét van 500v</t>
  </si>
  <si>
    <t> Chống sét van 6kv</t>
  </si>
  <si>
    <t> Van giảm áp 3050501 ấn độ</t>
  </si>
  <si>
    <t> Van giảm áp T50 -3065006</t>
  </si>
  <si>
    <t> Van an toàn áp lực 1 pha</t>
  </si>
  <si>
    <t> Van cụm cánh tản nhiệt</t>
  </si>
  <si>
    <t> Van giảm áp 0.2</t>
  </si>
  <si>
    <t> Van giảm áp 0.35</t>
  </si>
  <si>
    <t> Van giảm áp 0.5</t>
  </si>
  <si>
    <t>VK32</t>
  </si>
  <si>
    <t> Van khoá Inox DN32</t>
  </si>
  <si>
    <t> Van khoá 34</t>
  </si>
  <si>
    <t> Van xả hông MBA</t>
  </si>
  <si>
    <t> Bầu dầu 220 x 500</t>
  </si>
  <si>
    <t> Bầu dầu 220 x 620</t>
  </si>
  <si>
    <t> Bầu dầu 240 x 620</t>
  </si>
  <si>
    <t> Bầu dầu 240 x 680</t>
  </si>
  <si>
    <t>BD400X1100</t>
  </si>
  <si>
    <t> Bầu dầu 400 x 1100</t>
  </si>
  <si>
    <t> Bầu dầu 400 x 900</t>
  </si>
  <si>
    <t> Bầu dầu  450 x900</t>
  </si>
  <si>
    <t> Bầu dầu  300 x 700</t>
  </si>
  <si>
    <t> Bầu dầu  350 x 700</t>
  </si>
  <si>
    <t> Bầu dầu  500 x 1300</t>
  </si>
  <si>
    <t> Bầu dầu  500 x 1800</t>
  </si>
  <si>
    <t> Bầu dầu  550 x 1100</t>
  </si>
  <si>
    <t> Bầu dầu máy 1000 trở lên</t>
  </si>
  <si>
    <t>BDM1250</t>
  </si>
  <si>
    <t> Bầu dầu máy 1250kVA</t>
  </si>
  <si>
    <t> Bầu dầu máy 1600</t>
  </si>
  <si>
    <t> Bầu dầu máy 2500kva</t>
  </si>
  <si>
    <t> Bầu dầu máy 400 trở xuống</t>
  </si>
  <si>
    <t> Bầu dầu máy 500 trở lên</t>
  </si>
  <si>
    <t> Bầu dầu máy 750 trở lên</t>
  </si>
  <si>
    <t> Kính phòng nổ</t>
  </si>
  <si>
    <t> Phòng nổ MBA</t>
  </si>
  <si>
    <t> xèng ống phong nổ</t>
  </si>
  <si>
    <t> Rơ le bảo vệ DMCR 3.0</t>
  </si>
  <si>
    <t> Rơ le</t>
  </si>
  <si>
    <t> Rơ le hơi QJ 50</t>
  </si>
  <si>
    <t> Rơ le nhiệt bảo vệ dòng</t>
  </si>
  <si>
    <t> Rơ le ga R1 MAO</t>
  </si>
  <si>
    <t> Rơ le trung gian 10a 220V</t>
  </si>
  <si>
    <t> Rơ le trung gian 10a 24VAC</t>
  </si>
  <si>
    <t> Rơ le trung gian 380V</t>
  </si>
  <si>
    <t> Rơ le trung gian 5a 220V</t>
  </si>
  <si>
    <t> Rơ le trung gian 24VDC 5A- 8 chân</t>
  </si>
  <si>
    <t>ROLETG8CRXM2LB1P7</t>
  </si>
  <si>
    <t> Rơ le trung gian 8 chân RXM2 LB1 P7</t>
  </si>
  <si>
    <t> Can nhiệt kế</t>
  </si>
  <si>
    <t> Đồng hồ nhiệt kế có tiếp điểm</t>
  </si>
  <si>
    <t> Đầu nối đồng hồ nhiệt kế</t>
  </si>
  <si>
    <t> Nắp đậy nhiệt kế</t>
  </si>
  <si>
    <t> Cảm biến nhiệt</t>
  </si>
  <si>
    <t> Đồng hồ ampe 1000/5A</t>
  </si>
  <si>
    <t> Đồng hồ 100/5A- EMC</t>
  </si>
  <si>
    <t> Đồng hồ 1200/5A- EMC</t>
  </si>
  <si>
    <t> Đồng hồ 150/5A- EMC</t>
  </si>
  <si>
    <t> Đồng hồ  2000/5AEMC</t>
  </si>
  <si>
    <t>DH2000A</t>
  </si>
  <si>
    <t> Đồng hồ 2000A</t>
  </si>
  <si>
    <t> Đồng hồ 200 /5a EMC</t>
  </si>
  <si>
    <t> Đồng hồ ampe 2500/5A</t>
  </si>
  <si>
    <t> Đồng hồ 250 /5a EMC</t>
  </si>
  <si>
    <t> Đồng hồ 3000A</t>
  </si>
  <si>
    <t> Đồng hồ 300/5A -EMIC</t>
  </si>
  <si>
    <t> Đồng hồ 400/5A -EMIC</t>
  </si>
  <si>
    <t> Đồng hồ 450v-EMIC</t>
  </si>
  <si>
    <t> Đồng hồ 500/5A -EMIC</t>
  </si>
  <si>
    <t> Đồng hồ 50/5A- EMC</t>
  </si>
  <si>
    <t> Đồng hồ 600/5A EMC</t>
  </si>
  <si>
    <t> Đồng hồ 75/5A- EMC</t>
  </si>
  <si>
    <t> Đồng hồ ampe 75/5A</t>
  </si>
  <si>
    <t> đồng hồ agông</t>
  </si>
  <si>
    <t> Đồng hồ 100/5a</t>
  </si>
  <si>
    <t> Đồng hồ báo dầu 801.2</t>
  </si>
  <si>
    <t> Đồng hồ báo dầu</t>
  </si>
  <si>
    <t> Đồng hồ BE 96 AC 500V</t>
  </si>
  <si>
    <t> Đồng hồ Ampe kế BE 72 - 100/5A</t>
  </si>
  <si>
    <t> Đồng hồ be 72-500v</t>
  </si>
  <si>
    <t> Đồng hồ báo dầu 802-3 loại cũ</t>
  </si>
  <si>
    <t> Đồng hồbp45-20 A</t>
  </si>
  <si>
    <t> Đồng hồbp45-30a</t>
  </si>
  <si>
    <t> Đồng hồBp45-500v</t>
  </si>
  <si>
    <t> Đồng hồbp45-50a</t>
  </si>
  <si>
    <t> Đồng hồ đếm máy quấn dây</t>
  </si>
  <si>
    <t> Đồng hồ đo nhiệt độ dầu 111</t>
  </si>
  <si>
    <t> Đồng hồ đo nhiệt độ dầu 122-23</t>
  </si>
  <si>
    <t>DHDNDCDBWR</t>
  </si>
  <si>
    <t> Đồng hồ đo nhiệt độ cuộn dây</t>
  </si>
  <si>
    <t> Đồng hồ đo nhiệt độ dầu HSRT 150</t>
  </si>
  <si>
    <t> Đồng hồ đo nhiệt độ T120</t>
  </si>
  <si>
    <t> Đồng hồ điện tử</t>
  </si>
  <si>
    <t> Đồng hồ ampe 500/5A</t>
  </si>
  <si>
    <t> Đồng hồ ampe 800/5A</t>
  </si>
  <si>
    <t> Đồng hồ MT 4 W - aa - 4N</t>
  </si>
  <si>
    <t> Đồng hồ báo dầu có công tắc 405</t>
  </si>
  <si>
    <t> Đồng hồ ampe be72- 150/5a</t>
  </si>
  <si>
    <t> Đồng hồ ampe  BE72-20a</t>
  </si>
  <si>
    <t> Đồng hồ ampe  BE72-75/5a</t>
  </si>
  <si>
    <t> Đồng hồ vôn 300 V</t>
  </si>
  <si>
    <t> Đồng hồ vôn 500 V</t>
  </si>
  <si>
    <t> Đồng hồ be 72-300/5a</t>
  </si>
  <si>
    <t> Đồng hồ BE 72-200/5a</t>
  </si>
  <si>
    <t> Đồng hồ BE 72-250/5a</t>
  </si>
  <si>
    <t> Đồng hồ BE 72ac50/5a</t>
  </si>
  <si>
    <t> Đồng hồ BE 72/5a</t>
  </si>
  <si>
    <t> Bánh xe 120</t>
  </si>
  <si>
    <t> Bánh xe 200</t>
  </si>
  <si>
    <t> Bánh xe 50</t>
  </si>
  <si>
    <t> Bánh xe sắt 80</t>
  </si>
  <si>
    <t> Bánh xe sắt 65</t>
  </si>
  <si>
    <t> Bánh xe sắt 125</t>
  </si>
  <si>
    <t> Bánh xe sắt 160</t>
  </si>
  <si>
    <t> Khung trục bánh xe 520</t>
  </si>
  <si>
    <t> Băng dính keo 2 phân</t>
  </si>
  <si>
    <t>cuộn</t>
  </si>
  <si>
    <t> Băng dính keo 8 phân</t>
  </si>
  <si>
    <t> Keo 502</t>
  </si>
  <si>
    <t>lọ</t>
  </si>
  <si>
    <t> Keo A-B</t>
  </si>
  <si>
    <t> keo bọt APOLO</t>
  </si>
  <si>
    <t>Lọ</t>
  </si>
  <si>
    <t> keo êpo xy</t>
  </si>
  <si>
    <t> keo silicol</t>
  </si>
  <si>
    <t> Keo sữa ATM</t>
  </si>
  <si>
    <t>Túi</t>
  </si>
  <si>
    <t> Keo tạo gioăng</t>
  </si>
  <si>
    <t>COCHATAM</t>
  </si>
  <si>
    <t> Cốc hạt chống ẩm</t>
  </si>
  <si>
    <t> Hạt chống ẩm</t>
  </si>
  <si>
    <t> Căn thông dầu 3x5x1200</t>
  </si>
  <si>
    <t> Căn thông dầu 3x5x204</t>
  </si>
  <si>
    <t> Căn thông dầu 3x5x225</t>
  </si>
  <si>
    <t> Căn thông dầu 3x5x275</t>
  </si>
  <si>
    <t> Căn thông dầu 3x5x295</t>
  </si>
  <si>
    <t> Căn thông dầu 3x5x320</t>
  </si>
  <si>
    <t> Căn thông dầu 3x5x325</t>
  </si>
  <si>
    <t> Căn thông dầu 3x5x370</t>
  </si>
  <si>
    <t> Căn thông dầu 3x6x2000</t>
  </si>
  <si>
    <t> Căn thông dầu 4x6x1200</t>
  </si>
  <si>
    <t> Căn thông dầu 4x6x2000</t>
  </si>
  <si>
    <t> Căn thông dầu 4x6x269</t>
  </si>
  <si>
    <t> Căn thông dầu 4x6x319</t>
  </si>
  <si>
    <t> Căn thông dầu 4x6x369</t>
  </si>
  <si>
    <t> Căn thông dầu 4x6x420</t>
  </si>
  <si>
    <t> Căn thông dầu 4x6x470</t>
  </si>
  <si>
    <t> Căn thông dầu 4x6x520</t>
  </si>
  <si>
    <t> Căn thông dầu 4x6x620</t>
  </si>
  <si>
    <t> Căn thông dầu 5x6x2000</t>
  </si>
  <si>
    <t> Căn thông dầu 5x8x1200</t>
  </si>
  <si>
    <t> Căn thông dầu 5x8x270</t>
  </si>
  <si>
    <t> Căn thông dầu 5x8x320</t>
  </si>
  <si>
    <t> Căn thông dầu 5x8x370</t>
  </si>
  <si>
    <t> Căn thông dầu 5x8x420</t>
  </si>
  <si>
    <t> Căn thông dầu 5x8x470</t>
  </si>
  <si>
    <t> Căn thông dầu 5x8x520</t>
  </si>
  <si>
    <t> Căn thông dầu 5x8x620</t>
  </si>
  <si>
    <t> Căn thông dầu 6x6x1300</t>
  </si>
  <si>
    <t> Căn thông dầu 6x8x1300</t>
  </si>
  <si>
    <t> Bích ép sứ 1 pha</t>
  </si>
  <si>
    <t> Đế sứ Nhựa</t>
  </si>
  <si>
    <t> Đai ốp chân sứ</t>
  </si>
  <si>
    <t> Đai ốp chân sứ inox 6lỗ</t>
  </si>
  <si>
    <t> Đai ốp chân sứ inox</t>
  </si>
  <si>
    <t> Đầu sứ xuyên 10A</t>
  </si>
  <si>
    <t> Nắp chụp sứ Mof</t>
  </si>
  <si>
    <t> ống chụp sứ TI</t>
  </si>
  <si>
    <t> Sứ b áp1pha cũ</t>
  </si>
  <si>
    <t> Sứ cao áp</t>
  </si>
  <si>
    <t> Sứ hạ thế mới 1KV/630A</t>
  </si>
  <si>
    <t>SM011000</t>
  </si>
  <si>
    <t> Sứ hạ thế mới 1kV/1000A</t>
  </si>
  <si>
    <t> Sứ hạ thế mới 1KV/2000A</t>
  </si>
  <si>
    <t> Sứ hạ thế mới 1KV/3150A</t>
  </si>
  <si>
    <t> Sứ hạ thế mới 0.4/1000A</t>
  </si>
  <si>
    <t> Sứ hạ thế mới 0.4/2000A</t>
  </si>
  <si>
    <t> Sứ hạ thế mới 0.4/250A</t>
  </si>
  <si>
    <t> Sứ hạ thế mới 0.4/3150A</t>
  </si>
  <si>
    <t> Sứ hạ thế mới 0.4/630A</t>
  </si>
  <si>
    <t> Sứ hạ thế mới 1kV/250A</t>
  </si>
  <si>
    <t> Sứ cao thế mới 10KV/250A</t>
  </si>
  <si>
    <t> Sứ cao thế mới 10kv/630A</t>
  </si>
  <si>
    <t> Sứ hạ thế mới 1KV/1000A HLS</t>
  </si>
  <si>
    <t> Sứ hạ thế mới 1KV/250A HLS</t>
  </si>
  <si>
    <t> Sứ hạ thế mới 1KV/630A HLS</t>
  </si>
  <si>
    <t> Sứ cao thế 1pha 20kv HLS</t>
  </si>
  <si>
    <t> Sứ cao thế mới 1pha 35kv CD900</t>
  </si>
  <si>
    <t> Sứ cao thế mới 1pha 6kv</t>
  </si>
  <si>
    <t> Sứ cao thế mới 20kv/1 pha</t>
  </si>
  <si>
    <t> Sứ cao thế 22kV/250A CD 685</t>
  </si>
  <si>
    <t> Sứ cao thế 24/250 CD 600 HLS</t>
  </si>
  <si>
    <t> Sứ cao thế mới 30kv/630A</t>
  </si>
  <si>
    <t>SM35KV250CD965D130</t>
  </si>
  <si>
    <t> Sứ cao thế mới 35/250- CD 965 đuôi 130</t>
  </si>
  <si>
    <t>SM35KV250CD965D80</t>
  </si>
  <si>
    <t> Sứ cao thế mới 35/250- CD 965 đuôi 80</t>
  </si>
  <si>
    <t>SM35KV250CD965HLS</t>
  </si>
  <si>
    <t> Sứ cao thế mới 35/250- CD 965 HLS</t>
  </si>
  <si>
    <t> Sứ cao thế mới 35kv/630a CD1260</t>
  </si>
  <si>
    <t>SM40.5KVCD1260HLS</t>
  </si>
  <si>
    <t> Sứ cao thế mới 40.5kV - CD 1260 - HLS</t>
  </si>
  <si>
    <t> Sứ cao thế mới 40kV/250A</t>
  </si>
  <si>
    <t> Sứ cao thế mới 4bát 20KV/250A</t>
  </si>
  <si>
    <t>SM5B30250</t>
  </si>
  <si>
    <t> Sứ cao thế mới 30kV/250A 5 Bát</t>
  </si>
  <si>
    <t>SM6B30250</t>
  </si>
  <si>
    <t> Sứ cao thế mới 30kV/250A 6 Bát</t>
  </si>
  <si>
    <t>SM6B35250</t>
  </si>
  <si>
    <t> Sứ cao thế mới 35kV/250A 6 Bát</t>
  </si>
  <si>
    <t>SM7B35250</t>
  </si>
  <si>
    <t> Sứ cao thế mới 35kV/250A 7 Bát</t>
  </si>
  <si>
    <t>SM7BAT35250150</t>
  </si>
  <si>
    <t> Sứ cao thế mới 35kV/250A 7 Bát đuôi 150</t>
  </si>
  <si>
    <t> Sứ cao thế mới 24kv/250 đuôi 100</t>
  </si>
  <si>
    <t> Sứ cao thế mới  35/250 cd900 HLS</t>
  </si>
  <si>
    <t> Sứ mới cao thế 1 pha</t>
  </si>
  <si>
    <t> Sứ mới đế 1000</t>
  </si>
  <si>
    <t> Sứ cao thế mới 20kv/250 đuôi 150</t>
  </si>
  <si>
    <t> Sứ mới đế 250</t>
  </si>
  <si>
    <t> Sứ cao thế mới 3bát 20kv/250 đuôi 150</t>
  </si>
  <si>
    <t> Sứ mới đế 630</t>
  </si>
  <si>
    <t> Sứ mới hạ thế K2 HLS</t>
  </si>
  <si>
    <t> Sứ mới hạ thế K1</t>
  </si>
  <si>
    <t> Sứ mới hạ thế K2</t>
  </si>
  <si>
    <t> Sứ cao thế trắng TU 22kV/250A</t>
  </si>
  <si>
    <t> Sứ cao thế trắng TU 35kV/250A cd960 -d150</t>
  </si>
  <si>
    <t> Sứ nhựa 35</t>
  </si>
  <si>
    <t> Sứ nhựa 50</t>
  </si>
  <si>
    <t> Sứ nhựa 76</t>
  </si>
  <si>
    <t> Sứ nhựa đỡ thanh cái12kv</t>
  </si>
  <si>
    <t> Sứ phíp</t>
  </si>
  <si>
    <t> Sứ xuyên 110KV</t>
  </si>
  <si>
    <t> Sứ xuyên 24 KV</t>
  </si>
  <si>
    <t> Sứ xuyên 24 KV ( Xuyên tường )</t>
  </si>
  <si>
    <t> Sứ xuyên 36 KV</t>
  </si>
  <si>
    <t> Bát đồng dày ty hạ M12</t>
  </si>
  <si>
    <t> Bát đồng mỏng ty hạ M12</t>
  </si>
  <si>
    <t> Chóp đồng ty cao thế</t>
  </si>
  <si>
    <t> Chóp sét ty cao 1p</t>
  </si>
  <si>
    <t> Chóp ty hạ 1pha M14</t>
  </si>
  <si>
    <t> Đầu nối ty M10 (lục giác)</t>
  </si>
  <si>
    <t> Đầu nối ty M12 (lục giác)</t>
  </si>
  <si>
    <t> Phụ kiện ty đồng</t>
  </si>
  <si>
    <t>TCT12</t>
  </si>
  <si>
    <t> Ty cao thế M12</t>
  </si>
  <si>
    <t> Ty cao thế M 16</t>
  </si>
  <si>
    <t> Ty cao thế máy 1 pha</t>
  </si>
  <si>
    <t> Ty cao thế M 12 ( Thuận Phú )</t>
  </si>
  <si>
    <t> Ty đồng hạ thế đỏ M30</t>
  </si>
  <si>
    <t> Ty đồng hạ thế đỏ M42</t>
  </si>
  <si>
    <t> Ty đồng hạ thế đỏ M48</t>
  </si>
  <si>
    <t> Ty đồng hạ thế đỏ M20 đầu cốt( thuận phú )</t>
  </si>
  <si>
    <t> Ty đồng hạ thế đỏ M30 thuận phú</t>
  </si>
  <si>
    <t> Ty đồng hạ thế M10 máy 1pha</t>
  </si>
  <si>
    <t> Ty đồng hạ thế M12</t>
  </si>
  <si>
    <t> Ty đồng hạ thế M14 máy 1pha</t>
  </si>
  <si>
    <t> Ty đồng hạ thế M18 máy 1pha</t>
  </si>
  <si>
    <t> Ty đồng hạ thế M30</t>
  </si>
  <si>
    <t> Ty đồng hạ thế M42</t>
  </si>
  <si>
    <t> Ty đồng hạ thế M48</t>
  </si>
  <si>
    <t> Ty đồng hạ thế M 12 Thuận phú</t>
  </si>
  <si>
    <t> Ty đồng hạ thế M20 đầu cốt(Thuận phú )</t>
  </si>
  <si>
    <t> Ty đồng hạ thế M30 Thuận phú</t>
  </si>
  <si>
    <t> Ty đồng hạ thế M42 Thuận phú</t>
  </si>
  <si>
    <t> Ty đồng M12 X 60</t>
  </si>
  <si>
    <t> Ty đồng M14 X 110</t>
  </si>
  <si>
    <t> Ty đồng M14 X 90</t>
  </si>
  <si>
    <t> Ty đồng M08 X 90</t>
  </si>
  <si>
    <t> Ty chống sét 30kv</t>
  </si>
  <si>
    <t> Ty đầu cáp ELBOW 24kv</t>
  </si>
  <si>
    <t> Ty đồng đỏ hạ thế M20 đầu cos</t>
  </si>
  <si>
    <t> Ty đồng hạ thế M42 cũ</t>
  </si>
  <si>
    <t> Ty đồng hạ thế M20 đầu cos</t>
  </si>
  <si>
    <t> Củ nhôm</t>
  </si>
  <si>
    <t> Chống sét sừng 35kV</t>
  </si>
  <si>
    <t> Chống sét sừng</t>
  </si>
  <si>
    <t> Nhãn chỉ pha inox</t>
  </si>
  <si>
    <t> NHãn đIện áp 0.22</t>
  </si>
  <si>
    <t> NHãn đIện áp 0.38</t>
  </si>
  <si>
    <t>NDA1270.23</t>
  </si>
  <si>
    <t> Nhãn điện áp 12.7/0.23kV</t>
  </si>
  <si>
    <t>NDA1272X0.23</t>
  </si>
  <si>
    <t> Nhãn điện áp 12.7/2x0.23kV</t>
  </si>
  <si>
    <t> NHãn đIện áp 22/0.23</t>
  </si>
  <si>
    <t>NDA222X0.23</t>
  </si>
  <si>
    <t> Nhãn điện áp 22/2 x 0.23kV</t>
  </si>
  <si>
    <t> NHãn đIện áp 35/0.23</t>
  </si>
  <si>
    <t>NDA35222X0.23</t>
  </si>
  <si>
    <t> Nhãn điện áp 35/22/2 x 0.23kV</t>
  </si>
  <si>
    <t> NHãn đIện áp 35/2X0.23</t>
  </si>
  <si>
    <t> Nhãn biến dòng Mof 100/5a</t>
  </si>
  <si>
    <t> Nhãn biến dòng Mof 10/5a</t>
  </si>
  <si>
    <t> Nhãn biến dòng Mof 150/5a</t>
  </si>
  <si>
    <t> Nhãn biến dòng Mof 15/5a</t>
  </si>
  <si>
    <t> Nhãn biến dòng Mof 200/5a</t>
  </si>
  <si>
    <t> Nhãn biến dòng Mof 20/5a</t>
  </si>
  <si>
    <t> Nhãn biến dòng Mof 25/5a</t>
  </si>
  <si>
    <t> Nhãn biến dòng Mof 300/5a</t>
  </si>
  <si>
    <t> Nhãn biến dòng Mof 30/5a</t>
  </si>
  <si>
    <t> Nhãn biến dòng Mof 400/5a</t>
  </si>
  <si>
    <t> Nhãn biến dòng Mof 40/5a</t>
  </si>
  <si>
    <t> Nhãn biến dòng Mof 50/5a</t>
  </si>
  <si>
    <t> Nhãn biến dòng Mof 5/5a</t>
  </si>
  <si>
    <t> Nhãn biến dòng Mof 60/5a</t>
  </si>
  <si>
    <t> Nhãn biến dòng Mof 75/5a</t>
  </si>
  <si>
    <t> Nhãn biến dòng Mof 80/5a</t>
  </si>
  <si>
    <t> Nhãn tiếp địa</t>
  </si>
  <si>
    <t>TNX1</t>
  </si>
  <si>
    <t> Tem nhôm xước nhãn 22/2 x 0.23kV</t>
  </si>
  <si>
    <t> Tem nhôm xước nhãn công suất 37,5kVA</t>
  </si>
  <si>
    <t> Tem nhôm xước nhãn công suất 15kVA</t>
  </si>
  <si>
    <t> Tem nhôm xước nhãn công suất 25kVA</t>
  </si>
  <si>
    <t> Tem nhôm xước nhãn công suất 50kVA</t>
  </si>
  <si>
    <t> BIển CONG SUất 1000KVA</t>
  </si>
  <si>
    <t>BCS100KVA</t>
  </si>
  <si>
    <t> Biển Công Suất 100kVA</t>
  </si>
  <si>
    <t>BCS10KVA</t>
  </si>
  <si>
    <t> Biển Công Suấtt 10kVA</t>
  </si>
  <si>
    <t> BIển CONG SUất 12.5KVA</t>
  </si>
  <si>
    <t> BIển CONG SUất 15KVA</t>
  </si>
  <si>
    <t>BCS160KVA</t>
  </si>
  <si>
    <t> Biển Sông Suất 160KVA</t>
  </si>
  <si>
    <t> BIển CONG SUất 20KVA</t>
  </si>
  <si>
    <t> BIển CONG SUất 250KVA</t>
  </si>
  <si>
    <t> BIển CONG SUất 25KVA</t>
  </si>
  <si>
    <t>BCS30KVA</t>
  </si>
  <si>
    <t> Biển Công Suất 30kVA</t>
  </si>
  <si>
    <t> BIển CONG SUất 31.5KVA</t>
  </si>
  <si>
    <t> BIển CONG SUất 320KVA</t>
  </si>
  <si>
    <t> BIển CONG SUất 37.5KVA</t>
  </si>
  <si>
    <t>BCS400KVA</t>
  </si>
  <si>
    <t> Biển Công Suất 400kVA</t>
  </si>
  <si>
    <t> BIển CONG SUất 50 KVA</t>
  </si>
  <si>
    <t> BIển CONG SUất 560 KVA</t>
  </si>
  <si>
    <t>BCS630KVA</t>
  </si>
  <si>
    <t> Biển Công Suất 630kVA</t>
  </si>
  <si>
    <t> BIển CONG SUất 75KVA</t>
  </si>
  <si>
    <t> biển máy Amosphons</t>
  </si>
  <si>
    <t> biển cấm rút ruột máy</t>
  </si>
  <si>
    <t> biển chủ sở hữu</t>
  </si>
  <si>
    <t> biển hợp bộ đo lường  Mof</t>
  </si>
  <si>
    <t> Biển máy biến áp điện lực đông anh</t>
  </si>
  <si>
    <t>BIENNHOMA</t>
  </si>
  <si>
    <t> Biển nhôm máy Amophous</t>
  </si>
  <si>
    <t> Biển tủ tụ bù</t>
  </si>
  <si>
    <t> Biển máy biến áp 1 pha loai 1</t>
  </si>
  <si>
    <t> Biển máy biến áp 1 pha loai 2</t>
  </si>
  <si>
    <t> Biển máy biến áp 1 pha loai 3</t>
  </si>
  <si>
    <t> Biển máy biến 1 pha</t>
  </si>
  <si>
    <t> Biển máy biến áp điện lực</t>
  </si>
  <si>
    <t> Biển máy biến áp lò</t>
  </si>
  <si>
    <t> Biển máy biến áp phân phối</t>
  </si>
  <si>
    <t>BMBASC</t>
  </si>
  <si>
    <t> Biển máy biến áp sửa chữa</t>
  </si>
  <si>
    <t> Biển máy biến áp tự ngẫu</t>
  </si>
  <si>
    <t> Biển máy biến áp trung tính nối đất</t>
  </si>
  <si>
    <t> Biển máy cuộn kháng điện loại nhỏ</t>
  </si>
  <si>
    <t> Biển máy cuộn kháng điện loại to</t>
  </si>
  <si>
    <t> Biển máy công suất 160</t>
  </si>
  <si>
    <t> Biển máy công suất 250</t>
  </si>
  <si>
    <t> Biển máy công suất 320</t>
  </si>
  <si>
    <t> Biển máy loại khô epoxy</t>
  </si>
  <si>
    <t> Biển máy kháng khởi động</t>
  </si>
  <si>
    <t> Biển máy kháng tụ loai nhôm</t>
  </si>
  <si>
    <t> Biển máy kháng tụ</t>
  </si>
  <si>
    <t> Biển máy loại khô</t>
  </si>
  <si>
    <t> Biển máy sắt</t>
  </si>
  <si>
    <t> Biển trạm biến áp1000kva22/0.4</t>
  </si>
  <si>
    <t> Biển trạm biến áp1000kva35/ 22-0.4</t>
  </si>
  <si>
    <t> Biển trạm biến áp1000kva</t>
  </si>
  <si>
    <t>BTBAP1002204</t>
  </si>
  <si>
    <t> Biển trạm biến áp 100kVA - 22/0.4kV</t>
  </si>
  <si>
    <t>BTBAP100KVA</t>
  </si>
  <si>
    <t> Biển trạm biến áp100kVA</t>
  </si>
  <si>
    <t>BTBAP12502204</t>
  </si>
  <si>
    <t> Biển trạm biến áp1250kVA - 22/0.4kV</t>
  </si>
  <si>
    <t>BTBAP1250KVA</t>
  </si>
  <si>
    <t> Biển trạm biến áp1250kVA</t>
  </si>
  <si>
    <t>BTBAP15002204</t>
  </si>
  <si>
    <t> Biển trạm biến áp 1500kVA - 22/0.4kV</t>
  </si>
  <si>
    <t>BTBAP1500KVA</t>
  </si>
  <si>
    <t> Biển trạm biến áp 1500kVA</t>
  </si>
  <si>
    <t>BTBAP1602204</t>
  </si>
  <si>
    <t> Biển trạm biến áp160kVA - 22/0.4kV</t>
  </si>
  <si>
    <t>BTBAP160KVA</t>
  </si>
  <si>
    <t> Biển trạm biến áp160kVA</t>
  </si>
  <si>
    <t> Biển trạm biến áp2000kva22/0.4</t>
  </si>
  <si>
    <t> Biển trạm biến áp2000kva</t>
  </si>
  <si>
    <t> Biển trạm biến áp250kva22/0.4</t>
  </si>
  <si>
    <t> Biển trạm biến áp250kva</t>
  </si>
  <si>
    <t> Biển trạm biến áp320kva22/0.4</t>
  </si>
  <si>
    <t> Biển trạm biến áp320kva35/ 22-0.4</t>
  </si>
  <si>
    <t> Biển trạm biến áp320kva</t>
  </si>
  <si>
    <t>BTBAP4002204</t>
  </si>
  <si>
    <t> Biển trạm biến áp 400kVA - 22/0.4kV</t>
  </si>
  <si>
    <t>BTBAP400352204</t>
  </si>
  <si>
    <t> Biển trạm biến áp 400kVA - 35(22)/0.4kV</t>
  </si>
  <si>
    <t>BTBAP400KVA</t>
  </si>
  <si>
    <t> Biển trạm biến áp 400kVA</t>
  </si>
  <si>
    <t> Biển trạm công suất 50kVA</t>
  </si>
  <si>
    <t> Biển trạm biến áp560kva 22-0.4</t>
  </si>
  <si>
    <t> Biển trạm biến áp560kva</t>
  </si>
  <si>
    <t>BTBAP6302204</t>
  </si>
  <si>
    <t> Biển trạm biến áp630kVA - 22/0.4kV</t>
  </si>
  <si>
    <t>BTBAP630KVA</t>
  </si>
  <si>
    <t> Biển trạm biến áp 630kVA</t>
  </si>
  <si>
    <t> Biển trạm biến áp750kva35/ 22-0.4</t>
  </si>
  <si>
    <t> Biển trạm biến áp750kva</t>
  </si>
  <si>
    <t> Biển trạm biến áp hợp bộ 250kva 6/22-0.4</t>
  </si>
  <si>
    <t>BTBAPHB63062204</t>
  </si>
  <si>
    <t> Biển trạm biến áp hợp bộ 630kVA - 6(22)/0.4kV</t>
  </si>
  <si>
    <t> Biển trạm điện áp 10/0.4</t>
  </si>
  <si>
    <t> Biển trạm điện áp 10/22-0.4</t>
  </si>
  <si>
    <t> Biển trạm điện áp 10/35-0.4</t>
  </si>
  <si>
    <t> Biển trạm điện áp 22/0.4</t>
  </si>
  <si>
    <t> Biển trạm điện áp 35/0.4</t>
  </si>
  <si>
    <t> Biển trạm điện áp 35/ 22-0.4</t>
  </si>
  <si>
    <t> Biển trạm điện áp 6/0.4</t>
  </si>
  <si>
    <t> Biển trạm điện áp 6/22-0.4</t>
  </si>
  <si>
    <t> Biển tủ hạ thế CET</t>
  </si>
  <si>
    <t> Biển tủ mica</t>
  </si>
  <si>
    <t> Đế biển , đế lô gô , phu kiện máy biến áp</t>
  </si>
  <si>
    <t> Đế biển máy biến áp dầu</t>
  </si>
  <si>
    <t> Đế biển máy loại khô</t>
  </si>
  <si>
    <t> Logo hình chữ nhật</t>
  </si>
  <si>
    <t> Logo máy biến áp quá tải cao</t>
  </si>
  <si>
    <t> Logo máy loại nhỏ</t>
  </si>
  <si>
    <t> Logo máy loại to</t>
  </si>
  <si>
    <t> Logo hình chữ nhật loai to</t>
  </si>
  <si>
    <t>LOGHCNNHOMTO</t>
  </si>
  <si>
    <t> Logo hình chữ nhật loại to nhôm</t>
  </si>
  <si>
    <t> Que hàn 3,2 ly</t>
  </si>
  <si>
    <t> Que hàn Inox</t>
  </si>
  <si>
    <t> Que hàn Mỹ</t>
  </si>
  <si>
    <t> Đồng thanh cái 20 x 2</t>
  </si>
  <si>
    <t> Đồng thanh cái 20 x 3</t>
  </si>
  <si>
    <t> Đồng thanh cái 20 x 4</t>
  </si>
  <si>
    <t> Đồng thanh cái 20 x 5</t>
  </si>
  <si>
    <t> Đồng thanh cái 20 x 6</t>
  </si>
  <si>
    <t> Đồng thanh cái 25 x 3</t>
  </si>
  <si>
    <t> Đồng thanh cái 25 x 4</t>
  </si>
  <si>
    <t> Đồng thanh cái 25 x 5</t>
  </si>
  <si>
    <t> Đồng thanh cái 30 x 3</t>
  </si>
  <si>
    <t> Đồng thanh cái 30x4</t>
  </si>
  <si>
    <t> Đồng thanh cái 30x5</t>
  </si>
  <si>
    <t> Đồng thanh cái 30x6</t>
  </si>
  <si>
    <t> Đồng thanh cái 30 x8</t>
  </si>
  <si>
    <t> Đồng thanh cái 40 x 10</t>
  </si>
  <si>
    <t> Đồng thanh cái 40 x 3</t>
  </si>
  <si>
    <t> Đồng thanh cái 40 x 4</t>
  </si>
  <si>
    <t> Đồng thanh cái 40 x 5</t>
  </si>
  <si>
    <t> Đồng thanh cái 40 x 6</t>
  </si>
  <si>
    <t> Đồng thanh cái 40 x 8</t>
  </si>
  <si>
    <t> Đồng thanh cái 50 x 4</t>
  </si>
  <si>
    <t> Đồng thanh cái 50 x 5</t>
  </si>
  <si>
    <t> Đồng thanh cái 50x6</t>
  </si>
  <si>
    <t> Đồng thanh cái 50 x 8</t>
  </si>
  <si>
    <t> Đồng thanh cái 60 x 10</t>
  </si>
  <si>
    <t> Đồng thanh cái 60 x 5</t>
  </si>
  <si>
    <t> Đồng thanh cái 60 x 6</t>
  </si>
  <si>
    <t> Đồng thanh cái 60 x 8</t>
  </si>
  <si>
    <t> Đồng thanh cái 80 x 6</t>
  </si>
  <si>
    <t> đồng thanh cái100x8</t>
  </si>
  <si>
    <t> Đồng thanh cái 15 x 3</t>
  </si>
  <si>
    <t> Đồng thanh cái 100x10</t>
  </si>
  <si>
    <t> Đồng thanh cái 100x12</t>
  </si>
  <si>
    <t>DTHANHCAI10015</t>
  </si>
  <si>
    <t> Đồng thanh cái 100x15</t>
  </si>
  <si>
    <t> Đồng thanh cái 100x 5</t>
  </si>
  <si>
    <t> Đồng thanh cái 100x 6</t>
  </si>
  <si>
    <t> Đồng thanh cái 120x10</t>
  </si>
  <si>
    <t> Đồng thanh cái 120x12</t>
  </si>
  <si>
    <t> Đồng thanh cái 150x15</t>
  </si>
  <si>
    <t> Đồng thanh cái 80x10</t>
  </si>
  <si>
    <t> Đồng thanh cái 80x5</t>
  </si>
  <si>
    <t> Đồng thanh cái 80x8</t>
  </si>
  <si>
    <t> Đồng thanh cái vụn</t>
  </si>
  <si>
    <t> Gối đỡ thanh cái</t>
  </si>
  <si>
    <t> Máy gia công thanh đồng</t>
  </si>
  <si>
    <t>  Thanh Cài nhôm</t>
  </si>
  <si>
    <t>thanh</t>
  </si>
  <si>
    <t>TCS</t>
  </si>
  <si>
    <t> Thanh chống sét</t>
  </si>
  <si>
    <t> Thanh ren đồng M12x80</t>
  </si>
  <si>
    <t>Thanh</t>
  </si>
  <si>
    <t> Thanh đỡ chống sét</t>
  </si>
  <si>
    <t> Thanh inox</t>
  </si>
  <si>
    <t> Thanh L</t>
  </si>
  <si>
    <t> Thanh ray nhôm</t>
  </si>
  <si>
    <t> Thanh ren M 12 x1500</t>
  </si>
  <si>
    <t> Thanh ren M 14 x1500</t>
  </si>
  <si>
    <t> Thanh ren M 16 x1500</t>
  </si>
  <si>
    <t> Thanh ren M 18 x1500</t>
  </si>
  <si>
    <t> Thanh ren M 20 x1500</t>
  </si>
  <si>
    <t> Thanh treo ruột máy mạ kẽm</t>
  </si>
  <si>
    <t> Thanh nối điện 15a</t>
  </si>
  <si>
    <t> Thanh nối điện 30a</t>
  </si>
  <si>
    <t> Thanh nhôm mạ đồng 100*8</t>
  </si>
  <si>
    <t> Thanh nhôm mạ đồng 120*10</t>
  </si>
  <si>
    <t> Thanh nhôm mạ đồng 30x4</t>
  </si>
  <si>
    <t> Thanh nhôm mạ đồng 40x4</t>
  </si>
  <si>
    <t> Thanh nhôm mạ đồng 50*5</t>
  </si>
  <si>
    <t> Thanh nhôm mạ đồng 50x8</t>
  </si>
  <si>
    <t> Thanh nhôm mạ đồng 70*5</t>
  </si>
  <si>
    <t> Thanh ren đồng M20x90</t>
  </si>
  <si>
    <t> Thanh ren inox10</t>
  </si>
  <si>
    <t> Thanh ren inox16</t>
  </si>
  <si>
    <t> Thanh ren M 10</t>
  </si>
  <si>
    <t> Thanh ren M 12</t>
  </si>
  <si>
    <t> Thanh ren M 14</t>
  </si>
  <si>
    <t> Thanh ren M 16</t>
  </si>
  <si>
    <t> Thanh ren M 18</t>
  </si>
  <si>
    <t> Thanh ren M 20</t>
  </si>
  <si>
    <t> Thanh ren M 24</t>
  </si>
  <si>
    <t> Thanh ren M 6</t>
  </si>
  <si>
    <t> Thanh ren M 8</t>
  </si>
  <si>
    <t> Thanh sắt u 1500x90</t>
  </si>
  <si>
    <t> đầu cốt đồng đỏ 35</t>
  </si>
  <si>
    <t> đầu cốt đồng đỏ 50</t>
  </si>
  <si>
    <t> đầu cốt đồng đỏ 70</t>
  </si>
  <si>
    <t> đầu cốt đồng đỏ 95</t>
  </si>
  <si>
    <t> Đầu cốt đồng mạ bạc 95</t>
  </si>
  <si>
    <t> Đầu cốt đồng nhôm 120</t>
  </si>
  <si>
    <t> Đầu cốt đồng nhôm 150</t>
  </si>
  <si>
    <t> Đầu cốt đồng nhôm16</t>
  </si>
  <si>
    <t> Đầu cốt đồng nhôm 185</t>
  </si>
  <si>
    <t> Đầu cốt đồng nhôm 240</t>
  </si>
  <si>
    <t> Đầu cốt đồng nhôm 35</t>
  </si>
  <si>
    <t> Đầu cốt đồng nhôm 50</t>
  </si>
  <si>
    <t> Đầu cốt đồng nhôm 70</t>
  </si>
  <si>
    <t> Đầu cốt đồng 20</t>
  </si>
  <si>
    <t> Điều chỉnh A 125002</t>
  </si>
  <si>
    <t>A133001</t>
  </si>
  <si>
    <t> Điều chỉnh A133001</t>
  </si>
  <si>
    <t> Điều chỉnh A 133003</t>
  </si>
  <si>
    <t> Điều chỉnh A 135001</t>
  </si>
  <si>
    <t> Điều chỉnh A 200</t>
  </si>
  <si>
    <t> Điều chỉnh A 223022</t>
  </si>
  <si>
    <t> Điều chỉnh A 233011</t>
  </si>
  <si>
    <t> Điều chỉnh A 233033</t>
  </si>
  <si>
    <t> Điều chỉnh A 235011</t>
  </si>
  <si>
    <t>D235033</t>
  </si>
  <si>
    <t> Điều chỉnh D235033</t>
  </si>
  <si>
    <t> Điều chỉnh 1 pha</t>
  </si>
  <si>
    <t> Điều chỉnh 332.201/C</t>
  </si>
  <si>
    <t> Điều chỉnh A 120 loại cũ</t>
  </si>
  <si>
    <t>DCA123002</t>
  </si>
  <si>
    <t> Điều chỉnh A 123002</t>
  </si>
  <si>
    <t> Điều chỉnh CAPT 150A</t>
  </si>
  <si>
    <t> Điều chỉnh code345 L100</t>
  </si>
  <si>
    <t> Điều chỉnh dưới tải 35kv</t>
  </si>
  <si>
    <t> Điều chỉnh dưới tải 6000 V</t>
  </si>
  <si>
    <t>DCDTCVIII350D40.W­</t>
  </si>
  <si>
    <t> Điều chỉnh dưới tải  CVIII-350D/40.5-14271w</t>
  </si>
  <si>
    <t>DCDTSYTZZ352009</t>
  </si>
  <si>
    <t> Điều chỉnh dưới tải  SYTZZ -35/200-9</t>
  </si>
  <si>
    <t>DCE123002</t>
  </si>
  <si>
    <t> Điều chỉnh E123002</t>
  </si>
  <si>
    <t>DCF123002</t>
  </si>
  <si>
    <t> Điều chỉnh 123002</t>
  </si>
  <si>
    <t> Điều chỉnh f133001</t>
  </si>
  <si>
    <t> Bộ điều chỉnh OLTC</t>
  </si>
  <si>
    <t> Điều chỉnh TQ 125/35 -6 x</t>
  </si>
  <si>
    <t> Điều chỉnh trung quốc</t>
  </si>
  <si>
    <t>DCW6335</t>
  </si>
  <si>
    <t> Điều chỉnh WSTII 2 63/35-6x5S</t>
  </si>
  <si>
    <t> Điều chỉnh wdp 30/22</t>
  </si>
  <si>
    <t> Điều chỉnh wdp 63/35</t>
  </si>
  <si>
    <t> Điều chỉnh wstll2 30/24-6 x5s h70</t>
  </si>
  <si>
    <t> Điều chỉnh wstll2 30/35-6 x5s</t>
  </si>
  <si>
    <t>DCWSTII230356X5S100</t>
  </si>
  <si>
    <t> Điều chỉnh wstll2 30/35-6 x5s H100</t>
  </si>
  <si>
    <t> Đi ốt điều khiển 100a</t>
  </si>
  <si>
    <t> Điều Khiển của điều chỉnh dưới tải  SHM- LC- S</t>
  </si>
  <si>
    <t> Điều Khiển của điều chỉnh HMC -3C</t>
  </si>
  <si>
    <t> Điều chỉnh E123001</t>
  </si>
  <si>
    <t> Điều chỉnh E133001</t>
  </si>
  <si>
    <t> Điều chỉnh E135001</t>
  </si>
  <si>
    <t> Điều chỉnh E223022</t>
  </si>
  <si>
    <t> Điều chỉnh E233011</t>
  </si>
  <si>
    <t> Điều chỉnh E233033</t>
  </si>
  <si>
    <t> Điều chỉnh E235033</t>
  </si>
  <si>
    <t> Điều chỉnh 123001</t>
  </si>
  <si>
    <t> Điều chỉnh 133003</t>
  </si>
  <si>
    <t> Núm điều chỉnh nhôm</t>
  </si>
  <si>
    <t> Núm  nhôm điều chỉnh 1pha</t>
  </si>
  <si>
    <t>Cáp lên sứ</t>
  </si>
  <si>
    <t>dây đồng</t>
  </si>
  <si>
    <t>Giấy</t>
  </si>
  <si>
    <t>Dầu</t>
  </si>
  <si>
    <t>Gioăng</t>
  </si>
  <si>
    <t>DTM120</t>
  </si>
  <si>
    <t>DCDTRANMEM1X120</t>
  </si>
  <si>
    <t>DCDTRANMEM1X35</t>
  </si>
  <si>
    <t>DCDTRANMEM1X50</t>
  </si>
  <si>
    <t>DCDTRANMEM1X70</t>
  </si>
  <si>
    <t>DCDTRANMEM1X95</t>
  </si>
  <si>
    <t>DD220350</t>
  </si>
  <si>
    <t>DDDG195109</t>
  </si>
  <si>
    <t>DDTRAN2.25X7.1</t>
  </si>
  <si>
    <t>DDTRANU1.4X20</t>
  </si>
  <si>
    <t>DDTRANU1.6X20</t>
  </si>
  <si>
    <t>DDTRANU1.8X20</t>
  </si>
  <si>
    <t>DDTRANU2.2X20</t>
  </si>
  <si>
    <t>DDTRANU2.4X20</t>
  </si>
  <si>
    <t>DDTRANU2.8X20</t>
  </si>
  <si>
    <t>DMG1.6X8.5</t>
  </si>
  <si>
    <t>DMG1.75X5.3</t>
  </si>
  <si>
    <t>DMG1.75X8</t>
  </si>
  <si>
    <t>DMG1.8X7.5</t>
  </si>
  <si>
    <t>DMG165X4.9CU</t>
  </si>
  <si>
    <t>DMG18557</t>
  </si>
  <si>
    <t>DMG2.05X7.5</t>
  </si>
  <si>
    <t>DMG2.0X8</t>
  </si>
  <si>
    <t>DMG2.1X12.65</t>
  </si>
  <si>
    <t>DMG2.2X8</t>
  </si>
  <si>
    <t>DMG2.35X9.75</t>
  </si>
  <si>
    <t>DMG2.4X6</t>
  </si>
  <si>
    <t>DMG2.5X7.2</t>
  </si>
  <si>
    <t>DMG2.63X12.25</t>
  </si>
  <si>
    <t>DMG2.6X9</t>
  </si>
  <si>
    <t>DMG22075</t>
  </si>
  <si>
    <t>DMG226132</t>
  </si>
  <si>
    <t>DMG24X12</t>
  </si>
  <si>
    <t>DMG250100</t>
  </si>
  <si>
    <t>DMG250112</t>
  </si>
  <si>
    <t>DMG250115</t>
  </si>
  <si>
    <t>DMG250125</t>
  </si>
  <si>
    <t>DMG255X10.95</t>
  </si>
  <si>
    <t>DMG255X11.8</t>
  </si>
  <si>
    <t>DMG280100</t>
  </si>
  <si>
    <t>DMG28013.2</t>
  </si>
  <si>
    <t>DMG2911</t>
  </si>
  <si>
    <t>DMG29X8.5</t>
  </si>
  <si>
    <t>DMG2X9</t>
  </si>
  <si>
    <t>DMG3.55X10.6</t>
  </si>
  <si>
    <t>DMG3.55X9.85</t>
  </si>
  <si>
    <t>DMG3.5X9.5</t>
  </si>
  <si>
    <t>DMG30125</t>
  </si>
  <si>
    <t>DMG305125</t>
  </si>
  <si>
    <t>DMG30X85</t>
  </si>
  <si>
    <t>DMG315X106</t>
  </si>
  <si>
    <t>DMG32X10.8</t>
  </si>
  <si>
    <t>DMG350100</t>
  </si>
  <si>
    <t>DMG350115</t>
  </si>
  <si>
    <t>DMG350125</t>
  </si>
  <si>
    <t>DMG35015</t>
  </si>
  <si>
    <t>DMG35080</t>
  </si>
  <si>
    <t>DMG39X85</t>
  </si>
  <si>
    <t>DMG3X14.5</t>
  </si>
  <si>
    <t>DMG3X9</t>
  </si>
  <si>
    <t>DMG4.2X6.5</t>
  </si>
  <si>
    <t>DMG4.6X14</t>
  </si>
  <si>
    <t>DMG4509</t>
  </si>
  <si>
    <t>DMG45112</t>
  </si>
  <si>
    <t>DMG45120</t>
  </si>
  <si>
    <t>DMG45125</t>
  </si>
  <si>
    <t>DMG4LTC40125</t>
  </si>
  <si>
    <t>DMG4X6</t>
  </si>
  <si>
    <t>DMG560125</t>
  </si>
  <si>
    <t>DMG560132</t>
  </si>
  <si>
    <t>DMG5608</t>
  </si>
  <si>
    <t>DMG61125</t>
  </si>
  <si>
    <t>DNDTRU1.6X20</t>
  </si>
  <si>
    <t>DNDTRU1.8X20</t>
  </si>
  <si>
    <t>DNDTRU2.0X20</t>
  </si>
  <si>
    <t>DNG2509</t>
  </si>
  <si>
    <t>DNG2X7</t>
  </si>
  <si>
    <t>DNG350112</t>
  </si>
  <si>
    <t>DNG350160</t>
  </si>
  <si>
    <t>DNG3X8</t>
  </si>
  <si>
    <t>DNG450110</t>
  </si>
  <si>
    <t>DNG450112</t>
  </si>
  <si>
    <t>DNG450125</t>
  </si>
  <si>
    <t>DNG58160</t>
  </si>
  <si>
    <t>DNM090</t>
  </si>
  <si>
    <t>DNM100</t>
  </si>
  <si>
    <t>DNM110</t>
  </si>
  <si>
    <t>DNM120</t>
  </si>
  <si>
    <t>DNM140</t>
  </si>
  <si>
    <t>DNM150</t>
  </si>
  <si>
    <t>DNM160</t>
  </si>
  <si>
    <t>DNM170</t>
  </si>
  <si>
    <t>DNM180</t>
  </si>
  <si>
    <t>DNM190</t>
  </si>
  <si>
    <t>DNM200</t>
  </si>
  <si>
    <t>DNM210</t>
  </si>
  <si>
    <t>DNM220</t>
  </si>
  <si>
    <t>DNM230</t>
  </si>
  <si>
    <t>DNM240</t>
  </si>
  <si>
    <t>DNM250</t>
  </si>
  <si>
    <t>DNM260</t>
  </si>
  <si>
    <t>DNM280</t>
  </si>
  <si>
    <t>DNM300</t>
  </si>
  <si>
    <t>DNM320</t>
  </si>
  <si>
    <t>DNM350</t>
  </si>
  <si>
    <t>DTM001</t>
  </si>
  <si>
    <t>DTM008</t>
  </si>
  <si>
    <t>DTM011</t>
  </si>
  <si>
    <t>DTM012</t>
  </si>
  <si>
    <t>DTM015</t>
  </si>
  <si>
    <t>DTM020</t>
  </si>
  <si>
    <t>DTM023</t>
  </si>
  <si>
    <t>DTM025</t>
  </si>
  <si>
    <t>DTM030</t>
  </si>
  <si>
    <t>DTM035</t>
  </si>
  <si>
    <t>DTM040</t>
  </si>
  <si>
    <t>DTM045</t>
  </si>
  <si>
    <t>DTM050</t>
  </si>
  <si>
    <t>DTM055</t>
  </si>
  <si>
    <t>DTM060</t>
  </si>
  <si>
    <t>DTM065</t>
  </si>
  <si>
    <t>DTM070</t>
  </si>
  <si>
    <t>DTM075</t>
  </si>
  <si>
    <t>DTM080</t>
  </si>
  <si>
    <t>DTM085</t>
  </si>
  <si>
    <t>DTM090</t>
  </si>
  <si>
    <t>DTM095</t>
  </si>
  <si>
    <t>DTM100</t>
  </si>
  <si>
    <t>DTM105</t>
  </si>
  <si>
    <t>DTM110</t>
  </si>
  <si>
    <t>DTM115</t>
  </si>
  <si>
    <t>DTM125</t>
  </si>
  <si>
    <t>DTM130</t>
  </si>
  <si>
    <t>DTM135</t>
  </si>
  <si>
    <t>DTM140</t>
  </si>
  <si>
    <t>DTM145</t>
  </si>
  <si>
    <t>DTM150</t>
  </si>
  <si>
    <t>DTM155</t>
  </si>
  <si>
    <t>DTM160</t>
  </si>
  <si>
    <t>DTM165</t>
  </si>
  <si>
    <t>DTM170</t>
  </si>
  <si>
    <t>DTM175</t>
  </si>
  <si>
    <t>DTM180</t>
  </si>
  <si>
    <t>DTM185</t>
  </si>
  <si>
    <t>DTM190</t>
  </si>
  <si>
    <t>DTM195</t>
  </si>
  <si>
    <t>DTM200</t>
  </si>
  <si>
    <t>DTM205</t>
  </si>
  <si>
    <t>DTM210</t>
  </si>
  <si>
    <t>DTM220</t>
  </si>
  <si>
    <t>DTM230</t>
  </si>
  <si>
    <t>DTM240</t>
  </si>
  <si>
    <t>DTM250</t>
  </si>
  <si>
    <t>DTM260</t>
  </si>
  <si>
    <t>DTM270</t>
  </si>
  <si>
    <t>DTM290</t>
  </si>
  <si>
    <t>DTM300</t>
  </si>
  <si>
    <t>DTM320</t>
  </si>
  <si>
    <t>BCD050</t>
  </si>
  <si>
    <t>BCD100</t>
  </si>
  <si>
    <t>BCD150</t>
  </si>
  <si>
    <t>BCD200</t>
  </si>
  <si>
    <t>BCD300</t>
  </si>
  <si>
    <t>BCD400</t>
  </si>
  <si>
    <t>GCD008</t>
  </si>
  <si>
    <t>GCDDMDTRONG</t>
  </si>
  <si>
    <t>GIAYNHAN08X1100</t>
  </si>
  <si>
    <t>GIAYNHANONG</t>
  </si>
  <si>
    <t>GN</t>
  </si>
  <si>
    <t>GOSPTQ</t>
  </si>
  <si>
    <t>GRAB</t>
  </si>
  <si>
    <t>GRM</t>
  </si>
  <si>
    <t>DAUSHELL</t>
  </si>
  <si>
    <t>DBT</t>
  </si>
  <si>
    <t>DSHFR3</t>
  </si>
  <si>
    <t>DSLC</t>
  </si>
  <si>
    <t>G08CHUIDAU</t>
  </si>
  <si>
    <t>G115X75X8</t>
  </si>
  <si>
    <t>G2010</t>
  </si>
  <si>
    <t>G250</t>
  </si>
  <si>
    <t>G3015</t>
  </si>
  <si>
    <t>G30630</t>
  </si>
  <si>
    <t>G3150</t>
  </si>
  <si>
    <t>G351811</t>
  </si>
  <si>
    <t>G901246</t>
  </si>
  <si>
    <t>GBD</t>
  </si>
  <si>
    <t>GBM20</t>
  </si>
  <si>
    <t>GBM30</t>
  </si>
  <si>
    <t>GBM42</t>
  </si>
  <si>
    <t>GBM48</t>
  </si>
  <si>
    <t>GCBHCK</t>
  </si>
  <si>
    <t>GCHA</t>
  </si>
  <si>
    <t>GCS6MMX86X103</t>
  </si>
  <si>
    <t>GCSCD</t>
  </si>
  <si>
    <t>GCSMOF</t>
  </si>
  <si>
    <t>GDTIEN</t>
  </si>
  <si>
    <t>GGOC55X40X8</t>
  </si>
  <si>
    <t>GHATHE1PHAM10</t>
  </si>
  <si>
    <t>GHATHE1PHAM14</t>
  </si>
  <si>
    <t>GHATHE1PHAM18</t>
  </si>
  <si>
    <t>GIOANG100X70X8</t>
  </si>
  <si>
    <t>GIOANG10X3</t>
  </si>
  <si>
    <t>GIOANG12X4</t>
  </si>
  <si>
    <t>GIOANG12X5</t>
  </si>
  <si>
    <t>GIOANG18X3</t>
  </si>
  <si>
    <t>GIOANG40X32X4</t>
  </si>
  <si>
    <t>GIOANGCAOSU30</t>
  </si>
  <si>
    <t>GIOANGCAOTHE1PHA</t>
  </si>
  <si>
    <t>GIOANGCHANTU</t>
  </si>
  <si>
    <t>GIOANGCTN</t>
  </si>
  <si>
    <t>GIOANGGAIDIEN</t>
  </si>
  <si>
    <t>GIOANGHATHE1PHA</t>
  </si>
  <si>
    <t>GIOANGMIENGMAY</t>
  </si>
  <si>
    <t>GIOANGNEP8.4</t>
  </si>
  <si>
    <t>GIOANGNEPTR08</t>
  </si>
  <si>
    <t>GIOANGTAM</t>
  </si>
  <si>
    <t>GIOANGTD</t>
  </si>
  <si>
    <t>GIOANGTR12X25</t>
  </si>
  <si>
    <t>GIOANGTR2012</t>
  </si>
  <si>
    <t>GIOANGTR2218</t>
  </si>
  <si>
    <t>GIOANGTR2412</t>
  </si>
  <si>
    <t>GIOANGTR40X3</t>
  </si>
  <si>
    <t>GIOANGTUDIEN</t>
  </si>
  <si>
    <t>GIQBM16</t>
  </si>
  <si>
    <t>GOPN</t>
  </si>
  <si>
    <t>GQB</t>
  </si>
  <si>
    <t>GVAN</t>
  </si>
  <si>
    <t>GVXD</t>
  </si>
  <si>
    <t>TEX</t>
  </si>
  <si>
    <t>BL04X20</t>
  </si>
  <si>
    <t>BL05X20</t>
  </si>
  <si>
    <t>BL05X60</t>
  </si>
  <si>
    <t>BL05X80</t>
  </si>
  <si>
    <t>BL06IN</t>
  </si>
  <si>
    <t>BL06X50</t>
  </si>
  <si>
    <t>BL08IN</t>
  </si>
  <si>
    <t>BL08X20</t>
  </si>
  <si>
    <t>BL08X30</t>
  </si>
  <si>
    <t>BL08X35</t>
  </si>
  <si>
    <t>BL08X50</t>
  </si>
  <si>
    <t>BL10</t>
  </si>
  <si>
    <t>BL12</t>
  </si>
  <si>
    <t>BL14X30</t>
  </si>
  <si>
    <t>BL14X50</t>
  </si>
  <si>
    <t>BL14X60</t>
  </si>
  <si>
    <t>BL16X100</t>
  </si>
  <si>
    <t>BL16X30</t>
  </si>
  <si>
    <t>BL16X50</t>
  </si>
  <si>
    <t>BL16X60</t>
  </si>
  <si>
    <t>BL18X100</t>
  </si>
  <si>
    <t>BL20</t>
  </si>
  <si>
    <t>BL4</t>
  </si>
  <si>
    <t>BL5</t>
  </si>
  <si>
    <t>BL6</t>
  </si>
  <si>
    <t>BLD08X100</t>
  </si>
  <si>
    <t>BLD08X40</t>
  </si>
  <si>
    <t>BLD08X50</t>
  </si>
  <si>
    <t>BLD10X30</t>
  </si>
  <si>
    <t>BLD10X40</t>
  </si>
  <si>
    <t>BLD10X50</t>
  </si>
  <si>
    <t>BLD12X40</t>
  </si>
  <si>
    <t>BLD12X50</t>
  </si>
  <si>
    <t>BLD12X60</t>
  </si>
  <si>
    <t>BLD12X70</t>
  </si>
  <si>
    <t>BLD14X70</t>
  </si>
  <si>
    <t>BLLG12X70</t>
  </si>
  <si>
    <t>BLLG6X80</t>
  </si>
  <si>
    <t>BLLG8X40</t>
  </si>
  <si>
    <t>BLM05X125</t>
  </si>
  <si>
    <t>BLM08X20</t>
  </si>
  <si>
    <t>BLM08X30</t>
  </si>
  <si>
    <t>BLM10X140</t>
  </si>
  <si>
    <t>BLM10X35</t>
  </si>
  <si>
    <t>BLM10X40</t>
  </si>
  <si>
    <t>BLM10X50</t>
  </si>
  <si>
    <t>BLM12X20</t>
  </si>
  <si>
    <t>BLM12X40</t>
  </si>
  <si>
    <t>BLM12X50</t>
  </si>
  <si>
    <t>BLM12X60</t>
  </si>
  <si>
    <t>BLM20X100</t>
  </si>
  <si>
    <t>BLM4X10</t>
  </si>
  <si>
    <t>BLN</t>
  </si>
  <si>
    <t>BUL12X80</t>
  </si>
  <si>
    <t>BULONG5X20</t>
  </si>
  <si>
    <t>BULONG5X70</t>
  </si>
  <si>
    <t>BULONG6X80</t>
  </si>
  <si>
    <t>BULONG8X15</t>
  </si>
  <si>
    <t>BULONGLUCGIAC</t>
  </si>
  <si>
    <t>LGCDB6X12</t>
  </si>
  <si>
    <t>DO03</t>
  </si>
  <si>
    <t>DO10</t>
  </si>
  <si>
    <t>DO12</t>
  </si>
  <si>
    <t>DO14</t>
  </si>
  <si>
    <t>DO16</t>
  </si>
  <si>
    <t>DO18</t>
  </si>
  <si>
    <t>DO20</t>
  </si>
  <si>
    <t>DO22</t>
  </si>
  <si>
    <t>DO24</t>
  </si>
  <si>
    <t>DO27</t>
  </si>
  <si>
    <t>DO30</t>
  </si>
  <si>
    <t>DO4</t>
  </si>
  <si>
    <t>DO5</t>
  </si>
  <si>
    <t>DO6</t>
  </si>
  <si>
    <t>DO8</t>
  </si>
  <si>
    <t>DOD10</t>
  </si>
  <si>
    <t>DOD12</t>
  </si>
  <si>
    <t>DOD14</t>
  </si>
  <si>
    <t>DOD20</t>
  </si>
  <si>
    <t>DODM30</t>
  </si>
  <si>
    <t>DOIN08</t>
  </si>
  <si>
    <t>DOIN10</t>
  </si>
  <si>
    <t>DOIN12</t>
  </si>
  <si>
    <t>DOIN16</t>
  </si>
  <si>
    <t>DOIN6</t>
  </si>
  <si>
    <t>DOIN8</t>
  </si>
  <si>
    <t>DOMAKHIA10</t>
  </si>
  <si>
    <t>DONN10</t>
  </si>
  <si>
    <t>DONN12</t>
  </si>
  <si>
    <t>DONN20</t>
  </si>
  <si>
    <t>DONN8</t>
  </si>
  <si>
    <t>LD08</t>
  </si>
  <si>
    <t>LD10</t>
  </si>
  <si>
    <t>LD12</t>
  </si>
  <si>
    <t>LD14</t>
  </si>
  <si>
    <t>LD16</t>
  </si>
  <si>
    <t>LD18</t>
  </si>
  <si>
    <t>LD20</t>
  </si>
  <si>
    <t>LD22</t>
  </si>
  <si>
    <t>LD24</t>
  </si>
  <si>
    <t>LD27</t>
  </si>
  <si>
    <t>LD30</t>
  </si>
  <si>
    <t>LD4</t>
  </si>
  <si>
    <t>LD5</t>
  </si>
  <si>
    <t>LD6</t>
  </si>
  <si>
    <t>LDD08</t>
  </si>
  <si>
    <t>LDD10</t>
  </si>
  <si>
    <t>LDD14</t>
  </si>
  <si>
    <t>LDD20</t>
  </si>
  <si>
    <t>LDIN08</t>
  </si>
  <si>
    <t>LDIN10</t>
  </si>
  <si>
    <t>LDIN12</t>
  </si>
  <si>
    <t>LDIN16</t>
  </si>
  <si>
    <t>LDIN6</t>
  </si>
  <si>
    <t>LDNN08</t>
  </si>
  <si>
    <t>LDNN10</t>
  </si>
  <si>
    <t>LDNN12</t>
  </si>
  <si>
    <t>LDNN20</t>
  </si>
  <si>
    <t>LDPHIP</t>
  </si>
  <si>
    <t>LDV12</t>
  </si>
  <si>
    <t>LDV14</t>
  </si>
  <si>
    <t>LDV16</t>
  </si>
  <si>
    <t>LDV20</t>
  </si>
  <si>
    <t>LDV5</t>
  </si>
  <si>
    <t>LDV6</t>
  </si>
  <si>
    <t>LDV8</t>
  </si>
  <si>
    <t>LDVINOX06</t>
  </si>
  <si>
    <t>LDVINOX08</t>
  </si>
  <si>
    <t>LDVINOX12</t>
  </si>
  <si>
    <t>LDVINOX16</t>
  </si>
  <si>
    <t>LDVNN10</t>
  </si>
  <si>
    <t>DEMATNHINDAU</t>
  </si>
  <si>
    <t>MATBAODAU</t>
  </si>
  <si>
    <t>OPBD</t>
  </si>
  <si>
    <t>PBD</t>
  </si>
  <si>
    <t>PBDEMLV45G1</t>
  </si>
  <si>
    <t>PHAOBAODAU</t>
  </si>
  <si>
    <t>PHAOBD8014</t>
  </si>
  <si>
    <t>PHAOBD804277</t>
  </si>
  <si>
    <t>PHOTDAU</t>
  </si>
  <si>
    <t>SATMBBD</t>
  </si>
  <si>
    <t>TDAU</t>
  </si>
  <si>
    <t>TDAULS3</t>
  </si>
  <si>
    <t>TDAUTS03</t>
  </si>
  <si>
    <t>VANDAU480</t>
  </si>
  <si>
    <t>VAN3C</t>
  </si>
  <si>
    <t>VANCS12KV</t>
  </si>
  <si>
    <t>VANCS24KV</t>
  </si>
  <si>
    <t>VANCS42KV</t>
  </si>
  <si>
    <t>VANCS500V</t>
  </si>
  <si>
    <t>VANCS6KV</t>
  </si>
  <si>
    <t>VANGALOAI3050501</t>
  </si>
  <si>
    <t>VANGAT50.3065006</t>
  </si>
  <si>
    <t>VATAL1PHA</t>
  </si>
  <si>
    <t>VCC</t>
  </si>
  <si>
    <t>VGA02</t>
  </si>
  <si>
    <t>VGA035</t>
  </si>
  <si>
    <t>VGA05</t>
  </si>
  <si>
    <t>VK34</t>
  </si>
  <si>
    <t>VXHMBA</t>
  </si>
  <si>
    <t>BD220X500</t>
  </si>
  <si>
    <t>BD220X620</t>
  </si>
  <si>
    <t>BD240X620</t>
  </si>
  <si>
    <t>BD240X680</t>
  </si>
  <si>
    <t>BD400X900</t>
  </si>
  <si>
    <t>BD450X900</t>
  </si>
  <si>
    <t>BDAU300X700</t>
  </si>
  <si>
    <t>BDAU350X700</t>
  </si>
  <si>
    <t>BDAU500X1300</t>
  </si>
  <si>
    <t>BDAU500X1800</t>
  </si>
  <si>
    <t>BDAU550X1100</t>
  </si>
  <si>
    <t>BDM1000KVA</t>
  </si>
  <si>
    <t>BDM1600</t>
  </si>
  <si>
    <t>BDM2500</t>
  </si>
  <si>
    <t>BDM400TX</t>
  </si>
  <si>
    <t>BDM500TL</t>
  </si>
  <si>
    <t>BDM750TL</t>
  </si>
  <si>
    <t>KPN</t>
  </si>
  <si>
    <t>PNMBA</t>
  </si>
  <si>
    <t>XENGPNO</t>
  </si>
  <si>
    <t>RLBVDMCR3.0</t>
  </si>
  <si>
    <t>RLE</t>
  </si>
  <si>
    <t>RLHQJ50</t>
  </si>
  <si>
    <t>RLNBVD</t>
  </si>
  <si>
    <t>RLR1</t>
  </si>
  <si>
    <t>ROLETG10A220V</t>
  </si>
  <si>
    <t>ROLETG10A24VAC</t>
  </si>
  <si>
    <t>ROLETG380</t>
  </si>
  <si>
    <t>ROLETG5A220V</t>
  </si>
  <si>
    <t>ROLETG5A24VDC8C</t>
  </si>
  <si>
    <t>CANNHIETKE</t>
  </si>
  <si>
    <t>DHNK</t>
  </si>
  <si>
    <t>DNDHNK</t>
  </si>
  <si>
    <t>NAPDNK</t>
  </si>
  <si>
    <t>CAMBNHIET</t>
  </si>
  <si>
    <t>DH10005A</t>
  </si>
  <si>
    <t>DH1005AEMC</t>
  </si>
  <si>
    <t>DH12005AEMIC</t>
  </si>
  <si>
    <t>DH1505A</t>
  </si>
  <si>
    <t>DH20005AEMC</t>
  </si>
  <si>
    <t>DH2005AEMC</t>
  </si>
  <si>
    <t>DH2500A</t>
  </si>
  <si>
    <t>DH2505AEMC</t>
  </si>
  <si>
    <t>DH3000A</t>
  </si>
  <si>
    <t>DH3005A</t>
  </si>
  <si>
    <t>DH4005AEMC</t>
  </si>
  <si>
    <t>DH450V</t>
  </si>
  <si>
    <t>DH5005AEMC</t>
  </si>
  <si>
    <t>DH505AEMC</t>
  </si>
  <si>
    <t>DH6005A</t>
  </si>
  <si>
    <t>DH755AEMC</t>
  </si>
  <si>
    <t>DH755ATQ</t>
  </si>
  <si>
    <t>DHAGONG</t>
  </si>
  <si>
    <t>DHAP1005</t>
  </si>
  <si>
    <t>DHB801</t>
  </si>
  <si>
    <t>DHBD</t>
  </si>
  <si>
    <t>DHBE500V</t>
  </si>
  <si>
    <t>DHBE72</t>
  </si>
  <si>
    <t>DHBE72500</t>
  </si>
  <si>
    <t>DHBLCU8023</t>
  </si>
  <si>
    <t>DHBP4520A</t>
  </si>
  <si>
    <t>DHBP4530A</t>
  </si>
  <si>
    <t>DHBP45500</t>
  </si>
  <si>
    <t>DHBP4550A</t>
  </si>
  <si>
    <t>DHDEM</t>
  </si>
  <si>
    <t>DHDND111</t>
  </si>
  <si>
    <t>DHDND12223</t>
  </si>
  <si>
    <t>DHDNDHSRT150</t>
  </si>
  <si>
    <t>DHDNDT120</t>
  </si>
  <si>
    <t>DHDT</t>
  </si>
  <si>
    <t>DHHQ10005A</t>
  </si>
  <si>
    <t>DHHQ5005A</t>
  </si>
  <si>
    <t>DHHQ8005A</t>
  </si>
  <si>
    <t>DHMT4WAA4N</t>
  </si>
  <si>
    <t>DHOBDCT405</t>
  </si>
  <si>
    <t>DHOBE721505A</t>
  </si>
  <si>
    <t>DHOBE7220A</t>
  </si>
  <si>
    <t>DHOBE72755A</t>
  </si>
  <si>
    <t>DHV300V</t>
  </si>
  <si>
    <t>DHV500V</t>
  </si>
  <si>
    <t>DOHOBE72</t>
  </si>
  <si>
    <t>DONGHOBE722005A</t>
  </si>
  <si>
    <t>DONGHOBE722505A</t>
  </si>
  <si>
    <t>DONGHOBE72505A</t>
  </si>
  <si>
    <t>DONGHOBE725A</t>
  </si>
  <si>
    <t>BX120</t>
  </si>
  <si>
    <t>BX200</t>
  </si>
  <si>
    <t>BX50</t>
  </si>
  <si>
    <t>BX80</t>
  </si>
  <si>
    <t>BXS065</t>
  </si>
  <si>
    <t>BXS125</t>
  </si>
  <si>
    <t>BXS160</t>
  </si>
  <si>
    <t>KTBX520</t>
  </si>
  <si>
    <t>BDK2CM</t>
  </si>
  <si>
    <t>BDK8CM</t>
  </si>
  <si>
    <t>K502</t>
  </si>
  <si>
    <t>KAB</t>
  </si>
  <si>
    <t>KEOBOTAPOLO</t>
  </si>
  <si>
    <t>KEPX</t>
  </si>
  <si>
    <t>KLSLC</t>
  </si>
  <si>
    <t>KS</t>
  </si>
  <si>
    <t>KTG</t>
  </si>
  <si>
    <t>HCA</t>
  </si>
  <si>
    <t>CTD3X5X1200</t>
  </si>
  <si>
    <t>CTD3X5X204</t>
  </si>
  <si>
    <t>CTD3X5X225</t>
  </si>
  <si>
    <t>CTD3X5X275</t>
  </si>
  <si>
    <t>CTD3X5X295</t>
  </si>
  <si>
    <t>CTD3X5X320</t>
  </si>
  <si>
    <t>CTD3X5X325</t>
  </si>
  <si>
    <t>CTD3X5X370</t>
  </si>
  <si>
    <t>CTD3X6X2000</t>
  </si>
  <si>
    <t>CTD4X6X1200</t>
  </si>
  <si>
    <t>CTD4X6X2000</t>
  </si>
  <si>
    <t>CTD4X6X269</t>
  </si>
  <si>
    <t>CTD4X6X319</t>
  </si>
  <si>
    <t>CTD4X6X369</t>
  </si>
  <si>
    <t>CTD4X6X420</t>
  </si>
  <si>
    <t>CTD4X6X470</t>
  </si>
  <si>
    <t>CTD4X6X520</t>
  </si>
  <si>
    <t>CTD4X6X620</t>
  </si>
  <si>
    <t>CTD5X6X2000</t>
  </si>
  <si>
    <t>CTD5X8X1200</t>
  </si>
  <si>
    <t>CTD5X8X270</t>
  </si>
  <si>
    <t>CTD5X8X320</t>
  </si>
  <si>
    <t>CTD5X8X370</t>
  </si>
  <si>
    <t>CTD5X8X420</t>
  </si>
  <si>
    <t>CTD5X8X470</t>
  </si>
  <si>
    <t>CTD5X8X520</t>
  </si>
  <si>
    <t>CTD5X8X620</t>
  </si>
  <si>
    <t>CTD6X6X1300</t>
  </si>
  <si>
    <t>CTD6X8X1300</t>
  </si>
  <si>
    <t>BICHEPSU1PHA</t>
  </si>
  <si>
    <t>DESUNHUA</t>
  </si>
  <si>
    <t>DOCS</t>
  </si>
  <si>
    <t>DOS6LOINOX</t>
  </si>
  <si>
    <t>DOSINOX</t>
  </si>
  <si>
    <t>DSX10A</t>
  </si>
  <si>
    <t>NCSMOF</t>
  </si>
  <si>
    <t>ONGCHUPSU</t>
  </si>
  <si>
    <t>SBA1PHA</t>
  </si>
  <si>
    <t>SCA</t>
  </si>
  <si>
    <t>SM010630</t>
  </si>
  <si>
    <t>SM012000</t>
  </si>
  <si>
    <t>SM013150</t>
  </si>
  <si>
    <t>SM041000</t>
  </si>
  <si>
    <t>SM042000</t>
  </si>
  <si>
    <t>SM04250</t>
  </si>
  <si>
    <t>SM043150</t>
  </si>
  <si>
    <t>SM04630</t>
  </si>
  <si>
    <t>SM100250</t>
  </si>
  <si>
    <t>SM10250</t>
  </si>
  <si>
    <t>SM10630</t>
  </si>
  <si>
    <t>SM11000HLS</t>
  </si>
  <si>
    <t>SM1250HLS</t>
  </si>
  <si>
    <t>SM1630HLS</t>
  </si>
  <si>
    <t>SM1P20KVHLS</t>
  </si>
  <si>
    <t>SM1PHA35KVCD900</t>
  </si>
  <si>
    <t>SM1PHA6KV</t>
  </si>
  <si>
    <t>SM201PHA</t>
  </si>
  <si>
    <t>SM22250CD685</t>
  </si>
  <si>
    <t>SM24250CD600HSL</t>
  </si>
  <si>
    <t>SM30630</t>
  </si>
  <si>
    <t>SM35KV630ACD1260</t>
  </si>
  <si>
    <t>SM40250</t>
  </si>
  <si>
    <t>SM4B20250</t>
  </si>
  <si>
    <t>SMCD60024250</t>
  </si>
  <si>
    <t>SMCD90035250HLS</t>
  </si>
  <si>
    <t>SMCT1PHA</t>
  </si>
  <si>
    <t>SMD1000</t>
  </si>
  <si>
    <t>SMD15020250</t>
  </si>
  <si>
    <t>SMD250</t>
  </si>
  <si>
    <t>SMD3B15020250</t>
  </si>
  <si>
    <t>SMD630</t>
  </si>
  <si>
    <t>SMHT1PK2HLS</t>
  </si>
  <si>
    <t>SMHTK1</t>
  </si>
  <si>
    <t>SMHTK2</t>
  </si>
  <si>
    <t>SMTU22250TRANG</t>
  </si>
  <si>
    <t>SMTU35250TRANG</t>
  </si>
  <si>
    <t>SN35</t>
  </si>
  <si>
    <t>SN50</t>
  </si>
  <si>
    <t>SN76</t>
  </si>
  <si>
    <t>SNDTC12KV</t>
  </si>
  <si>
    <t>SP</t>
  </si>
  <si>
    <t>SX110KV</t>
  </si>
  <si>
    <t>SX24KV</t>
  </si>
  <si>
    <t>SX24XUYENTUONG</t>
  </si>
  <si>
    <t>SX36KV</t>
  </si>
  <si>
    <t>BATDDM12</t>
  </si>
  <si>
    <t>BATDMM12</t>
  </si>
  <si>
    <t>CHOPDONG</t>
  </si>
  <si>
    <t>CHOPSET1P</t>
  </si>
  <si>
    <t>CTH1PM14</t>
  </si>
  <si>
    <t>DOM10</t>
  </si>
  <si>
    <t>DOM12</t>
  </si>
  <si>
    <t>PKTD</t>
  </si>
  <si>
    <t>TCT16</t>
  </si>
  <si>
    <t>TCT1PHA</t>
  </si>
  <si>
    <t>TCTTP12</t>
  </si>
  <si>
    <t>TDHDOM30</t>
  </si>
  <si>
    <t>TDHDOM42</t>
  </si>
  <si>
    <t>TDHDOM48</t>
  </si>
  <si>
    <t>TDHDOTPM20DC</t>
  </si>
  <si>
    <t>TDHDOTPM30</t>
  </si>
  <si>
    <t>TDHM101PHA</t>
  </si>
  <si>
    <t>TDHM12</t>
  </si>
  <si>
    <t>TDHM141PHA</t>
  </si>
  <si>
    <t>TDHM181PHA</t>
  </si>
  <si>
    <t>TDHM30</t>
  </si>
  <si>
    <t>TDHM42</t>
  </si>
  <si>
    <t>TDHM48</t>
  </si>
  <si>
    <t>TDHTPM12</t>
  </si>
  <si>
    <t>TDHTPM20DC</t>
  </si>
  <si>
    <t>TDHTPM30</t>
  </si>
  <si>
    <t>TDHTPM42</t>
  </si>
  <si>
    <t>TDM12</t>
  </si>
  <si>
    <t>TDM14X110</t>
  </si>
  <si>
    <t>TDM14X90</t>
  </si>
  <si>
    <t>TDM8X90</t>
  </si>
  <si>
    <t>TYCS30KV</t>
  </si>
  <si>
    <t>TYDCELBOW24KV</t>
  </si>
  <si>
    <t>TYDDOM20DC</t>
  </si>
  <si>
    <t>TYDHM42CU</t>
  </si>
  <si>
    <t>TYDM20DC</t>
  </si>
  <si>
    <t>CN</t>
  </si>
  <si>
    <t>CHONGSETS35</t>
  </si>
  <si>
    <t>CHONGSETSUNG</t>
  </si>
  <si>
    <t>NCPINOX</t>
  </si>
  <si>
    <t>NDA0.22</t>
  </si>
  <si>
    <t>NDA0.38</t>
  </si>
  <si>
    <t>NDA220.23</t>
  </si>
  <si>
    <t>NDA350.23</t>
  </si>
  <si>
    <t>NDA352X0.23</t>
  </si>
  <si>
    <t>NHBDMOF1005A</t>
  </si>
  <si>
    <t>NHBDMOF105A</t>
  </si>
  <si>
    <t>NHBDMOF1505A</t>
  </si>
  <si>
    <t>NHBDMOF155A</t>
  </si>
  <si>
    <t>NHBDMOF2005A</t>
  </si>
  <si>
    <t>NHBDMOF205A</t>
  </si>
  <si>
    <t>NHBDMOF255A</t>
  </si>
  <si>
    <t>NHBDMOF3005A</t>
  </si>
  <si>
    <t>NHBDMOF305A</t>
  </si>
  <si>
    <t>NHBDMOF4005A</t>
  </si>
  <si>
    <t>NHBDMOF405A</t>
  </si>
  <si>
    <t>NHBDMOF505A</t>
  </si>
  <si>
    <t>NHBDMOF55A</t>
  </si>
  <si>
    <t>NHBDMOF605A</t>
  </si>
  <si>
    <t>NHBDMOF755A</t>
  </si>
  <si>
    <t>NHBDMOF805A</t>
  </si>
  <si>
    <t>NTD</t>
  </si>
  <si>
    <t>TNX2</t>
  </si>
  <si>
    <t>TNX3</t>
  </si>
  <si>
    <t>TNX4</t>
  </si>
  <si>
    <t>TNX5</t>
  </si>
  <si>
    <t>BCS1000KVA</t>
  </si>
  <si>
    <t>BCS12.5KVA</t>
  </si>
  <si>
    <t>BCS15KVA</t>
  </si>
  <si>
    <t>BCS20KVA</t>
  </si>
  <si>
    <t>BCS250KVA</t>
  </si>
  <si>
    <t>BCS25KVA</t>
  </si>
  <si>
    <t>BCS31.5KVA</t>
  </si>
  <si>
    <t>BCS320KVA</t>
  </si>
  <si>
    <t>BCS37.5KVA</t>
  </si>
  <si>
    <t>BCS50KVA</t>
  </si>
  <si>
    <t>BCS560KVA</t>
  </si>
  <si>
    <t>BCS75KVA</t>
  </si>
  <si>
    <t>BIENAMOSPHONS</t>
  </si>
  <si>
    <t>BIENCRRMAY</t>
  </si>
  <si>
    <t>BIENCSH</t>
  </si>
  <si>
    <t>BIENHBDLMOF</t>
  </si>
  <si>
    <t>BIENMBADLDANH</t>
  </si>
  <si>
    <t>BIENTTB</t>
  </si>
  <si>
    <t>BM1PHALOAI1</t>
  </si>
  <si>
    <t>BM1PHALOAI2</t>
  </si>
  <si>
    <t>BM1PHALOAI3</t>
  </si>
  <si>
    <t>BMBA1PHA</t>
  </si>
  <si>
    <t>BMBADL</t>
  </si>
  <si>
    <t>BMBALO</t>
  </si>
  <si>
    <t>BMBAPP</t>
  </si>
  <si>
    <t>BMBATN</t>
  </si>
  <si>
    <t>BMBATTND</t>
  </si>
  <si>
    <t>BMCKDLN</t>
  </si>
  <si>
    <t>BMCKDLT</t>
  </si>
  <si>
    <t>BMCS160</t>
  </si>
  <si>
    <t>BMCS250</t>
  </si>
  <si>
    <t>BMCS320</t>
  </si>
  <si>
    <t>BMKEPOXY</t>
  </si>
  <si>
    <t>BMKKD</t>
  </si>
  <si>
    <t>BMKN</t>
  </si>
  <si>
    <t>BMKT</t>
  </si>
  <si>
    <t>BMLK</t>
  </si>
  <si>
    <t>BMS</t>
  </si>
  <si>
    <t>BTBAP10002204</t>
  </si>
  <si>
    <t>BTBAP1000352204</t>
  </si>
  <si>
    <t>BTBAP1000KVA</t>
  </si>
  <si>
    <t>BTBAP20002204</t>
  </si>
  <si>
    <t>BTBAP2000KVA</t>
  </si>
  <si>
    <t>BTBAP2502204</t>
  </si>
  <si>
    <t>BTBAP250KVA</t>
  </si>
  <si>
    <t>BTBAP3202204</t>
  </si>
  <si>
    <t>BTBAP320352204</t>
  </si>
  <si>
    <t>BTBAP320KVA</t>
  </si>
  <si>
    <t>BTBAP50</t>
  </si>
  <si>
    <t>BTBAP5602204</t>
  </si>
  <si>
    <t>BTBAP560KVA</t>
  </si>
  <si>
    <t>BTBAP750352204</t>
  </si>
  <si>
    <t>BTBAP750KVA</t>
  </si>
  <si>
    <t>BTBAPHB25062204</t>
  </si>
  <si>
    <t>BTDA1004</t>
  </si>
  <si>
    <t>BTDA102204</t>
  </si>
  <si>
    <t>BTDA103504</t>
  </si>
  <si>
    <t>BTDA2204</t>
  </si>
  <si>
    <t>BTDA3504</t>
  </si>
  <si>
    <t>BTDA352204</t>
  </si>
  <si>
    <t>BTDA604</t>
  </si>
  <si>
    <t>BTDA62204</t>
  </si>
  <si>
    <t>BTHTECT</t>
  </si>
  <si>
    <t>BTUMICA</t>
  </si>
  <si>
    <t>DBDLGPKMBA</t>
  </si>
  <si>
    <t>DBMBAD</t>
  </si>
  <si>
    <t>DBMLK</t>
  </si>
  <si>
    <t>LGHCN</t>
  </si>
  <si>
    <t>LGMBAQTC</t>
  </si>
  <si>
    <t>LGMLN</t>
  </si>
  <si>
    <t>LGMLT</t>
  </si>
  <si>
    <t>LOGHCNLOAITO</t>
  </si>
  <si>
    <t>QH32</t>
  </si>
  <si>
    <t>QHIN</t>
  </si>
  <si>
    <t>QHM</t>
  </si>
  <si>
    <t>DT202</t>
  </si>
  <si>
    <t>DT203</t>
  </si>
  <si>
    <t>DT204</t>
  </si>
  <si>
    <t>DT205</t>
  </si>
  <si>
    <t>DT206</t>
  </si>
  <si>
    <t>DT253</t>
  </si>
  <si>
    <t>DT254</t>
  </si>
  <si>
    <t>DT255</t>
  </si>
  <si>
    <t>DT303</t>
  </si>
  <si>
    <t>DT304</t>
  </si>
  <si>
    <t>DT305</t>
  </si>
  <si>
    <t>DT306</t>
  </si>
  <si>
    <t>DT308</t>
  </si>
  <si>
    <t>DT4010</t>
  </si>
  <si>
    <t>DT403</t>
  </si>
  <si>
    <t>DT404</t>
  </si>
  <si>
    <t>DT405</t>
  </si>
  <si>
    <t>DT406</t>
  </si>
  <si>
    <t>DT408</t>
  </si>
  <si>
    <t>DT504</t>
  </si>
  <si>
    <t>DT505</t>
  </si>
  <si>
    <t>DT506</t>
  </si>
  <si>
    <t>DT508</t>
  </si>
  <si>
    <t>DT6010</t>
  </si>
  <si>
    <t>DT605</t>
  </si>
  <si>
    <t>DT606</t>
  </si>
  <si>
    <t>DT608</t>
  </si>
  <si>
    <t>DT8</t>
  </si>
  <si>
    <t>DTC</t>
  </si>
  <si>
    <t>DTC153</t>
  </si>
  <si>
    <t>DTHANHCAI10010</t>
  </si>
  <si>
    <t>DTHANHCAI10012</t>
  </si>
  <si>
    <t>DTHANHCAI1005</t>
  </si>
  <si>
    <t>DTHANHCAI1006</t>
  </si>
  <si>
    <t>DTHANHCAI12010</t>
  </si>
  <si>
    <t>DTHANHCAI12012</t>
  </si>
  <si>
    <t>DTHANHCAI15015</t>
  </si>
  <si>
    <t>DTHANHCAI8010</t>
  </si>
  <si>
    <t>DTHANHCAI80X5</t>
  </si>
  <si>
    <t>DTHANHCAI80X8</t>
  </si>
  <si>
    <t>DTHANHCAIVUN</t>
  </si>
  <si>
    <t>GDTC</t>
  </si>
  <si>
    <t>MGCTD</t>
  </si>
  <si>
    <t>TCAINHOM</t>
  </si>
  <si>
    <t>TDM12X80</t>
  </si>
  <si>
    <t>THANHDOCS</t>
  </si>
  <si>
    <t>THANHINOX</t>
  </si>
  <si>
    <t>THANHL</t>
  </si>
  <si>
    <t>THANHRAYNHOM</t>
  </si>
  <si>
    <t>THANHRM12X1500</t>
  </si>
  <si>
    <t>THANHRM14X1500</t>
  </si>
  <si>
    <t>THANHRM16X1500</t>
  </si>
  <si>
    <t>THANHRM18X1500</t>
  </si>
  <si>
    <t>THANHRM20X1500</t>
  </si>
  <si>
    <t>THANHTREOMK</t>
  </si>
  <si>
    <t>TND15A</t>
  </si>
  <si>
    <t>TND30A</t>
  </si>
  <si>
    <t>TNMD1008</t>
  </si>
  <si>
    <t>TNMD12010</t>
  </si>
  <si>
    <t>TNMD30X4</t>
  </si>
  <si>
    <t>TNMD40X4</t>
  </si>
  <si>
    <t>TNMD505</t>
  </si>
  <si>
    <t>TNMD50X8</t>
  </si>
  <si>
    <t>TNMD705</t>
  </si>
  <si>
    <t>TRDM20X90</t>
  </si>
  <si>
    <t>TRINOX10</t>
  </si>
  <si>
    <t>TRINOX16</t>
  </si>
  <si>
    <t>TRM10</t>
  </si>
  <si>
    <t>TRM12</t>
  </si>
  <si>
    <t>TRM14</t>
  </si>
  <si>
    <t>TRM16</t>
  </si>
  <si>
    <t>TRM18</t>
  </si>
  <si>
    <t>TRM20</t>
  </si>
  <si>
    <t>TRM24</t>
  </si>
  <si>
    <t>TRM6</t>
  </si>
  <si>
    <t>TRM8</t>
  </si>
  <si>
    <t>TU1500X90</t>
  </si>
  <si>
    <t>DCDDO35</t>
  </si>
  <si>
    <t>DCDDO50</t>
  </si>
  <si>
    <t>DCDDO70</t>
  </si>
  <si>
    <t>DCDDO95</t>
  </si>
  <si>
    <t>DCDMB95</t>
  </si>
  <si>
    <t>DCDN120</t>
  </si>
  <si>
    <t>DCDN150</t>
  </si>
  <si>
    <t>DCDN16</t>
  </si>
  <si>
    <t>DCDN185</t>
  </si>
  <si>
    <t>DCDN240</t>
  </si>
  <si>
    <t>DCDN35</t>
  </si>
  <si>
    <t>DCDN50</t>
  </si>
  <si>
    <t>DCDN70</t>
  </si>
  <si>
    <t>DCOTDONG20</t>
  </si>
  <si>
    <t>A125002</t>
  </si>
  <si>
    <t>A133003</t>
  </si>
  <si>
    <t>A135001</t>
  </si>
  <si>
    <t>A200</t>
  </si>
  <si>
    <t>A223022</t>
  </si>
  <si>
    <t>A233011</t>
  </si>
  <si>
    <t>A233033</t>
  </si>
  <si>
    <t>A235011</t>
  </si>
  <si>
    <t>DC1P</t>
  </si>
  <si>
    <t>DC332.201C</t>
  </si>
  <si>
    <t>DCA120CU</t>
  </si>
  <si>
    <t>DCCAPT150A</t>
  </si>
  <si>
    <t>DCCODE345L100</t>
  </si>
  <si>
    <t>DCDT35</t>
  </si>
  <si>
    <t>DCDT6000</t>
  </si>
  <si>
    <t>DCF133001</t>
  </si>
  <si>
    <t>DCOLTC</t>
  </si>
  <si>
    <t>DCTQ125356X</t>
  </si>
  <si>
    <t>DCTRUNGQUOC</t>
  </si>
  <si>
    <t>DCWDP3022</t>
  </si>
  <si>
    <t>DCWDP6335</t>
  </si>
  <si>
    <t>DCWSTII230246X5S</t>
  </si>
  <si>
    <t>DCWSTII230356X5S</t>
  </si>
  <si>
    <t>DIODK100A</t>
  </si>
  <si>
    <t>DKCUADCDTSHMLCS</t>
  </si>
  <si>
    <t>DKCUADCHMC</t>
  </si>
  <si>
    <t>E123001</t>
  </si>
  <si>
    <t>E133001</t>
  </si>
  <si>
    <t>E135001</t>
  </si>
  <si>
    <t>E223022</t>
  </si>
  <si>
    <t>E233011</t>
  </si>
  <si>
    <t>E233033</t>
  </si>
  <si>
    <t>E235033</t>
  </si>
  <si>
    <t>F123001</t>
  </si>
  <si>
    <t>F133003</t>
  </si>
  <si>
    <t>NUMDCNHOM</t>
  </si>
  <si>
    <t>NUMNHOMDC1P</t>
  </si>
  <si>
    <t>28</t>
  </si>
  <si>
    <t>29</t>
  </si>
  <si>
    <t>30</t>
  </si>
  <si>
    <t>31</t>
  </si>
  <si>
    <t>32</t>
  </si>
  <si>
    <t>33</t>
  </si>
  <si>
    <t>DL0.35X300        </t>
  </si>
  <si>
    <t> Đồng lá  0,35 x 300mm</t>
  </si>
  <si>
    <t>DL0.35X350        </t>
  </si>
  <si>
    <t> Đồng lá  0,35 x 350mm</t>
  </si>
  <si>
    <t>DL0.35X90         </t>
  </si>
  <si>
    <t> Đồng lá  0,35 x 90mm</t>
  </si>
  <si>
    <t>DL0.3X55MM        </t>
  </si>
  <si>
    <t> Đồng lá  0,3x55mm</t>
  </si>
  <si>
    <t>DL0.6X100         </t>
  </si>
  <si>
    <t> Đồng lá  0,6x100mm</t>
  </si>
  <si>
    <t>DL0.6X200         </t>
  </si>
  <si>
    <t> Đồng lá  0,6x200mm</t>
  </si>
  <si>
    <t>DL0.6X250         </t>
  </si>
  <si>
    <t> Đồng lá  0,6x250mm</t>
  </si>
  <si>
    <t>DL0.7X90          </t>
  </si>
  <si>
    <t> Đồng lá 0,7x90mm</t>
  </si>
  <si>
    <t>DL03X100          </t>
  </si>
  <si>
    <t> đồng lá 03x 100 mm</t>
  </si>
  <si>
    <t>DL03X135          </t>
  </si>
  <si>
    <t> Đồng lá  03x135 mm</t>
  </si>
  <si>
    <t>DL03X173          </t>
  </si>
  <si>
    <t> Đồng lá  03x173 mm</t>
  </si>
  <si>
    <t>DL03X200          </t>
  </si>
  <si>
    <t> đồng lá 03x 200 mm</t>
  </si>
  <si>
    <t>DL03X250          </t>
  </si>
  <si>
    <t> Đồng lá  03x250mm</t>
  </si>
  <si>
    <t>DL03X300          </t>
  </si>
  <si>
    <t> Đồng lá  03x300mm</t>
  </si>
  <si>
    <t>DL03X350          </t>
  </si>
  <si>
    <t> Đồng lá  03x350mm</t>
  </si>
  <si>
    <t>DL04X100          </t>
  </si>
  <si>
    <t> Đồng lá  04x100mm</t>
  </si>
  <si>
    <t>DL04X123.5        </t>
  </si>
  <si>
    <t> Đồng lá  04x123.5mm</t>
  </si>
  <si>
    <t>DL04X125          </t>
  </si>
  <si>
    <t> Đồng lá  04x125mm</t>
  </si>
  <si>
    <t>DL04X150          </t>
  </si>
  <si>
    <t> Đồng lá  04x150mm</t>
  </si>
  <si>
    <t>DL04X250          </t>
  </si>
  <si>
    <t> Đồng lá  04x250mm</t>
  </si>
  <si>
    <t>DL04X400          </t>
  </si>
  <si>
    <t> Đồng lá  04x400mm</t>
  </si>
  <si>
    <t>DL04X450          </t>
  </si>
  <si>
    <t> Đồng lá  04x450mm</t>
  </si>
  <si>
    <t>DL05X135          </t>
  </si>
  <si>
    <t> Đồng lá  05x135 mm</t>
  </si>
  <si>
    <t>DL05X400          </t>
  </si>
  <si>
    <t> Đồng lá  05x400mm</t>
  </si>
  <si>
    <t>DL05X75           </t>
  </si>
  <si>
    <t> Đồng lá  0,5x75mm</t>
  </si>
  <si>
    <t>DL06X275          </t>
  </si>
  <si>
    <t> Đồng lá 0,6x275 mm</t>
  </si>
  <si>
    <t>DL06X300          </t>
  </si>
  <si>
    <t> Đồng lá 0,6x300 mm</t>
  </si>
  <si>
    <t>DL06X350          </t>
  </si>
  <si>
    <t> Đồng lá 0,6x350 mm</t>
  </si>
  <si>
    <t>DL06X400          </t>
  </si>
  <si>
    <t> Đồng lá 0,6x400 mm</t>
  </si>
  <si>
    <t>DL06X450          </t>
  </si>
  <si>
    <t> Đồng lá  06x450mm</t>
  </si>
  <si>
    <t>DL07X400          </t>
  </si>
  <si>
    <t> Đồng lá 0,7x400 mm</t>
  </si>
  <si>
    <t>DL07X450          </t>
  </si>
  <si>
    <t> Đồng lá  07 x 450mm</t>
  </si>
  <si>
    <t>DL08X450          </t>
  </si>
  <si>
    <t> Đồng lá  08 x 450mm</t>
  </si>
  <si>
    <t>DL08X600          </t>
  </si>
  <si>
    <t> Đồng lá  08 x 600mm</t>
  </si>
  <si>
    <t>DL09X400          </t>
  </si>
  <si>
    <t> Đồng lá  09 x 400mm</t>
  </si>
  <si>
    <t>DL1.0X250</t>
  </si>
  <si>
    <t> Đồng lá đỏ 1.0x250mm</t>
  </si>
  <si>
    <t>DL1.0X500         </t>
  </si>
  <si>
    <t> Đồng lá đỏ 1.0x500mm</t>
  </si>
  <si>
    <t>DL1.0X600         </t>
  </si>
  <si>
    <t> Đồng lá  1.0 x 600mm</t>
  </si>
  <si>
    <t>DL1.2X500         </t>
  </si>
  <si>
    <t> Đồng lá đỏ 1.2x500mm</t>
  </si>
  <si>
    <t>DL1.6X250</t>
  </si>
  <si>
    <t> Đồng lá đỏ 1.6x250mm</t>
  </si>
  <si>
    <t>DL1.6X425</t>
  </si>
  <si>
    <t> Đồng lá đỏ 1.6x425mm</t>
  </si>
  <si>
    <t>DÂY ĐỒNG</t>
  </si>
  <si>
    <t>Tôn cấp 1</t>
  </si>
  <si>
    <t>Quy cách</t>
  </si>
  <si>
    <t>ĐVT</t>
  </si>
  <si>
    <t>Định Mức</t>
  </si>
  <si>
    <t>Thực lĩnh</t>
  </si>
  <si>
    <t>Chênh lệch</t>
  </si>
  <si>
    <t>Ghi chú</t>
  </si>
  <si>
    <t>Tôn Si líc</t>
  </si>
  <si>
    <t>Tôn cấp 2</t>
  </si>
  <si>
    <t>Tôn cấp 3</t>
  </si>
  <si>
    <t>Tôn cấp 4</t>
  </si>
  <si>
    <t>Tôn cấp 5</t>
  </si>
  <si>
    <t>Tôn cấp 6</t>
  </si>
  <si>
    <t>Tôn cấp 7</t>
  </si>
  <si>
    <t>Tôn cấp 8</t>
  </si>
  <si>
    <t>Dây điện từ</t>
  </si>
  <si>
    <t>Dây hạ thế 1</t>
  </si>
  <si>
    <t>Dây hạ thế 2</t>
  </si>
  <si>
    <t>Dây cao thế 1</t>
  </si>
  <si>
    <t>Dây cao thế 2</t>
  </si>
  <si>
    <t>Vật liệu cách điện</t>
  </si>
  <si>
    <t>Bìa cách điện</t>
  </si>
  <si>
    <t>Dầu cách điện</t>
  </si>
  <si>
    <t>Các loại gioăng</t>
  </si>
  <si>
    <t>Gioăng sứ cao thế</t>
  </si>
  <si>
    <t>Gioăng sứ hạ thế</t>
  </si>
  <si>
    <t>Gioăng mặt nắp</t>
  </si>
  <si>
    <t>Gioăng bích bầu dầu và mặt máy</t>
  </si>
  <si>
    <t>Gioăng van hông</t>
  </si>
  <si>
    <t xml:space="preserve">Gioăng </t>
  </si>
  <si>
    <t>Vỏ máy</t>
  </si>
  <si>
    <t>Vỏ (cả cánh)</t>
  </si>
  <si>
    <t>Nắp</t>
  </si>
  <si>
    <t>Cánh tản nhiệt</t>
  </si>
  <si>
    <t>Phụ kiện khác</t>
  </si>
  <si>
    <t>Sắt kẹp</t>
  </si>
  <si>
    <t>Chân đỡ bầu dầu</t>
  </si>
  <si>
    <t>Ty ép xà</t>
  </si>
  <si>
    <t>Ecu</t>
  </si>
  <si>
    <t>Vòng đệm</t>
  </si>
  <si>
    <t>Phụ kiện</t>
  </si>
  <si>
    <t>Chỉ thị dầu</t>
  </si>
  <si>
    <t>Van giảm áp</t>
  </si>
  <si>
    <t>Ống phòng nổ</t>
  </si>
  <si>
    <t>Nhiệt kế</t>
  </si>
  <si>
    <t>Bánh xe</t>
  </si>
  <si>
    <t>các vật tư khác</t>
  </si>
  <si>
    <t>Keo Epoxy</t>
  </si>
  <si>
    <t>Băng vải</t>
  </si>
  <si>
    <t>Băng dính trong</t>
  </si>
  <si>
    <t>Căn thông dầu cao thế</t>
  </si>
  <si>
    <t>Căn thông dầu hạ thế</t>
  </si>
  <si>
    <t>ốp sứ cao thế</t>
  </si>
  <si>
    <t>Ty sứ cao thế</t>
  </si>
  <si>
    <t>Củ nhôm sứ cao</t>
  </si>
  <si>
    <t>Sứ cách điện hạ thế</t>
  </si>
  <si>
    <t xml:space="preserve">Ty sứ hạ thế </t>
  </si>
  <si>
    <t>Chống sét sừng</t>
  </si>
  <si>
    <t>Nhãn chỉ pha abcn inox</t>
  </si>
  <si>
    <t>Logo</t>
  </si>
  <si>
    <t>Thanh cái</t>
  </si>
  <si>
    <t>Điều chỉnh</t>
  </si>
  <si>
    <t>Cuộn</t>
  </si>
  <si>
    <t>Giám đốc</t>
  </si>
  <si>
    <t>Kiểm tra</t>
  </si>
  <si>
    <t>Thủ kho</t>
  </si>
  <si>
    <t>Thiết kế</t>
  </si>
  <si>
    <t>Kiểm tra đối chiếu bản vẽ PDF và bản vẽ DXF trước khi sản xuất.</t>
  </si>
  <si>
    <t>0.075x2</t>
  </si>
  <si>
    <t>Công suất (kVA)</t>
  </si>
  <si>
    <t>Pha A</t>
  </si>
  <si>
    <t>Pha B</t>
  </si>
  <si>
    <t>Pha C</t>
  </si>
  <si>
    <t>Điện áp hạ thế (kV)</t>
  </si>
  <si>
    <t xml:space="preserve">Cáp </t>
  </si>
  <si>
    <t>tiết diện</t>
  </si>
  <si>
    <t>Chú ý :</t>
  </si>
  <si>
    <t>Dòng điện</t>
  </si>
  <si>
    <t>Foil (dày x rộng)</t>
  </si>
  <si>
    <t>Số vòng hạ</t>
  </si>
  <si>
    <t>Chu vi trong hạ</t>
  </si>
  <si>
    <t>Chu vi ngoài hạ</t>
  </si>
  <si>
    <t>Thanh đồng trong (DxRxC)</t>
  </si>
  <si>
    <t>Thanh đồng ngoài (DxRxC)</t>
  </si>
  <si>
    <t>Thanh trung tính (DxRxC)</t>
  </si>
  <si>
    <t>Trung tính - Pha B</t>
  </si>
  <si>
    <t>Chu vi Tb</t>
  </si>
  <si>
    <t>Trung tính - a</t>
  </si>
  <si>
    <t>Trung tính - c</t>
  </si>
  <si>
    <t>Điện trở suất của đồng</t>
  </si>
  <si>
    <t>Chiều dài dây dẫn (m)</t>
  </si>
  <si>
    <t>Tiết diện dây dẫn</t>
  </si>
  <si>
    <t>Điện trở dây dẫn (mΩ)</t>
  </si>
  <si>
    <t>Điện trở thanh trong (mΩ)</t>
  </si>
  <si>
    <t>Điện trở thanh ngoài (mΩ)</t>
  </si>
  <si>
    <t>Điện trở bối dây</t>
  </si>
  <si>
    <t>Điện trở trung tính - a</t>
  </si>
  <si>
    <t>Điện trở trung tính - b</t>
  </si>
  <si>
    <t>Điện trở trung tính - c</t>
  </si>
  <si>
    <t>Điện trở TT đoạn ab,bc</t>
  </si>
  <si>
    <t>Điện trở</t>
  </si>
  <si>
    <t>Điện trở TT đoạn ac</t>
  </si>
  <si>
    <t>Mật độ dòng điện</t>
  </si>
  <si>
    <t>Điện trở pha a</t>
  </si>
  <si>
    <t>Điện trở pha b</t>
  </si>
  <si>
    <t>Điện trở pha c</t>
  </si>
  <si>
    <t>ab</t>
  </si>
  <si>
    <t>bc</t>
  </si>
  <si>
    <t>ca</t>
  </si>
  <si>
    <t>lệch max</t>
  </si>
  <si>
    <t>lệch TB</t>
  </si>
  <si>
    <t>ao</t>
  </si>
  <si>
    <t>bo</t>
  </si>
  <si>
    <t>co</t>
  </si>
  <si>
    <t>Dây cáp hạ thế</t>
  </si>
  <si>
    <t>pha c</t>
  </si>
  <si>
    <t>34</t>
  </si>
  <si>
    <t>Dây đồng mềm</t>
  </si>
  <si>
    <t>Đầu cốt đồng</t>
  </si>
  <si>
    <t>KL tổng</t>
  </si>
  <si>
    <t>Tính KL cáp</t>
  </si>
  <si>
    <t>pha a</t>
  </si>
  <si>
    <t>pha b</t>
  </si>
  <si>
    <t>35</t>
  </si>
  <si>
    <t>ST9</t>
  </si>
  <si>
    <t>ST10</t>
  </si>
  <si>
    <t>[mm]WD17=</t>
  </si>
  <si>
    <t>[mm]WD18=</t>
  </si>
  <si>
    <t>[mm]Wd19=</t>
  </si>
  <si>
    <t>[mm]Wd20=</t>
  </si>
  <si>
    <t>[mm]ST9=</t>
  </si>
  <si>
    <t>[mm]ST10=</t>
  </si>
  <si>
    <t>[mm]TRUC9=</t>
  </si>
  <si>
    <t>[mm]TRUC10=</t>
  </si>
  <si>
    <t>[mm]TRUL9=</t>
  </si>
  <si>
    <t>[mm]TRUL10=</t>
  </si>
  <si>
    <t>[mm]XAL9=</t>
  </si>
  <si>
    <t>[mm]XAL10=</t>
  </si>
  <si>
    <t>[mm]XAC9=</t>
  </si>
  <si>
    <t>[mm]TRUGL9=</t>
  </si>
  <si>
    <t>[mm]TRUGL10=</t>
  </si>
  <si>
    <t>[mm]XAC10=</t>
  </si>
  <si>
    <t xml:space="preserve">thóp đáy </t>
  </si>
  <si>
    <t>thóp đáy</t>
  </si>
  <si>
    <t>Miếng tăng cứng đáy(mtcd1)</t>
  </si>
  <si>
    <t>mtcd2</t>
  </si>
  <si>
    <t>Chiều cao sứ hạ</t>
  </si>
  <si>
    <t>đường rò</t>
  </si>
  <si>
    <t>tên sứ</t>
  </si>
  <si>
    <t>Duy công</t>
  </si>
  <si>
    <t>HLS</t>
  </si>
  <si>
    <t>Đông hải</t>
  </si>
  <si>
    <t>CD đường rò</t>
  </si>
  <si>
    <t>Tên sứ</t>
  </si>
  <si>
    <t>đường gấp nắp máy</t>
  </si>
  <si>
    <t>Biển công suất</t>
  </si>
  <si>
    <t>Đồng trần ủ</t>
  </si>
  <si>
    <t>Long đen phíp</t>
  </si>
  <si>
    <t>36</t>
  </si>
  <si>
    <t>37</t>
  </si>
  <si>
    <t>38</t>
  </si>
  <si>
    <t>Thanh cái TRUNG TÍNH</t>
  </si>
  <si>
    <t>3x0.075</t>
  </si>
  <si>
    <t>4x0.075</t>
  </si>
  <si>
    <t>5x0.075</t>
  </si>
  <si>
    <t>6x0.075</t>
  </si>
  <si>
    <t>7x0.075</t>
  </si>
  <si>
    <t>8x0.075</t>
  </si>
  <si>
    <t>chỉ dùng cho ct</t>
  </si>
  <si>
    <t>chỉ dùng cho ht</t>
  </si>
  <si>
    <t>Biển amorphous</t>
  </si>
  <si>
    <t>Biển quá tải cao</t>
  </si>
  <si>
    <t>Biển máy hạ thế</t>
  </si>
  <si>
    <t>CHÚ Ý ĐỔI HÌNH VẼ ĐẦU CỐT CHO SỨ M12</t>
  </si>
  <si>
    <t xml:space="preserve">PHA </t>
  </si>
  <si>
    <t>RƠ LE GA</t>
  </si>
  <si>
    <t>NHIỆT KẾ</t>
  </si>
  <si>
    <t>QJ40</t>
  </si>
  <si>
    <t>QJ50</t>
  </si>
  <si>
    <t>122-23</t>
  </si>
  <si>
    <t>KHÔNG DÙNG</t>
  </si>
  <si>
    <t>3000KVA</t>
  </si>
  <si>
    <t>M55</t>
  </si>
  <si>
    <t>M55-4500A</t>
  </si>
  <si>
    <t>Cao hạ</t>
  </si>
  <si>
    <r>
      <t xml:space="preserve">CHIỀU CAO CÁNH NGẮN BÊN PHÍA VAN DẦU </t>
    </r>
    <r>
      <rPr>
        <sz val="11"/>
        <color rgb="FFFF0000"/>
        <rFont val="Calibri"/>
        <family val="2"/>
        <scheme val="minor"/>
      </rPr>
      <t>(Cy1)</t>
    </r>
  </si>
  <si>
    <t>Tôn cấp 9</t>
  </si>
  <si>
    <t>Tôn cấp 10</t>
  </si>
  <si>
    <t>ĐIỆN ÁP HV</t>
  </si>
  <si>
    <t>&gt;=24000</t>
  </si>
  <si>
    <t>&gt;=15000</t>
  </si>
  <si>
    <t>&lt;1500</t>
  </si>
  <si>
    <t>TIÊU CHUẨN BÌA CHẮN PHA</t>
  </si>
  <si>
    <t>+</t>
  </si>
  <si>
    <t>Dimension output</t>
  </si>
  <si>
    <t>Winding direction</t>
  </si>
  <si>
    <t>End fill</t>
  </si>
  <si>
    <t>Gap</t>
  </si>
  <si>
    <t>Height coil</t>
  </si>
  <si>
    <t>Perimetter outside</t>
  </si>
  <si>
    <t>Perimetter inside</t>
  </si>
  <si>
    <t>Perimetter mandrel</t>
  </si>
  <si>
    <t>Cool ducts</t>
  </si>
  <si>
    <t>Layer set coool ducts</t>
  </si>
  <si>
    <t>Numbet of cooling</t>
  </si>
  <si>
    <t>Insulation between layer</t>
  </si>
  <si>
    <t>Turn changing</t>
  </si>
  <si>
    <t>Turn/layer</t>
  </si>
  <si>
    <t>Turn/coil</t>
  </si>
  <si>
    <t>Layer/coil</t>
  </si>
  <si>
    <t>Type winding</t>
  </si>
  <si>
    <t>Weight (kg)</t>
  </si>
  <si>
    <t>Wire dimension (mm)</t>
  </si>
  <si>
    <t>No.</t>
  </si>
  <si>
    <t>Description</t>
  </si>
  <si>
    <t>75/84</t>
  </si>
  <si>
    <t>&lt;C0.750&gt;CHÚ Ý</t>
  </si>
  <si>
    <t>-Không để thông dầu hạ thế phía có thanh đồng</t>
  </si>
  <si>
    <t>-Nẹp 15mm giữa hai đầu 1 và 2 &lt;D1&gt;(nếu vị trí đầu 1 ở cuối lớp</t>
  </si>
  <si>
    <t>và đầu 2 ở lớp tiếp theo thì tăng cường thêm lớp</t>
  </si>
  <si>
    <t>-Làm vành xòe giấy nhăn 2x0,8 cao thế</t>
  </si>
  <si>
    <t>(toàn bộ phần nẹp cao thế)</t>
  </si>
  <si>
    <t>-Quấn xong cao thế quấn 2 lượt nẹp DDP kín bối dây</t>
  </si>
  <si>
    <t>-Các bìa chắn cao thế đặt 3 tờ 0,5mm.Còn lại đóng</t>
  </si>
  <si>
    <t>chèn sau khi quấn</t>
  </si>
  <si>
    <t>-Cao thế quét keo lớp đầu tiên, lớp sau thông dầu</t>
  </si>
  <si>
    <t>và phần điều chỉnh</t>
  </si>
  <si>
    <t>-Các đầu ra ống căn cao hạ phải sắp xếp đều nhau.</t>
  </si>
  <si>
    <t>tại lớp 1-2,lớp cuối và phần điều chỉnh&lt;D&gt;&lt;I0&gt;</t>
  </si>
  <si>
    <t>-Nẹp 15mm giữa hai đầu 1 và 2, 6 và 6' &lt;D1&gt;(nếu vị trí đầu 1</t>
  </si>
  <si>
    <t>ở cuối lớp và đầu 2 ở lớp tiếp theo thì tăng cường thêm lớp</t>
  </si>
  <si>
    <t xml:space="preserve">CD đường rò </t>
  </si>
  <si>
    <t xml:space="preserve">Sứ 22 kV </t>
  </si>
  <si>
    <t xml:space="preserve">Sứ 35 kV </t>
  </si>
  <si>
    <t xml:space="preserve">Sứ 10 kV </t>
  </si>
  <si>
    <t>DC12</t>
  </si>
  <si>
    <t>DC13</t>
  </si>
  <si>
    <t>Chiều rộng</t>
  </si>
  <si>
    <t>&gt;400</t>
  </si>
  <si>
    <t>Chênh lệch độ dày đáy với vành</t>
  </si>
  <si>
    <t>Tấm bắt ty đứng Sk trên khi P&gt;1250</t>
  </si>
  <si>
    <t>Yyn0</t>
  </si>
  <si>
    <t>hạng mục</t>
  </si>
  <si>
    <t xml:space="preserve">cao thế </t>
  </si>
  <si>
    <t>HƯỚNG DẪN KỸ THUẬT</t>
  </si>
  <si>
    <t>Kỹ sư thiết kế:</t>
  </si>
  <si>
    <t>Ngày:</t>
  </si>
  <si>
    <t>Phát hành đến:</t>
  </si>
  <si>
    <t>Phòng sản xuất</t>
  </si>
  <si>
    <t>Mã thành phẩm</t>
  </si>
  <si>
    <t>1. Sử dụng cho đơn hàng:</t>
  </si>
  <si>
    <t>(Số order)</t>
  </si>
  <si>
    <t>Loại máy</t>
  </si>
  <si>
    <t>(Thông số sản phẩm)</t>
  </si>
  <si>
    <t>2. Hướng dẫn</t>
  </si>
  <si>
    <t>Bản vẽ lưu trong tập tài liệu:</t>
  </si>
  <si>
    <t>3. Hướng dẫn đặc biệt</t>
  </si>
  <si>
    <t>4. Mô tả phụ kiện</t>
  </si>
  <si>
    <t>Stt</t>
  </si>
  <si>
    <t>Đơn vị</t>
  </si>
  <si>
    <t>Loại dầu</t>
  </si>
  <si>
    <t>Màu sơn</t>
  </si>
  <si>
    <t>RAL 7033 (HAVEC)</t>
  </si>
  <si>
    <t>Đồng hồ nhiệt độ</t>
  </si>
  <si>
    <t>Rơ le ga</t>
  </si>
  <si>
    <t>Các phụ kiện đặc biệt khác</t>
  </si>
  <si>
    <t>Các yêu cầu đặc biệt trên vỏ</t>
  </si>
  <si>
    <t>Phát hành bởi Kỹ sư thiết kế</t>
  </si>
  <si>
    <t>Phê duyệt bởi TP Kỹ Thuật</t>
  </si>
  <si>
    <t>(Chữ ký)</t>
  </si>
  <si>
    <t>Biến thế điện lực</t>
  </si>
  <si>
    <t>Biến thế đo lường</t>
  </si>
  <si>
    <t>Cuộn kháng</t>
  </si>
  <si>
    <t>Tủ điện</t>
  </si>
  <si>
    <t>Kiosk</t>
  </si>
  <si>
    <t>Số pha</t>
  </si>
  <si>
    <t>S</t>
  </si>
  <si>
    <t>1 pha- 1 sứ cao</t>
  </si>
  <si>
    <t>U</t>
  </si>
  <si>
    <t>1 pha-2 sứ cao</t>
  </si>
  <si>
    <t>3 pha</t>
  </si>
  <si>
    <t>Ngâm dầu- kiểu kín</t>
  </si>
  <si>
    <t>Ngâm dầu- kiểu hở (có bầu dầu)</t>
  </si>
  <si>
    <t>Khô</t>
  </si>
  <si>
    <t>W</t>
  </si>
  <si>
    <t>3 cấp</t>
  </si>
  <si>
    <t xml:space="preserve">  </t>
  </si>
  <si>
    <t>Điện áp</t>
  </si>
  <si>
    <t>Tiêu chuẩn</t>
  </si>
  <si>
    <t>Chủng loại SP</t>
  </si>
  <si>
    <t>Số cấp điện cao áp</t>
  </si>
  <si>
    <t>Điện áp+ tổ đấu</t>
  </si>
  <si>
    <t>220.4Dyn11</t>
  </si>
  <si>
    <t>TCVN</t>
  </si>
  <si>
    <t>8525_2015</t>
  </si>
  <si>
    <t>8525_2010</t>
  </si>
  <si>
    <t>Biến áp điện lực</t>
  </si>
  <si>
    <t>Bien_the_dien_luc</t>
  </si>
  <si>
    <t>KBD</t>
  </si>
  <si>
    <t>62_7691</t>
  </si>
  <si>
    <t>Bien_the_do_luong</t>
  </si>
  <si>
    <t>BD</t>
  </si>
  <si>
    <t>350.4Dyn11</t>
  </si>
  <si>
    <t>2x0.23</t>
  </si>
  <si>
    <t>Cuon_khang</t>
  </si>
  <si>
    <t>62_1011</t>
  </si>
  <si>
    <t>230.4Dyn11</t>
  </si>
  <si>
    <t>Tu_dien</t>
  </si>
  <si>
    <t>222x0.23Ii0</t>
  </si>
  <si>
    <t>35-22</t>
  </si>
  <si>
    <t>6.30.4Dyn11</t>
  </si>
  <si>
    <t>22-10</t>
  </si>
  <si>
    <t>6.30.4Yyn0</t>
  </si>
  <si>
    <t>35-10</t>
  </si>
  <si>
    <t>100.4Dyn11</t>
  </si>
  <si>
    <t>100.4Yyn0</t>
  </si>
  <si>
    <t>220.4Yyn0</t>
  </si>
  <si>
    <t>230.4Yyn0</t>
  </si>
  <si>
    <t>350.4Yyn0</t>
  </si>
  <si>
    <t>38.50.4Dyn11</t>
  </si>
  <si>
    <t>38.50.4Yyn0</t>
  </si>
  <si>
    <t>12.72x0.23Ii0</t>
  </si>
  <si>
    <t>12.70.23Ii0</t>
  </si>
  <si>
    <t>220.23Ii0</t>
  </si>
  <si>
    <t>232x0.23Ii0</t>
  </si>
  <si>
    <t>230.23Ii0</t>
  </si>
  <si>
    <t>352x0.23Ii0</t>
  </si>
  <si>
    <t>350.23Ii0</t>
  </si>
  <si>
    <t>38.52x0.23Ii0</t>
  </si>
  <si>
    <t>38.50.23Ii0</t>
  </si>
  <si>
    <t>35-220.4YDyn0-11</t>
  </si>
  <si>
    <t>35-220.4DDyn11</t>
  </si>
  <si>
    <t>22-100.4YDyn0-11</t>
  </si>
  <si>
    <t>22-100.4DDyn11</t>
  </si>
  <si>
    <t>35-100.4YDyn0-11</t>
  </si>
  <si>
    <t>35-100.4DDyn11</t>
  </si>
  <si>
    <t>35-100.4YYyn0</t>
  </si>
  <si>
    <t>Mã bản vẽ</t>
  </si>
  <si>
    <t>Mã TP</t>
  </si>
  <si>
    <t>Chủng loại sản phẩm</t>
  </si>
  <si>
    <t>Công suất máy (KVA)</t>
  </si>
  <si>
    <t>Số cấp</t>
  </si>
  <si>
    <t>Điện áp cao thế</t>
  </si>
  <si>
    <t>Điện áp hạ thế</t>
  </si>
  <si>
    <t>Tiêu chuẩn áp dụng</t>
  </si>
  <si>
    <t>Phương án thiết kế THÀNH PHẨM</t>
  </si>
  <si>
    <t>-01</t>
  </si>
  <si>
    <t>Phương án thiết kế BẢN VẼ</t>
  </si>
  <si>
    <t>\</t>
  </si>
  <si>
    <t>Click here</t>
  </si>
  <si>
    <t>Link tạo folder</t>
  </si>
  <si>
    <t>Link hyper bộ bản vẽ</t>
  </si>
  <si>
    <t>ORD</t>
  </si>
  <si>
    <t>Tên mã thành phẩm</t>
  </si>
  <si>
    <t>Bảng tính PDF</t>
  </si>
  <si>
    <t>Bộ bản vẽ</t>
  </si>
  <si>
    <t>Vật tư</t>
  </si>
  <si>
    <t>Chủng loại Sp</t>
  </si>
  <si>
    <t>Vật liệu(dây hạ-dây cao-tôn)</t>
  </si>
  <si>
    <t>Kiểu máy</t>
  </si>
  <si>
    <t>3p</t>
  </si>
  <si>
    <t>(Số lượng)</t>
  </si>
  <si>
    <t>(Tiến độ)</t>
  </si>
  <si>
    <t>Ii0</t>
  </si>
  <si>
    <t>DDyn11</t>
  </si>
  <si>
    <t>YDyn0-11</t>
  </si>
  <si>
    <t>Giấy cách điện DDP</t>
  </si>
  <si>
    <t>Cắt chéo</t>
  </si>
  <si>
    <t>KV</t>
  </si>
  <si>
    <t>Si</t>
  </si>
  <si>
    <t>SB03M04C20x10-01</t>
  </si>
  <si>
    <t>Gioăng cốc hạt ẩm Ф77xФ55x10</t>
  </si>
  <si>
    <t>SB03M01C77x55x10-01</t>
  </si>
  <si>
    <t>Gioăng bình dầu Ф70xФ40xδ8</t>
  </si>
  <si>
    <t>SB03M01C70x40x8-01</t>
  </si>
  <si>
    <t>Gioăng van hông Ф45xФ33xδ5</t>
  </si>
  <si>
    <t>SB03M01C45x33x5-01</t>
  </si>
  <si>
    <t>Gioăng cao su dẹt Ф40xФ32xδ4</t>
  </si>
  <si>
    <t>SB03M01C40x32x4-01</t>
  </si>
  <si>
    <t>Gioăng cao su dải δ10x20</t>
  </si>
  <si>
    <t>Dây cáp đồng trần mềm 1x120</t>
  </si>
  <si>
    <t>YC4T1x120-06</t>
  </si>
  <si>
    <t>Dây cáp đồng trần mềm 1x35</t>
  </si>
  <si>
    <t>YC4T1x35-06</t>
  </si>
  <si>
    <t>Dây cáp đồng trần mềm 1x50</t>
  </si>
  <si>
    <t>YC4T1x50-06</t>
  </si>
  <si>
    <t>Dây cáp đồng trần mềm 1x70</t>
  </si>
  <si>
    <t>YC4T1x70-06</t>
  </si>
  <si>
    <t>Dây cáp đồng trần mềm 1x95</t>
  </si>
  <si>
    <t>YC4T1x95-06</t>
  </si>
  <si>
    <t>Đầu cốt đồng đỏ DÂY CÁP HẠ THẾ tiết diện 35 không rõ xuất sứ</t>
  </si>
  <si>
    <t>SGA01BT35-00</t>
  </si>
  <si>
    <t>Đầu cốt đồng đỏ mạ thiếc DÂY CÁP HẠ THẾ tiết diện 50 không rõ xuất sứ</t>
  </si>
  <si>
    <t>SGA03BT50-00</t>
  </si>
  <si>
    <t>Đầu cốt đồng đỏ mạ thiếc DÂY CÁP HẠ THẾ tiết diện 70 không rõ xuất sứ</t>
  </si>
  <si>
    <t>SGA03BT70-00</t>
  </si>
  <si>
    <t>Đầu cốt đồng đỏ mạ thiếc DÂY CÁP HẠ THẾ tiết diện 95 không rõ xuất sứ</t>
  </si>
  <si>
    <t>SGA03BT95-00</t>
  </si>
  <si>
    <t>Đầu cốt đồng đỏ mạ thiếc DÂY CÁP HẠ THẾ tiết diện 120 không rõ xuất sứ</t>
  </si>
  <si>
    <t>SGA03BT120-00</t>
  </si>
  <si>
    <t>2.8-1.8-1.12-.82-0.410.38Dyn11</t>
  </si>
  <si>
    <t>2.8-1.8-1.12-.82-0.41</t>
  </si>
  <si>
    <t>3.30.38Dyn11</t>
  </si>
  <si>
    <t>biển máy Amorphous</t>
  </si>
  <si>
    <t>SFA07T0000-00</t>
  </si>
  <si>
    <t>Biển Solar Trans</t>
  </si>
  <si>
    <t>SFA10T0000-00</t>
  </si>
  <si>
    <t>BIỂN LOGO HÌNH CHỮ NHẬT 3 PHA</t>
  </si>
  <si>
    <t>SFA03T0000-00</t>
  </si>
  <si>
    <t>BIỂN QUÁ TẢI CAO HÌNH CHỮ NHẬT 3 PHA</t>
  </si>
  <si>
    <t>SFA09T0000-00</t>
  </si>
  <si>
    <t>BIỂN MÁY HẠ THẾ HÌNH CHỮ NHẬT 3 PHA</t>
  </si>
  <si>
    <t>SFA05T0000-00</t>
  </si>
  <si>
    <t>Biển nhãn chỉ pha hạ thế loại 3 pha</t>
  </si>
  <si>
    <t>SFA12T0000-00</t>
  </si>
  <si>
    <t>VTG 118</t>
  </si>
  <si>
    <t>Cách điện</t>
  </si>
  <si>
    <t>n1</t>
  </si>
  <si>
    <t>n2</t>
  </si>
  <si>
    <t>Cao hạ máy &gt;=35</t>
  </si>
  <si>
    <t>Cao hạ máy &gt;=22,&lt;35</t>
  </si>
  <si>
    <t>Giấy quấn hạ thế</t>
  </si>
  <si>
    <t>) DDP</t>
  </si>
  <si>
    <t xml:space="preserve">mm căn + </t>
  </si>
  <si>
    <t>Số giấy</t>
  </si>
  <si>
    <t xml:space="preserve"> mm bìa + </t>
  </si>
  <si>
    <t>(</t>
  </si>
  <si>
    <t>Dư tính vào giấy</t>
  </si>
  <si>
    <t xml:space="preserve"> mm bìa + (</t>
  </si>
  <si>
    <t>Căn</t>
  </si>
  <si>
    <t>Sứ cách điện cao thế</t>
  </si>
  <si>
    <t>Cao hạ:6.5=(3x0.08)+4.13mm căn+1.5mm bìa+(2x0.08)+vành xòe+3x(2x0.08)</t>
  </si>
  <si>
    <t>Tôn</t>
  </si>
  <si>
    <t>Giá trị</t>
  </si>
  <si>
    <t>Loại 1</t>
  </si>
  <si>
    <t>Loại 2</t>
  </si>
  <si>
    <t>B1</t>
  </si>
  <si>
    <t>B2</t>
  </si>
  <si>
    <t>Khối lượng tổng</t>
  </si>
  <si>
    <t>Số lõi/máy</t>
  </si>
  <si>
    <t>250A</t>
  </si>
  <si>
    <t>10x20</t>
  </si>
  <si>
    <t>&lt;C0.75&gt;Cao hạ:11.5mm=(4x0.08)+(4mm căn+1.5mm bìa)+(0.08x2)+(3mm căn+1.5mm bìa)+(0.08x2)+vành xòe+0.5mm bìa+(5x0.08)</t>
  </si>
  <si>
    <t>Chiều cao cửa sổ lõi tôn</t>
  </si>
  <si>
    <t>Chiều rộng cửa sổ lõi tôn 1</t>
  </si>
  <si>
    <t>Chiều rộng cửa sổ lõi tôn 2</t>
  </si>
  <si>
    <t>Độ dày tôn</t>
  </si>
  <si>
    <t>Bản tôn</t>
  </si>
  <si>
    <t>080</t>
  </si>
  <si>
    <t>Mép gấp</t>
  </si>
  <si>
    <t>Bìa chắn cửa sổ 1</t>
  </si>
  <si>
    <t>Bìa chắn cửa sổ 2</t>
  </si>
  <si>
    <t>Bìa chắn SK loại 1</t>
  </si>
  <si>
    <t>Bìa chắn SK loại 2</t>
  </si>
  <si>
    <t>Bìa chắn SK loại 3</t>
  </si>
  <si>
    <t>a</t>
  </si>
  <si>
    <t>Bìa đóng chèn</t>
  </si>
  <si>
    <t>Bìa chèn trụ</t>
  </si>
  <si>
    <t>Bìa kê cửa sổ</t>
  </si>
  <si>
    <t>Mép sấn</t>
  </si>
  <si>
    <t>Bìa chắn thanh đồng</t>
  </si>
  <si>
    <t>Sắt kẹp dưới</t>
  </si>
  <si>
    <t>Độ dày</t>
  </si>
  <si>
    <t>Sắt kẹp trên</t>
  </si>
  <si>
    <t>Mép gấp bắt Sk dưới</t>
  </si>
  <si>
    <t>Lòng trong dài</t>
  </si>
  <si>
    <t>Lòng trong rộng</t>
  </si>
  <si>
    <t>Ovan bắt thanh treo</t>
  </si>
  <si>
    <t>HCN bắt SK trên</t>
  </si>
  <si>
    <t>Lỗ gấp SK dưới</t>
  </si>
  <si>
    <t>KC tâm tâm tấm bắt chân kê</t>
  </si>
  <si>
    <t>Chiều dài</t>
  </si>
  <si>
    <t>Lỗ SK</t>
  </si>
  <si>
    <t>KT mép mép</t>
  </si>
  <si>
    <t>Chiều dài gờ bắt SK dưới</t>
  </si>
  <si>
    <t>Tâm Tâm lỗ bắt SK</t>
  </si>
  <si>
    <t>Thót đáy</t>
  </si>
  <si>
    <t>Thanh treo mặt nắp</t>
  </si>
  <si>
    <t>Thót rộng</t>
  </si>
  <si>
    <t>Thót cao</t>
  </si>
  <si>
    <t>Chiều dài thanh treo</t>
  </si>
  <si>
    <t>Tâm lỗ Bắt Sk dưới từ mặt nắp xuống</t>
  </si>
  <si>
    <t>Lỗ trên từ mặt nắp xuống</t>
  </si>
  <si>
    <t>Chiều cao</t>
  </si>
  <si>
    <t>Bản rộng</t>
  </si>
  <si>
    <t>Bìa đóng chèn dây quấn</t>
  </si>
  <si>
    <t>Độ dày bìa vs giấy dán trong khuôn quấn dây</t>
  </si>
  <si>
    <t>UNI</t>
  </si>
  <si>
    <t>Khoảng cách giữa bối dây và Thót đáy</t>
  </si>
  <si>
    <t>Chiều cao đáy máy</t>
  </si>
  <si>
    <t>Tâm lỗ đến mép thanh treo</t>
  </si>
  <si>
    <t>Ton</t>
  </si>
  <si>
    <t>bia</t>
  </si>
  <si>
    <t>satkepduoi</t>
  </si>
  <si>
    <t>satkeptren</t>
  </si>
  <si>
    <t>chanke</t>
  </si>
  <si>
    <t>thotday</t>
  </si>
  <si>
    <t>thanhtreomatnap</t>
  </si>
  <si>
    <t>Cao hạ máy &gt;=10,&lt;22</t>
  </si>
  <si>
    <t>Ecu mũ Inox</t>
  </si>
  <si>
    <t>cao hạ &lt;10</t>
  </si>
  <si>
    <t>PHIẾU KIỂM TRA THIẾT KẾ</t>
  </si>
  <si>
    <t>1. Người phát hành thiết kế</t>
  </si>
  <si>
    <t>2. Người triển khai bản vẽ</t>
  </si>
  <si>
    <t>3. Người kiểm tra</t>
  </si>
  <si>
    <t>Phạm Hoàng Sơn</t>
  </si>
  <si>
    <t>4. Thông số kỹ thuật phát hành</t>
  </si>
  <si>
    <t>Đưa ra bởi người phát hành</t>
  </si>
  <si>
    <t>Thông số</t>
  </si>
  <si>
    <t>Phù hợp</t>
  </si>
  <si>
    <t>K. phù hợp</t>
  </si>
  <si>
    <t>Số Order</t>
  </si>
  <si>
    <t>Tổ đấu dây</t>
  </si>
  <si>
    <t>Po (Tính toán/ Tiêu chuẩn)</t>
  </si>
  <si>
    <t>Pk (Tính toán/ Tiêu chuẩn)</t>
  </si>
  <si>
    <t>Uk (Tính toán/ Tiêu chuẩn)</t>
  </si>
  <si>
    <t>Nhiệt kế đo nhiệt độ bối dây</t>
  </si>
  <si>
    <t>Không</t>
  </si>
  <si>
    <t>Nhiệt kế đo nhiệt độ dầu</t>
  </si>
  <si>
    <t>Rơ le hơi</t>
  </si>
  <si>
    <t>Phụ kiện đặc biệt khác</t>
  </si>
  <si>
    <t>Vật liệu dây quấn cao</t>
  </si>
  <si>
    <t>Vật liệu dây quấn hạ</t>
  </si>
  <si>
    <t>Mã thành phẩm MBA</t>
  </si>
  <si>
    <t>Yêu cầu thử nghiệm đặc biệt:</t>
  </si>
  <si>
    <t>Yêu cầu khác:</t>
  </si>
  <si>
    <t>Người phát hành</t>
  </si>
  <si>
    <t>Người triển khai</t>
  </si>
  <si>
    <t>Điện áp (kV)</t>
  </si>
  <si>
    <t>Tần số(Hz)</t>
  </si>
  <si>
    <t>Khe tôn</t>
  </si>
  <si>
    <t>Chiều cao tối đa thót đáy so vs dây quấn</t>
  </si>
  <si>
    <t>Unicore</t>
  </si>
  <si>
    <t>Kiểu cắt tôn</t>
  </si>
  <si>
    <t>Xem cụ thể trong bản vẽ</t>
  </si>
  <si>
    <t>Tên gọi</t>
  </si>
  <si>
    <t>Kích thước (mm)</t>
  </si>
  <si>
    <t>Vật liệu</t>
  </si>
  <si>
    <t>Yd11</t>
  </si>
  <si>
    <t>60.69Yd11</t>
  </si>
  <si>
    <t>60.4Dyn11</t>
  </si>
  <si>
    <t>38.50.38Yyn0</t>
  </si>
  <si>
    <t>K.tra: V.T.Bình</t>
  </si>
  <si>
    <t>Duyệt: M.N.Trình</t>
  </si>
  <si>
    <t>2210.5Dy11</t>
  </si>
  <si>
    <t>0.380.01Ii0</t>
  </si>
  <si>
    <t>0.660.38YNa0</t>
  </si>
  <si>
    <t>0.220.22Ii0</t>
  </si>
  <si>
    <t>220.22Ii0</t>
  </si>
  <si>
    <t>0.20.1Dd0</t>
  </si>
  <si>
    <t>35-220.23Ii0</t>
  </si>
  <si>
    <t>38.56.3Yd11</t>
  </si>
  <si>
    <t>0.40.22YNa0</t>
  </si>
  <si>
    <t>YNa0</t>
  </si>
  <si>
    <t>4 cấp</t>
  </si>
  <si>
    <t>5 cấp</t>
  </si>
  <si>
    <t>6 cấp</t>
  </si>
  <si>
    <t>DANH MỤC BẢN VẼ</t>
  </si>
  <si>
    <t>Tên bản vẽ</t>
  </si>
  <si>
    <t>Đáy máy</t>
  </si>
  <si>
    <t>Cánh máy</t>
  </si>
  <si>
    <t>Phôi đáy máy</t>
  </si>
  <si>
    <t>Vành miệng</t>
  </si>
  <si>
    <t>Đáy máy và tấm sắt đáy ngoài</t>
  </si>
  <si>
    <t>Nắp máy</t>
  </si>
  <si>
    <t>Tổ lắp ráp B1</t>
  </si>
  <si>
    <t>Thân máy</t>
  </si>
  <si>
    <t>Tổ tôn</t>
  </si>
  <si>
    <t>Ty</t>
  </si>
  <si>
    <t>Thanh đồng hạ thế</t>
  </si>
  <si>
    <t>Tổ quấn dây</t>
  </si>
  <si>
    <t>Thanh trung tính</t>
  </si>
  <si>
    <t>Bộ phận được phân phối</t>
  </si>
  <si>
    <t>SX vỏ</t>
  </si>
  <si>
    <t>(Mã thành phẩm)</t>
  </si>
  <si>
    <t>Thanh treo ruột</t>
  </si>
  <si>
    <t>Đế biển máy</t>
  </si>
  <si>
    <t>Đế logo</t>
  </si>
  <si>
    <t>Nhãn công suất</t>
  </si>
  <si>
    <t>Tiếp địa 1 bên ngoài</t>
  </si>
  <si>
    <t>Tiếp địa 1 bên trong</t>
  </si>
  <si>
    <t>Móc cẩu thân</t>
  </si>
  <si>
    <t>Tai treo máy</t>
  </si>
  <si>
    <t>Tiếp địa 2 trên logo</t>
  </si>
  <si>
    <t>Tiếp địa 2 dưới đáy</t>
  </si>
  <si>
    <t>lỗ điều chỉnh</t>
  </si>
  <si>
    <t>mức đổ dầu</t>
  </si>
  <si>
    <t>Góc đặt</t>
  </si>
  <si>
    <t>Khoảng cách đặt từ trên</t>
  </si>
  <si>
    <t>Tổ lắp ráp B1+SX vỏ</t>
  </si>
  <si>
    <t>Hiệu suất NL</t>
  </si>
  <si>
    <t>Pk</t>
  </si>
  <si>
    <t>P0</t>
  </si>
  <si>
    <t>tính toán</t>
  </si>
  <si>
    <t>tiêu chuẩn</t>
  </si>
  <si>
    <t>Uk</t>
  </si>
  <si>
    <t>/</t>
  </si>
  <si>
    <t>Độ tăng nhiệt</t>
  </si>
  <si>
    <t>Cuộn dây</t>
  </si>
  <si>
    <t>Độ tăng nhiệt dầu- cuộn dây (tính toán/ tiêu chuẩn)</t>
  </si>
  <si>
    <t>Cạnh uốn</t>
  </si>
  <si>
    <t>Y</t>
  </si>
  <si>
    <t>X</t>
  </si>
  <si>
    <t>thiếu hoặc sai sót báo lại để kỹ thuật chỉnh sửa phát hành lại</t>
  </si>
  <si>
    <t>Bộ phận phân phát bản vẽ xem và phân phối bản vẽ theo danh mục được kê dưới đây. Nếu bản vẽ đính kèm</t>
  </si>
  <si>
    <t>(phương án)</t>
  </si>
  <si>
    <t>TĂNG CƯỜNG CÁCH ĐIỆN LỚP</t>
  </si>
  <si>
    <t>Ký hiệu</t>
  </si>
  <si>
    <t>BM02-QT08.1</t>
  </si>
  <si>
    <t>Ký hiệu: BM01-QT08.1</t>
  </si>
  <si>
    <t>Ký hiệu: BM02-QT08</t>
  </si>
  <si>
    <t>tấm bắt chân kê</t>
  </si>
  <si>
    <t>KT LỖ dưới</t>
  </si>
  <si>
    <t>J</t>
  </si>
  <si>
    <t>62_318</t>
  </si>
  <si>
    <t>Yoketop</t>
  </si>
  <si>
    <t>Yoketopdaycap</t>
  </si>
  <si>
    <t>lỗ bắt với Sk E11</t>
  </si>
  <si>
    <t>mặt bên lòng trong</t>
  </si>
  <si>
    <t>Cao su giảm chấn</t>
  </si>
  <si>
    <t>Thông dầu DQ</t>
  </si>
  <si>
    <t>Cửa sổ</t>
  </si>
  <si>
    <t>Dq1</t>
  </si>
  <si>
    <t>Dq2</t>
  </si>
  <si>
    <t>Dq3</t>
  </si>
  <si>
    <t>Dq4</t>
  </si>
  <si>
    <t>Dq5</t>
  </si>
  <si>
    <t>Dq6</t>
  </si>
  <si>
    <t>Dq7</t>
  </si>
  <si>
    <t>Dq8</t>
  </si>
  <si>
    <t>20.20.23Ii0</t>
  </si>
  <si>
    <t>Ngày …../….../2022</t>
  </si>
  <si>
    <t>Sứ hạ thế dùng của Trung Quốc</t>
  </si>
  <si>
    <t>Vành cách điện</t>
  </si>
  <si>
    <t>Bối kê dây quấn</t>
  </si>
  <si>
    <t>00</t>
  </si>
  <si>
    <t>QĐ_107</t>
  </si>
  <si>
    <t>K</t>
  </si>
  <si>
    <t>Chiều dài góc vát tôn trong</t>
  </si>
  <si>
    <t>p14</t>
  </si>
  <si>
    <t>đường chéo hình vuông</t>
  </si>
  <si>
    <t>p22</t>
  </si>
  <si>
    <t>p24</t>
  </si>
  <si>
    <t>p23</t>
  </si>
  <si>
    <t>Diện tích mặt tôn 1</t>
  </si>
  <si>
    <t>V1</t>
  </si>
  <si>
    <t>Diện tích mặt tôn 2</t>
  </si>
  <si>
    <t>V2</t>
  </si>
  <si>
    <t>Khoảng cách 2 bìa đóng chèn</t>
  </si>
  <si>
    <t>Chắn thanh đồng</t>
  </si>
  <si>
    <t>Đóng chèn dây quấn</t>
  </si>
  <si>
    <t>Chắn pha</t>
  </si>
  <si>
    <t>Đóng chèn</t>
  </si>
  <si>
    <t>Chèn trụ</t>
  </si>
  <si>
    <t>Chắn cửa số bối dây 2</t>
  </si>
  <si>
    <t>Kê cửa sổ</t>
  </si>
  <si>
    <t>Chắn cửa số bối dây 1</t>
  </si>
  <si>
    <t>DQ18</t>
  </si>
  <si>
    <t>Giấy lót trụ tôn</t>
  </si>
  <si>
    <t>Chiều cao vỏ-p8</t>
  </si>
  <si>
    <t>Độ dày vỏ-p13</t>
  </si>
  <si>
    <t>p9</t>
  </si>
  <si>
    <t>p10</t>
  </si>
  <si>
    <t>p11</t>
  </si>
  <si>
    <t>Chiều dày-p6.7.8</t>
  </si>
  <si>
    <t>p12</t>
  </si>
  <si>
    <t>p15</t>
  </si>
  <si>
    <t>p16</t>
  </si>
  <si>
    <t>KC tâm lỗ đến đáy bên trong</t>
  </si>
  <si>
    <t>Góc đặt-p319</t>
  </si>
  <si>
    <t>Chiều dày-p6.7</t>
  </si>
  <si>
    <t>p8</t>
  </si>
  <si>
    <t>Chiều cao đặt biển</t>
  </si>
  <si>
    <t>chiều dày-p6.7</t>
  </si>
  <si>
    <t>Góc đặt-p330</t>
  </si>
  <si>
    <t>Góc đặt-p408</t>
  </si>
  <si>
    <t>Khoảng cách đặt từ trên-p242</t>
  </si>
  <si>
    <t>Góc đặt-p220</t>
  </si>
  <si>
    <t>Khoảng cách đặt từ trên-p219</t>
  </si>
  <si>
    <t>Khoảng cách đặt từ đáy</t>
  </si>
  <si>
    <t>Góc đặt-p318</t>
  </si>
  <si>
    <t>Khoảng cách 2 tai treo</t>
  </si>
  <si>
    <t>góc đặt X1-p68</t>
  </si>
  <si>
    <t>Khoảng cách đặt từ trên-p20</t>
  </si>
  <si>
    <t>Khoảng cách đặt từ trên-p72</t>
  </si>
  <si>
    <t>góc đặt-p73</t>
  </si>
  <si>
    <t>góc đặt-p396</t>
  </si>
  <si>
    <t>Khoảng cách đặt từ trên-p395</t>
  </si>
  <si>
    <t>Khoảng cách đặt từ trên-p399</t>
  </si>
  <si>
    <t>p402-Dài</t>
  </si>
  <si>
    <t>Góc bẻ đáy máy</t>
  </si>
  <si>
    <t>nắp máy</t>
  </si>
  <si>
    <t>Đường kính trong-p7</t>
  </si>
  <si>
    <t>Đường kính trong-p12</t>
  </si>
  <si>
    <t>Chiều cao-p70</t>
  </si>
  <si>
    <t>Độ dày vỏ-p16</t>
  </si>
  <si>
    <t>Rp13</t>
  </si>
  <si>
    <t>Đường kính ngoài-p15</t>
  </si>
  <si>
    <t>Lỗ sứ cao p20</t>
  </si>
  <si>
    <t>Lỗ sứ cao p21</t>
  </si>
  <si>
    <t>Góc nghiêng p29</t>
  </si>
  <si>
    <t>Mặt phẳng p38</t>
  </si>
  <si>
    <t>Mặt phẳng lắp sứ p45</t>
  </si>
  <si>
    <t>Lỗ đuôi sứ-p51</t>
  </si>
  <si>
    <t>Góc đặt tiếp địa nắp p69</t>
  </si>
  <si>
    <t>mặt bắt sứ p91</t>
  </si>
  <si>
    <t>lỗ đuôi sứ p90</t>
  </si>
  <si>
    <t>p83 mặt bằng bắt sứ</t>
  </si>
  <si>
    <t>p82 khoảng cách mặt phẳng dập</t>
  </si>
  <si>
    <t>p74  mặt Dập sứ hạ</t>
  </si>
  <si>
    <t>mặt dập lỗ p129</t>
  </si>
  <si>
    <t>Mặt sấn lắp điều chỉnh p135</t>
  </si>
  <si>
    <t>Mặt bằng lắp điều chỉnh p140</t>
  </si>
  <si>
    <t>lỗ điều chỉnh p141</t>
  </si>
  <si>
    <t>p146</t>
  </si>
  <si>
    <t>p147</t>
  </si>
  <si>
    <t>p118=4</t>
  </si>
  <si>
    <t>[degrees]</t>
  </si>
  <si>
    <t>[mm]</t>
  </si>
  <si>
    <t>p118 số lỗ hạ thế</t>
  </si>
  <si>
    <t>p119 k.cách góc các lỗ hạ thế</t>
  </si>
  <si>
    <t>mpduongkinhtrong</t>
  </si>
  <si>
    <t>mpchieucaovo</t>
  </si>
  <si>
    <t>mpdodayvo</t>
  </si>
  <si>
    <t>mpthanhtreoruot</t>
  </si>
  <si>
    <t>mpdebienmay</t>
  </si>
  <si>
    <t>mpdelogo</t>
  </si>
  <si>
    <t>mpnhancongsuat</t>
  </si>
  <si>
    <t>mptiepdia1bentrong</t>
  </si>
  <si>
    <t>mptiepdia1benngoai</t>
  </si>
  <si>
    <t>mptiepdia2trenlogo</t>
  </si>
  <si>
    <t>mptiepdia2duoiday</t>
  </si>
  <si>
    <t>mpmoccauthan</t>
  </si>
  <si>
    <t>mptaitreomay</t>
  </si>
  <si>
    <t>mpsuhathe</t>
  </si>
  <si>
    <t>mplodieuchinh</t>
  </si>
  <si>
    <t>mpvangiamap</t>
  </si>
  <si>
    <t>mpmucdodau</t>
  </si>
  <si>
    <t>mpdaymay</t>
  </si>
  <si>
    <t>mpnapmay</t>
  </si>
  <si>
    <t>Độ dày đáy máy</t>
  </si>
  <si>
    <t>vị trí đặt hàn</t>
  </si>
  <si>
    <t>Chiều dài tiếp địa p7</t>
  </si>
  <si>
    <t>Khoảng cách 2 cánh</t>
  </si>
  <si>
    <t>Độ dày cánh</t>
  </si>
  <si>
    <t>Khoảng cách giữa 2 sứ hạ</t>
  </si>
  <si>
    <t>gờ A,B</t>
  </si>
  <si>
    <t>Số cánh</t>
  </si>
  <si>
    <t>Chiều L toàn bộ cánh</t>
  </si>
  <si>
    <t>Góc gờ A,B</t>
  </si>
  <si>
    <t>Góc Chiều L toàn bộ cánh</t>
  </si>
  <si>
    <t>Góc khoảng cách giữa 2 cánh</t>
  </si>
  <si>
    <t>Chu vi vỏ (ngoài)</t>
  </si>
  <si>
    <t>mpcanhmay</t>
  </si>
  <si>
    <t>Chiều cao cánh p386</t>
  </si>
  <si>
    <t>Góc Chiều L lỗ khoét hàn cánh</t>
  </si>
  <si>
    <t>Chiều L lỗ khoét hàn cánh</t>
  </si>
  <si>
    <t>mpsatkeptren</t>
  </si>
  <si>
    <t>mpsatkepduoi</t>
  </si>
  <si>
    <t>Chiều dài lòng trong</t>
  </si>
  <si>
    <t>p76 phần cắt bắt vs SK trên</t>
  </si>
  <si>
    <t>p74 tâm lỗ bắt vs Sk trên</t>
  </si>
  <si>
    <t>p75 tâm lỗ bắt vs Sk trên</t>
  </si>
  <si>
    <t>p80 KT lỗ bắt thanh treo ruột</t>
  </si>
  <si>
    <t>p81 KT lỗ bắt thanh treo ruột</t>
  </si>
  <si>
    <t>p79 KC tâm lỗ móc ruột máy</t>
  </si>
  <si>
    <t>Mặt bên dài</t>
  </si>
  <si>
    <t>mpBia</t>
  </si>
  <si>
    <t>mép gấp bìa chắn cửa sổ 2</t>
  </si>
  <si>
    <t>tâm lỗ đến mép lỗ p24</t>
  </si>
  <si>
    <t>Chiều cao DQ đến miệng máy</t>
  </si>
  <si>
    <t>mpDQ</t>
  </si>
  <si>
    <t>Thanh đồng</t>
  </si>
  <si>
    <t>Chủng loại</t>
  </si>
  <si>
    <t>bản đồng</t>
  </si>
  <si>
    <t>chiều dài cắt</t>
  </si>
  <si>
    <t>khối lượng</t>
  </si>
  <si>
    <t>20x3</t>
  </si>
  <si>
    <t>Thanh a1</t>
  </si>
  <si>
    <t>Thanh a2</t>
  </si>
  <si>
    <t>Thanh x1</t>
  </si>
  <si>
    <t>Thanh X2</t>
  </si>
  <si>
    <t>Cu</t>
  </si>
  <si>
    <t>Dạng lá</t>
  </si>
  <si>
    <t>Dây tròn</t>
  </si>
  <si>
    <t>Dây dẹt</t>
  </si>
  <si>
    <t>Dây bện nhiều sợi</t>
  </si>
  <si>
    <t>KHông có vlcđ</t>
  </si>
  <si>
    <t>Cđ giấy</t>
  </si>
  <si>
    <t>Cđ Emay</t>
  </si>
  <si>
    <t>P</t>
  </si>
  <si>
    <t>PVC</t>
  </si>
  <si>
    <t>Teflon</t>
  </si>
  <si>
    <t>Cao su</t>
  </si>
  <si>
    <t>Al</t>
  </si>
  <si>
    <t>.</t>
  </si>
  <si>
    <t>001</t>
  </si>
  <si>
    <t>UNITRANS</t>
  </si>
  <si>
    <t>LT</t>
  </si>
  <si>
    <t>LX</t>
  </si>
  <si>
    <t>C2</t>
  </si>
  <si>
    <t>C3</t>
  </si>
  <si>
    <t>Trọng lượng tinh\ thô\ Điều chỉnh</t>
  </si>
  <si>
    <t>220.525Dyn11</t>
  </si>
  <si>
    <t>Bình hạt ẩm</t>
  </si>
  <si>
    <t>Hướng dẫn đóng bìa</t>
  </si>
  <si>
    <t>Bìa chắn của sổ bối dây 1</t>
  </si>
  <si>
    <t>Bìa chắn của sổ bối dây 2</t>
  </si>
  <si>
    <t>Bìa chắn sắt kẹp</t>
  </si>
  <si>
    <t>Chú ý bìa</t>
  </si>
  <si>
    <t>Tấm cao su giảm chấn</t>
  </si>
  <si>
    <t>Amor</t>
  </si>
  <si>
    <t>62_242</t>
  </si>
  <si>
    <t>38.5-23</t>
  </si>
  <si>
    <t>38.5-230.4YDyn0-11</t>
  </si>
  <si>
    <t>Hiệu suất năng lượng(Tính toán/ Tiêu chuẩn)</t>
  </si>
  <si>
    <t>CHÚ Ý:</t>
  </si>
  <si>
    <t>-Dưới G2 đặt căn bìa bằng bản thanh đồng cái để đều kích thước 2 ga-let</t>
  </si>
  <si>
    <t>-Đầu dây cao, hạ để về 2 phía, nẹp 15mm giữa 2 đầu 1-2</t>
  </si>
  <si>
    <t>-Cấp cách điện dùng giấy DDP phải quấn từng lượt 0.13 liên tục cho</t>
  </si>
  <si>
    <t>đủ chiều dây</t>
  </si>
  <si>
    <t>-Đặt giấy nhăn lót tăng cường cách điện cao thế(toàn bộ phần nẹp</t>
  </si>
  <si>
    <t>cao thế cửa sổ)</t>
  </si>
  <si>
    <t>-Quấn xong cao thế quấn cách điện thêm:</t>
  </si>
  <si>
    <t>2x0.13mmDDP+3.13mm căn phía cao hạ+4x0.13mmDDP</t>
  </si>
  <si>
    <t>-Cao thế đầu X lên sứ, Không đặt bìa 2mm sau khi hết quấn cao thế</t>
  </si>
  <si>
    <t>-2 ga-let quấn song song với nhau, 2 thanh ngoài để cao 240mm,</t>
  </si>
  <si>
    <t>thanh giữa để 220mm</t>
  </si>
  <si>
    <t>-Tăng cường 0.075 (đầu 2 cuối 8) giấy lớp 1-2 và phần điều chỉnh</t>
  </si>
  <si>
    <t>1 pha</t>
  </si>
  <si>
    <r>
      <t xml:space="preserve">R 1 chiều ở 20  </t>
    </r>
    <r>
      <rPr>
        <sz val="11"/>
        <color theme="1"/>
        <rFont val="Calibri"/>
        <family val="2"/>
      </rPr>
      <t>̊</t>
    </r>
    <r>
      <rPr>
        <sz val="11"/>
        <color theme="1"/>
        <rFont val="Calibri"/>
        <family val="2"/>
        <scheme val="minor"/>
      </rPr>
      <t>C</t>
    </r>
  </si>
  <si>
    <t>id2/2+dq3+a12</t>
  </si>
  <si>
    <t>BK11 căn đỡ VCĐ dưới</t>
  </si>
  <si>
    <t>BK12căn đỡ VCĐ trên</t>
  </si>
  <si>
    <t>220.21Dd0</t>
  </si>
  <si>
    <t>Dd0</t>
  </si>
  <si>
    <t>Kích thước MBA(Tính toán/Chào hàng)</t>
  </si>
  <si>
    <t>Cao</t>
  </si>
  <si>
    <t>Khung chân</t>
  </si>
  <si>
    <t>0.380.197Dyn11</t>
  </si>
  <si>
    <t>1984_1994</t>
  </si>
  <si>
    <t>0.40.21Dyn11</t>
  </si>
  <si>
    <t>220.66Dyn11</t>
  </si>
  <si>
    <t>Tâm lỗ đến mép SK ck4 (30)</t>
  </si>
  <si>
    <t xml:space="preserve">có </t>
  </si>
  <si>
    <t>62_3079</t>
  </si>
  <si>
    <t>Sứ cao thế dùng của Đông Hải</t>
  </si>
  <si>
    <t>Ngày          tháng        năm 2023</t>
  </si>
  <si>
    <t>Ngày …../….../2023</t>
  </si>
  <si>
    <t>QĐ_20</t>
  </si>
  <si>
    <t>N</t>
  </si>
  <si>
    <t>350.69Yyn0</t>
  </si>
  <si>
    <t>BF050</t>
  </si>
  <si>
    <t>T100</t>
  </si>
  <si>
    <t>B2:</t>
  </si>
  <si>
    <t>Sử dụng keo dán gioăng trên mặt nắp</t>
  </si>
  <si>
    <t>KÍN VƠI DẦU</t>
  </si>
  <si>
    <t>YDd11-0</t>
  </si>
  <si>
    <t>35-226YDd11-0</t>
  </si>
  <si>
    <t>Số lớp cơ bản \ điều chỉnh</t>
  </si>
  <si>
    <t>Số vòng lớp phần cơ bản \ phần điều chỉnh</t>
  </si>
  <si>
    <t>-Với các máy quấn dây nhôm, đầu khởi quấn (A) bắt đầu ở
 phía dưới</t>
  </si>
  <si>
    <t>Phao báo dầu nối dài thêm 80 mm</t>
  </si>
  <si>
    <t>Đổ dầu dưới mặt nắp 80 mm</t>
  </si>
  <si>
    <t>KHUÔN VỎ 1P</t>
  </si>
  <si>
    <t>Cy&lt;180</t>
  </si>
  <si>
    <t>7.620.12/0.24</t>
  </si>
  <si>
    <t>0.12/0.24</t>
  </si>
  <si>
    <t>O</t>
  </si>
  <si>
    <t>NEMA</t>
  </si>
  <si>
    <t>180&lt;Cy&lt;280</t>
  </si>
  <si>
    <t>280&lt;=Cy&lt;=400</t>
  </si>
  <si>
    <t>Cy&lt;=180</t>
  </si>
  <si>
    <t>180&lt;Cy&lt;=280</t>
  </si>
  <si>
    <t>280&lt;Cy&lt;=400</t>
  </si>
  <si>
    <t>Mica kê góc 1</t>
  </si>
  <si>
    <t>Mica kê góc 2</t>
  </si>
  <si>
    <t>Bìa chắn đầu khuôn</t>
  </si>
  <si>
    <t>Bìa cạnh khuôn</t>
  </si>
  <si>
    <t>IEC60076-1:2011</t>
  </si>
  <si>
    <t>\\192.168.0.9\phong ky thuat</t>
  </si>
  <si>
    <t>Biển Chống rút ruột</t>
  </si>
  <si>
    <t>Gioăng tròn 40x3</t>
  </si>
  <si>
    <t>WST II4 30/35 6x5S</t>
  </si>
  <si>
    <t>6.3-220.4DYyn11-0</t>
  </si>
  <si>
    <t>DYyn11-0</t>
  </si>
  <si>
    <t>6.3-22</t>
  </si>
  <si>
    <t>Số thông dầu dây phía cửa sổ \ phía cao</t>
  </si>
  <si>
    <t>Kích thước thông dầu\Phía hạ</t>
  </si>
  <si>
    <t>Nẹp đầu dây quấn cao</t>
  </si>
  <si>
    <t xml:space="preserve">Chiều dày ghép tôn </t>
  </si>
  <si>
    <t xml:space="preserve">Pihía cao </t>
  </si>
  <si>
    <t>Phía hạ</t>
  </si>
  <si>
    <t>Chiều rộng bản tôn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</si>
</sst>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0.00000000"/>
    <numFmt numFmtId="168" formatCode="0.0000000000000"/>
    <numFmt numFmtId="169" formatCode="0.000000000000"/>
    <numFmt numFmtId="170" formatCode="[$-1010409]d/m/yyyy\ h:mm\ AM/PM;@"/>
    <numFmt numFmtId="171" formatCode="0_);\(0\)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.Vn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FF0000"/>
      <name val="Arial"/>
      <family val="2"/>
    </font>
    <font>
      <sz val="11"/>
      <color rgb="FF9C0006"/>
      <name val="Calibri"/>
      <family val="2"/>
      <scheme val="minor"/>
    </font>
    <font>
      <b/>
      <sz val="36"/>
      <color rgb="FF9C0006"/>
      <name val="Calibri"/>
      <family val="2"/>
      <scheme val="minor"/>
    </font>
    <font>
      <sz val="12"/>
      <name val="Arial"/>
      <family val="2"/>
    </font>
    <font>
      <b/>
      <i/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3"/>
      <color theme="0"/>
      <name val="Calibri"/>
      <family val="2"/>
      <scheme val="minor"/>
    </font>
    <font>
      <sz val="13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indexed="8"/>
      <name val="Calibri"/>
      <family val="2"/>
      <scheme val="minor"/>
    </font>
    <font>
      <vertAlign val="superscript"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1"/>
      <name val=".VnTime"/>
      <family val="2"/>
    </font>
    <font>
      <sz val="9"/>
      <color theme="1"/>
      <name val=".VnTime"/>
      <family val="2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i/>
      <sz val="11"/>
      <name val="Times New Roman"/>
      <family val="1"/>
    </font>
    <font>
      <b/>
      <sz val="14"/>
      <name val="Times New Roman"/>
      <family val="1"/>
    </font>
    <font>
      <sz val="2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2.5"/>
      <color theme="1"/>
      <name val="Times New Roman"/>
      <family val="1"/>
    </font>
    <font>
      <sz val="26"/>
      <name val="Times New Roman"/>
      <family val="1"/>
    </font>
    <font>
      <sz val="28"/>
      <name val="Times New Roman"/>
      <family val="1"/>
    </font>
    <font>
      <b/>
      <sz val="26"/>
      <name val="Times New Roman"/>
      <family val="1"/>
    </font>
    <font>
      <sz val="26"/>
      <color theme="1"/>
      <name val="Times New Roman"/>
      <family val="1"/>
    </font>
    <font>
      <sz val="28"/>
      <color theme="1"/>
      <name val="Times New Roman"/>
      <family val="1"/>
    </font>
    <font>
      <sz val="30"/>
      <color theme="1"/>
      <name val="Times New Roman"/>
      <family val="1"/>
    </font>
    <font>
      <sz val="30"/>
      <name val="Times New Roman"/>
      <family val="1"/>
    </font>
    <font>
      <sz val="70"/>
      <color theme="1"/>
      <name val="Times New Roman"/>
      <family val="1"/>
    </font>
    <font>
      <sz val="32"/>
      <name val="Times New Roman"/>
      <family val="1"/>
    </font>
    <font>
      <sz val="36"/>
      <color theme="1"/>
      <name val="Times New Roman"/>
      <family val="1"/>
    </font>
    <font>
      <sz val="15"/>
      <color theme="1"/>
      <name val="Times New Roman"/>
      <family val="1"/>
    </font>
    <font>
      <sz val="16"/>
      <color theme="1"/>
      <name val="Times New Roman"/>
      <family val="1"/>
    </font>
    <font>
      <sz val="18"/>
      <color theme="1"/>
      <name val="Times New Roman"/>
      <family val="1"/>
    </font>
    <font>
      <sz val="40"/>
      <color theme="1"/>
      <name val="Times New Roman"/>
      <family val="1"/>
    </font>
    <font>
      <b/>
      <sz val="29"/>
      <name val="Times New Roman"/>
      <family val="1"/>
    </font>
    <font>
      <sz val="29"/>
      <color theme="1"/>
      <name val="Times New Roman"/>
      <family val="1"/>
    </font>
    <font>
      <sz val="29"/>
      <name val="Times New Roman"/>
      <family val="1"/>
    </font>
    <font>
      <sz val="34"/>
      <name val="Times New Roman"/>
      <family val="1"/>
    </font>
    <font>
      <sz val="31"/>
      <name val="Times New Roman"/>
      <family val="1"/>
    </font>
    <font>
      <sz val="33"/>
      <color theme="1"/>
      <name val="Times New Roman"/>
      <family val="1"/>
    </font>
    <font>
      <sz val="34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10"/>
      <name val="Times New Roman"/>
      <family val="1"/>
    </font>
    <font>
      <sz val="22"/>
      <color indexed="8"/>
      <name val="Calibri"/>
      <family val="2"/>
      <scheme val="minor"/>
    </font>
    <font>
      <sz val="22"/>
      <color theme="1"/>
      <name val="Calibri"/>
      <family val="2"/>
      <scheme val="minor"/>
    </font>
    <font>
      <sz val="23"/>
      <color theme="1"/>
      <name val="Times New Roman"/>
      <family val="1"/>
    </font>
    <font>
      <sz val="23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50"/>
      <color rgb="FFFF0000"/>
      <name val="Calibri"/>
      <family val="2"/>
      <scheme val="minor"/>
    </font>
    <font>
      <sz val="14"/>
      <name val="Times New Roman"/>
      <family val="1"/>
    </font>
    <font>
      <sz val="12"/>
      <name val="Times New Roman"/>
      <family val="1"/>
    </font>
    <font>
      <sz val="10"/>
      <color indexed="8"/>
      <name val="Times New Roman"/>
      <family val="2"/>
    </font>
    <font>
      <b/>
      <sz val="14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Segoe UI"/>
      <family val="2"/>
    </font>
    <font>
      <b/>
      <sz val="12"/>
      <color theme="1"/>
      <name val="Times New Roman"/>
      <family val="1"/>
    </font>
    <font>
      <sz val="12"/>
      <color theme="1"/>
      <name val="Wingdings 2"/>
      <family val="1"/>
      <charset val="2"/>
    </font>
    <font>
      <b/>
      <sz val="18"/>
      <color theme="1"/>
      <name val="Times New Roman"/>
      <family val="1"/>
    </font>
    <font>
      <b/>
      <sz val="20"/>
      <color rgb="FF9C0006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</fills>
  <borders count="165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theme="1"/>
      </left>
      <right/>
      <top style="medium">
        <color theme="1"/>
      </top>
      <bottom style="thick">
        <color theme="1"/>
      </bottom>
      <diagonal/>
    </border>
    <border>
      <left style="medium">
        <color theme="1"/>
      </left>
      <right/>
      <top/>
      <bottom style="thick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FF0000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FF0000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0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4" fillId="14" borderId="0" applyNumberFormat="0" applyBorder="0" applyAlignment="0" applyProtection="0"/>
    <xf numFmtId="0" fontId="32" fillId="0" borderId="0"/>
    <xf numFmtId="0" fontId="11" fillId="0" borderId="0"/>
    <xf numFmtId="0" fontId="1" fillId="0" borderId="0"/>
    <xf numFmtId="0" fontId="87" fillId="0" borderId="0" applyNumberForma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</cellStyleXfs>
  <cellXfs count="158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3" borderId="1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3" borderId="10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0" fillId="0" borderId="10" xfId="0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</xf>
    <xf numFmtId="0" fontId="0" fillId="0" borderId="19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" fillId="5" borderId="0" xfId="0" applyFont="1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Alignment="1" applyProtection="1">
      <protection locked="0"/>
    </xf>
    <xf numFmtId="0" fontId="5" fillId="0" borderId="19" xfId="0" applyNumberFormat="1" applyFont="1" applyFill="1" applyBorder="1" applyAlignment="1" applyProtection="1">
      <alignment horizontal="center"/>
      <protection locked="0"/>
    </xf>
    <xf numFmtId="0" fontId="5" fillId="0" borderId="3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4" xfId="0" applyNumberFormat="1" applyFont="1" applyFill="1" applyBorder="1" applyAlignment="1" applyProtection="1">
      <alignment horizontal="center"/>
      <protection locked="0"/>
    </xf>
    <xf numFmtId="0" fontId="5" fillId="0" borderId="10" xfId="0" applyNumberFormat="1" applyFont="1" applyFill="1" applyBorder="1" applyAlignment="1" applyProtection="1">
      <alignment horizontal="center"/>
      <protection locked="0"/>
    </xf>
    <xf numFmtId="0" fontId="5" fillId="0" borderId="2" xfId="0" applyNumberFormat="1" applyFont="1" applyFill="1" applyBorder="1" applyAlignment="1" applyProtection="1">
      <alignment horizontal="center"/>
      <protection locked="0"/>
    </xf>
    <xf numFmtId="0" fontId="5" fillId="0" borderId="21" xfId="0" applyNumberFormat="1" applyFont="1" applyFill="1" applyBorder="1" applyAlignment="1" applyProtection="1">
      <alignment horizontal="center"/>
      <protection locked="0"/>
    </xf>
    <xf numFmtId="0" fontId="5" fillId="0" borderId="22" xfId="0" applyNumberFormat="1" applyFont="1" applyFill="1" applyBorder="1" applyAlignment="1" applyProtection="1">
      <alignment horizontal="center"/>
      <protection locked="0"/>
    </xf>
    <xf numFmtId="0" fontId="5" fillId="0" borderId="20" xfId="0" applyNumberFormat="1" applyFont="1" applyFill="1" applyBorder="1" applyAlignment="1" applyProtection="1">
      <alignment horizontal="center"/>
      <protection locked="0"/>
    </xf>
    <xf numFmtId="0" fontId="5" fillId="0" borderId="23" xfId="0" applyNumberFormat="1" applyFont="1" applyFill="1" applyBorder="1" applyAlignment="1" applyProtection="1">
      <alignment horizontal="center"/>
      <protection locked="0"/>
    </xf>
    <xf numFmtId="0" fontId="5" fillId="0" borderId="24" xfId="0" applyNumberFormat="1" applyFont="1" applyFill="1" applyBorder="1" applyAlignment="1" applyProtection="1">
      <alignment horizontal="center"/>
      <protection locked="0"/>
    </xf>
    <xf numFmtId="0" fontId="5" fillId="0" borderId="25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/>
    </xf>
    <xf numFmtId="0" fontId="0" fillId="0" borderId="28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0" fontId="0" fillId="0" borderId="37" xfId="0" applyBorder="1" applyProtection="1"/>
    <xf numFmtId="0" fontId="0" fillId="0" borderId="38" xfId="0" applyBorder="1" applyProtection="1"/>
    <xf numFmtId="0" fontId="0" fillId="0" borderId="38" xfId="0" applyBorder="1" applyProtection="1">
      <protection locked="0"/>
    </xf>
    <xf numFmtId="0" fontId="0" fillId="0" borderId="39" xfId="0" applyBorder="1" applyProtection="1"/>
    <xf numFmtId="0" fontId="0" fillId="0" borderId="0" xfId="0" applyBorder="1" applyProtection="1"/>
    <xf numFmtId="0" fontId="0" fillId="0" borderId="39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41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5" xfId="0" applyBorder="1" applyProtection="1">
      <protection locked="0"/>
    </xf>
    <xf numFmtId="2" fontId="0" fillId="3" borderId="1" xfId="0" applyNumberFormat="1" applyFont="1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22" xfId="0" applyBorder="1" applyProtection="1"/>
    <xf numFmtId="0" fontId="9" fillId="0" borderId="0" xfId="0" applyFont="1" applyProtection="1">
      <protection hidden="1"/>
    </xf>
    <xf numFmtId="1" fontId="9" fillId="0" borderId="0" xfId="0" applyNumberFormat="1" applyFont="1" applyProtection="1">
      <protection hidden="1"/>
    </xf>
    <xf numFmtId="0" fontId="8" fillId="0" borderId="47" xfId="0" applyFont="1" applyBorder="1" applyAlignment="1" applyProtection="1">
      <protection hidden="1"/>
    </xf>
    <xf numFmtId="0" fontId="9" fillId="0" borderId="43" xfId="0" applyFont="1" applyBorder="1" applyAlignment="1" applyProtection="1">
      <alignment horizontal="center"/>
      <protection hidden="1"/>
    </xf>
    <xf numFmtId="0" fontId="9" fillId="0" borderId="49" xfId="0" applyFont="1" applyBorder="1" applyProtection="1"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8" fillId="0" borderId="30" xfId="1" applyFont="1" applyBorder="1" applyAlignment="1" applyProtection="1">
      <alignment horizontal="center" vertical="center"/>
      <protection hidden="1"/>
    </xf>
    <xf numFmtId="0" fontId="8" fillId="0" borderId="30" xfId="0" applyFont="1" applyBorder="1" applyAlignment="1" applyProtection="1">
      <alignment horizontal="center"/>
      <protection hidden="1"/>
    </xf>
    <xf numFmtId="0" fontId="9" fillId="0" borderId="47" xfId="0" applyFont="1" applyFill="1" applyBorder="1" applyAlignment="1" applyProtection="1">
      <alignment horizontal="center"/>
      <protection hidden="1"/>
    </xf>
    <xf numFmtId="0" fontId="9" fillId="0" borderId="50" xfId="1" applyFont="1" applyBorder="1" applyAlignment="1" applyProtection="1">
      <alignment horizontal="center" vertical="center"/>
      <protection hidden="1"/>
    </xf>
    <xf numFmtId="0" fontId="9" fillId="0" borderId="49" xfId="0" applyFont="1" applyBorder="1" applyAlignment="1" applyProtection="1">
      <alignment horizontal="center"/>
      <protection hidden="1"/>
    </xf>
    <xf numFmtId="2" fontId="9" fillId="0" borderId="30" xfId="1" applyNumberFormat="1" applyFont="1" applyBorder="1" applyAlignment="1" applyProtection="1">
      <alignment horizontal="center" vertical="center" wrapText="1"/>
      <protection hidden="1"/>
    </xf>
    <xf numFmtId="2" fontId="9" fillId="0" borderId="30" xfId="0" applyNumberFormat="1" applyFont="1" applyBorder="1" applyAlignment="1" applyProtection="1">
      <alignment horizontal="center" vertical="center"/>
      <protection hidden="1"/>
    </xf>
    <xf numFmtId="2" fontId="9" fillId="0" borderId="44" xfId="0" applyNumberFormat="1" applyFont="1" applyBorder="1" applyAlignment="1" applyProtection="1">
      <alignment horizontal="center" vertical="center"/>
      <protection hidden="1"/>
    </xf>
    <xf numFmtId="0" fontId="9" fillId="0" borderId="46" xfId="1" applyFont="1" applyFill="1" applyBorder="1" applyAlignment="1" applyProtection="1">
      <alignment horizontal="left" vertical="center"/>
      <protection hidden="1"/>
    </xf>
    <xf numFmtId="1" fontId="9" fillId="0" borderId="49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164" fontId="9" fillId="0" borderId="44" xfId="1" applyNumberFormat="1" applyFont="1" applyFill="1" applyBorder="1" applyAlignment="1" applyProtection="1">
      <alignment horizontal="right" vertical="center"/>
      <protection hidden="1"/>
    </xf>
    <xf numFmtId="0" fontId="9" fillId="0" borderId="45" xfId="1" applyNumberFormat="1" applyFont="1" applyFill="1" applyBorder="1" applyAlignment="1" applyProtection="1">
      <alignment horizontal="left" vertical="center"/>
      <protection hidden="1"/>
    </xf>
    <xf numFmtId="1" fontId="9" fillId="0" borderId="47" xfId="0" applyNumberFormat="1" applyFont="1" applyBorder="1" applyAlignment="1" applyProtection="1">
      <alignment horizontal="center" vertical="center"/>
      <protection hidden="1"/>
    </xf>
    <xf numFmtId="1" fontId="9" fillId="0" borderId="50" xfId="1" applyNumberFormat="1" applyFont="1" applyBorder="1" applyAlignment="1" applyProtection="1">
      <alignment horizontal="center" vertical="center" wrapText="1"/>
      <protection hidden="1"/>
    </xf>
    <xf numFmtId="0" fontId="9" fillId="0" borderId="46" xfId="1" applyNumberFormat="1" applyFont="1" applyFill="1" applyBorder="1" applyAlignment="1" applyProtection="1">
      <alignment horizontal="left" vertical="center"/>
      <protection hidden="1"/>
    </xf>
    <xf numFmtId="2" fontId="9" fillId="0" borderId="30" xfId="0" applyNumberFormat="1" applyFont="1" applyFill="1" applyBorder="1" applyAlignment="1" applyProtection="1">
      <alignment horizontal="center" vertical="center"/>
      <protection hidden="1"/>
    </xf>
    <xf numFmtId="2" fontId="9" fillId="0" borderId="44" xfId="0" applyNumberFormat="1" applyFont="1" applyFill="1" applyBorder="1" applyAlignment="1" applyProtection="1">
      <alignment horizontal="center" vertical="center"/>
      <protection hidden="1"/>
    </xf>
    <xf numFmtId="1" fontId="9" fillId="0" borderId="49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1" fontId="9" fillId="0" borderId="30" xfId="1" applyNumberFormat="1" applyFont="1" applyFill="1" applyBorder="1" applyAlignment="1" applyProtection="1">
      <alignment horizontal="center" vertical="center" wrapText="1"/>
      <protection hidden="1"/>
    </xf>
    <xf numFmtId="1" fontId="9" fillId="0" borderId="47" xfId="0" applyNumberFormat="1" applyFont="1" applyFill="1" applyBorder="1" applyAlignment="1" applyProtection="1">
      <alignment horizontal="center" vertical="center"/>
      <protection hidden="1"/>
    </xf>
    <xf numFmtId="1" fontId="9" fillId="0" borderId="50" xfId="1" applyNumberFormat="1" applyFont="1" applyFill="1" applyBorder="1" applyAlignment="1" applyProtection="1">
      <alignment horizontal="center" vertical="center" wrapText="1"/>
      <protection hidden="1"/>
    </xf>
    <xf numFmtId="1" fontId="9" fillId="0" borderId="0" xfId="0" applyNumberFormat="1" applyFont="1" applyBorder="1" applyAlignment="1" applyProtection="1">
      <alignment horizontal="center" vertical="center"/>
      <protection hidden="1"/>
    </xf>
    <xf numFmtId="1" fontId="9" fillId="0" borderId="0" xfId="0" applyNumberFormat="1" applyFont="1" applyBorder="1" applyAlignment="1" applyProtection="1">
      <alignment horizontal="center"/>
      <protection hidden="1"/>
    </xf>
    <xf numFmtId="2" fontId="9" fillId="0" borderId="0" xfId="0" applyNumberFormat="1" applyFont="1" applyProtection="1">
      <protection hidden="1"/>
    </xf>
    <xf numFmtId="1" fontId="9" fillId="9" borderId="52" xfId="1" applyNumberFormat="1" applyFont="1" applyFill="1" applyBorder="1" applyAlignment="1" applyProtection="1">
      <alignment horizontal="right" vertical="center" wrapText="1"/>
      <protection locked="0"/>
    </xf>
    <xf numFmtId="0" fontId="9" fillId="0" borderId="0" xfId="1" applyFont="1" applyAlignment="1" applyProtection="1">
      <alignment horizontal="right"/>
      <protection hidden="1"/>
    </xf>
    <xf numFmtId="164" fontId="9" fillId="9" borderId="52" xfId="1" applyNumberFormat="1" applyFont="1" applyFill="1" applyBorder="1" applyAlignment="1" applyProtection="1">
      <alignment horizontal="left" vertical="center" wrapText="1"/>
      <protection locked="0"/>
    </xf>
    <xf numFmtId="2" fontId="9" fillId="9" borderId="52" xfId="1" applyNumberFormat="1" applyFont="1" applyFill="1" applyBorder="1" applyAlignment="1" applyProtection="1">
      <alignment horizontal="left" vertical="center" wrapText="1"/>
      <protection locked="0"/>
    </xf>
    <xf numFmtId="1" fontId="9" fillId="0" borderId="52" xfId="1" applyNumberFormat="1" applyFont="1" applyFill="1" applyBorder="1" applyAlignment="1" applyProtection="1">
      <alignment horizontal="right" vertical="center" wrapText="1"/>
      <protection hidden="1"/>
    </xf>
    <xf numFmtId="0" fontId="9" fillId="0" borderId="0" xfId="0" applyFont="1" applyAlignment="1" applyProtection="1">
      <alignment horizontal="right"/>
      <protection hidden="1"/>
    </xf>
    <xf numFmtId="165" fontId="9" fillId="9" borderId="52" xfId="1" applyNumberFormat="1" applyFont="1" applyFill="1" applyBorder="1" applyAlignment="1" applyProtection="1">
      <alignment horizontal="left" vertical="center" wrapText="1"/>
      <protection locked="0"/>
    </xf>
    <xf numFmtId="0" fontId="9" fillId="0" borderId="53" xfId="0" applyFont="1" applyBorder="1" applyAlignment="1" applyProtection="1">
      <protection hidden="1"/>
    </xf>
    <xf numFmtId="0" fontId="9" fillId="0" borderId="51" xfId="0" applyFont="1" applyBorder="1" applyAlignment="1" applyProtection="1"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Border="1" applyProtection="1"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164" fontId="9" fillId="0" borderId="0" xfId="0" applyNumberFormat="1" applyFont="1" applyProtection="1">
      <protection hidden="1"/>
    </xf>
    <xf numFmtId="0" fontId="0" fillId="0" borderId="46" xfId="1" applyFont="1" applyFill="1" applyBorder="1" applyAlignment="1" applyProtection="1">
      <alignment horizontal="left" vertic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hidden="1"/>
    </xf>
    <xf numFmtId="0" fontId="12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/>
    <xf numFmtId="2" fontId="9" fillId="0" borderId="0" xfId="0" applyNumberFormat="1" applyFont="1" applyFill="1" applyBorder="1" applyAlignment="1" applyProtection="1">
      <alignment horizontal="center"/>
      <protection hidden="1"/>
    </xf>
    <xf numFmtId="2" fontId="9" fillId="0" borderId="0" xfId="0" applyNumberFormat="1" applyFont="1" applyBorder="1" applyProtection="1">
      <protection hidden="1"/>
    </xf>
    <xf numFmtId="2" fontId="13" fillId="0" borderId="0" xfId="0" applyNumberFormat="1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7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1" fontId="0" fillId="7" borderId="10" xfId="0" applyNumberFormat="1" applyFont="1" applyFill="1" applyBorder="1" applyAlignment="1" applyProtection="1">
      <alignment horizontal="center" vertical="center"/>
      <protection locked="0"/>
    </xf>
    <xf numFmtId="0" fontId="0" fillId="4" borderId="7" xfId="0" applyFont="1" applyFill="1" applyBorder="1" applyAlignment="1" applyProtection="1">
      <alignment horizontal="center" vertical="center"/>
      <protection locked="0"/>
    </xf>
    <xf numFmtId="1" fontId="0" fillId="7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7" xfId="0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" fontId="0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center" vertical="center"/>
      <protection locked="0"/>
    </xf>
    <xf numFmtId="0" fontId="0" fillId="3" borderId="2" xfId="0" applyFont="1" applyFill="1" applyBorder="1" applyAlignment="1" applyProtection="1">
      <alignment horizontal="center" vertical="center"/>
      <protection locked="0"/>
    </xf>
    <xf numFmtId="0" fontId="0" fillId="3" borderId="4" xfId="0" applyFont="1" applyFill="1" applyBorder="1" applyAlignment="1" applyProtection="1">
      <alignment horizontal="center" vertical="center"/>
      <protection locked="0"/>
    </xf>
    <xf numFmtId="0" fontId="0" fillId="5" borderId="1" xfId="0" applyFont="1" applyFill="1" applyBorder="1" applyAlignment="1" applyProtection="1">
      <alignment horizontal="center" vertical="center"/>
      <protection locked="0"/>
    </xf>
    <xf numFmtId="0" fontId="0" fillId="4" borderId="8" xfId="0" applyFont="1" applyFill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3" borderId="6" xfId="0" applyFont="1" applyFill="1" applyBorder="1" applyAlignment="1" applyProtection="1">
      <alignment horizontal="center" vertical="center"/>
      <protection locked="0"/>
    </xf>
    <xf numFmtId="0" fontId="0" fillId="3" borderId="9" xfId="0" applyFont="1" applyFill="1" applyBorder="1" applyAlignment="1" applyProtection="1">
      <alignment horizontal="center" vertical="center"/>
      <protection locked="0"/>
    </xf>
    <xf numFmtId="0" fontId="0" fillId="3" borderId="26" xfId="0" applyFont="1" applyFill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</xf>
    <xf numFmtId="0" fontId="0" fillId="0" borderId="7" xfId="0" applyFont="1" applyBorder="1" applyAlignment="1" applyProtection="1">
      <alignment horizontal="center" vertical="center"/>
    </xf>
    <xf numFmtId="0" fontId="0" fillId="0" borderId="26" xfId="0" applyFont="1" applyBorder="1" applyAlignment="1" applyProtection="1">
      <alignment horizontal="center" vertical="center"/>
    </xf>
    <xf numFmtId="0" fontId="0" fillId="4" borderId="10" xfId="0" applyFont="1" applyFill="1" applyBorder="1" applyAlignment="1" applyProtection="1">
      <alignment horizontal="center" vertical="center"/>
      <protection locked="0"/>
    </xf>
    <xf numFmtId="0" fontId="0" fillId="3" borderId="10" xfId="0" applyFont="1" applyFill="1" applyBorder="1" applyAlignment="1" applyProtection="1">
      <alignment horizontal="center" vertical="center"/>
      <protection locked="0"/>
    </xf>
    <xf numFmtId="0" fontId="0" fillId="3" borderId="8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0" fillId="4" borderId="17" xfId="0" applyFont="1" applyFill="1" applyBorder="1" applyAlignment="1" applyProtection="1">
      <alignment horizontal="center" vertical="center"/>
      <protection locked="0"/>
    </xf>
    <xf numFmtId="0" fontId="0" fillId="3" borderId="24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0" fillId="3" borderId="17" xfId="0" applyFont="1" applyFill="1" applyBorder="1" applyAlignment="1" applyProtection="1">
      <alignment horizontal="center" vertical="center"/>
      <protection locked="0"/>
    </xf>
    <xf numFmtId="0" fontId="4" fillId="5" borderId="2" xfId="0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43" fontId="0" fillId="0" borderId="0" xfId="3" applyFont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4" borderId="56" xfId="0" applyFont="1" applyFill="1" applyBorder="1" applyAlignment="1" applyProtection="1">
      <alignment horizontal="center" vertical="center" wrapText="1"/>
      <protection locked="0"/>
    </xf>
    <xf numFmtId="0" fontId="6" fillId="4" borderId="57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16" borderId="59" xfId="0" applyFont="1" applyFill="1" applyBorder="1" applyAlignment="1" applyProtection="1">
      <alignment horizontal="center" vertical="center"/>
      <protection locked="0"/>
    </xf>
    <xf numFmtId="0" fontId="6" fillId="16" borderId="61" xfId="0" applyFont="1" applyFill="1" applyBorder="1" applyAlignment="1" applyProtection="1">
      <alignment horizontal="center" vertical="center"/>
      <protection locked="0"/>
    </xf>
    <xf numFmtId="43" fontId="0" fillId="16" borderId="0" xfId="3" applyFont="1" applyFill="1" applyBorder="1" applyAlignment="1" applyProtection="1">
      <alignment horizontal="center" vertical="center"/>
      <protection locked="0"/>
    </xf>
    <xf numFmtId="0" fontId="5" fillId="0" borderId="43" xfId="0" applyNumberFormat="1" applyFont="1" applyFill="1" applyBorder="1" applyAlignment="1" applyProtection="1">
      <alignment vertical="center"/>
      <protection locked="0"/>
    </xf>
    <xf numFmtId="0" fontId="5" fillId="0" borderId="30" xfId="0" applyNumberFormat="1" applyFont="1" applyFill="1" applyBorder="1" applyAlignment="1" applyProtection="1">
      <alignment vertical="center"/>
      <protection locked="0"/>
    </xf>
    <xf numFmtId="0" fontId="0" fillId="17" borderId="0" xfId="0" applyFont="1" applyFill="1" applyAlignment="1" applyProtection="1">
      <alignment horizontal="center" vertical="center"/>
      <protection locked="0"/>
    </xf>
    <xf numFmtId="2" fontId="0" fillId="17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43" xfId="0" applyNumberFormat="1" applyFont="1" applyFill="1" applyBorder="1" applyAlignment="1" applyProtection="1">
      <protection locked="0"/>
    </xf>
    <xf numFmtId="0" fontId="5" fillId="0" borderId="30" xfId="0" applyNumberFormat="1" applyFont="1" applyFill="1" applyBorder="1" applyAlignment="1" applyProtection="1">
      <protection locked="0"/>
    </xf>
    <xf numFmtId="0" fontId="6" fillId="0" borderId="0" xfId="0" applyFont="1" applyProtection="1">
      <protection locked="0"/>
    </xf>
    <xf numFmtId="0" fontId="0" fillId="0" borderId="37" xfId="0" applyBorder="1" applyProtection="1">
      <protection locked="0"/>
    </xf>
    <xf numFmtId="0" fontId="0" fillId="0" borderId="55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56" xfId="0" applyBorder="1" applyProtection="1">
      <protection locked="0"/>
    </xf>
    <xf numFmtId="0" fontId="0" fillId="0" borderId="57" xfId="0" applyBorder="1" applyProtection="1">
      <protection locked="0"/>
    </xf>
    <xf numFmtId="0" fontId="0" fillId="0" borderId="58" xfId="0" applyBorder="1" applyProtection="1">
      <protection locked="0"/>
    </xf>
    <xf numFmtId="0" fontId="0" fillId="12" borderId="30" xfId="0" applyFill="1" applyBorder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/>
      <protection locked="0"/>
    </xf>
    <xf numFmtId="0" fontId="0" fillId="0" borderId="57" xfId="0" applyFont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4" fillId="5" borderId="62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5" fillId="0" borderId="54" xfId="0" applyNumberFormat="1" applyFont="1" applyFill="1" applyBorder="1" applyAlignment="1" applyProtection="1">
      <alignment horizontal="center"/>
      <protection locked="0"/>
    </xf>
    <xf numFmtId="0" fontId="5" fillId="0" borderId="43" xfId="0" applyNumberFormat="1" applyFont="1" applyFill="1" applyBorder="1" applyAlignment="1" applyProtection="1">
      <alignment horizontal="center"/>
      <protection locked="0"/>
    </xf>
    <xf numFmtId="0" fontId="5" fillId="0" borderId="44" xfId="0" applyNumberFormat="1" applyFont="1" applyFill="1" applyBorder="1" applyAlignment="1" applyProtection="1">
      <alignment horizontal="center"/>
      <protection locked="0"/>
    </xf>
    <xf numFmtId="0" fontId="5" fillId="0" borderId="30" xfId="0" applyNumberFormat="1" applyFont="1" applyFill="1" applyBorder="1" applyAlignment="1" applyProtection="1">
      <alignment horizontal="center"/>
      <protection locked="0"/>
    </xf>
    <xf numFmtId="0" fontId="5" fillId="0" borderId="54" xfId="0" applyNumberFormat="1" applyFont="1" applyFill="1" applyBorder="1" applyAlignment="1" applyProtection="1">
      <alignment horizontal="center" vertical="center"/>
      <protection locked="0"/>
    </xf>
    <xf numFmtId="0" fontId="5" fillId="0" borderId="43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NumberFormat="1" applyFont="1" applyFill="1" applyBorder="1" applyAlignment="1" applyProtection="1">
      <alignment horizontal="center" vertical="center"/>
      <protection locked="0"/>
    </xf>
    <xf numFmtId="0" fontId="5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1" fontId="0" fillId="0" borderId="1" xfId="0" applyNumberFormat="1" applyBorder="1"/>
    <xf numFmtId="0" fontId="0" fillId="5" borderId="0" xfId="0" applyFill="1"/>
    <xf numFmtId="1" fontId="5" fillId="0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164" fontId="9" fillId="0" borderId="44" xfId="1" applyNumberFormat="1" applyFont="1" applyFill="1" applyBorder="1" applyAlignment="1" applyProtection="1">
      <alignment vertical="center"/>
      <protection hidden="1"/>
    </xf>
    <xf numFmtId="164" fontId="9" fillId="0" borderId="46" xfId="1" applyNumberFormat="1" applyFont="1" applyFill="1" applyBorder="1" applyAlignment="1" applyProtection="1">
      <alignment vertical="center"/>
      <protection hidden="1"/>
    </xf>
    <xf numFmtId="0" fontId="0" fillId="2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0" borderId="1" xfId="0" applyBorder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/>
      <protection locked="0"/>
    </xf>
    <xf numFmtId="0" fontId="16" fillId="0" borderId="1" xfId="0" applyFont="1" applyBorder="1"/>
    <xf numFmtId="0" fontId="16" fillId="0" borderId="1" xfId="0" applyFont="1" applyFill="1" applyBorder="1"/>
    <xf numFmtId="0" fontId="18" fillId="5" borderId="0" xfId="0" applyFont="1" applyFill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5" borderId="0" xfId="0" applyFon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/>
      <protection locked="0"/>
    </xf>
    <xf numFmtId="0" fontId="21" fillId="5" borderId="1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9" fontId="4" fillId="5" borderId="0" xfId="2" applyFont="1" applyFill="1" applyAlignment="1" applyProtection="1">
      <alignment horizontal="center" vertical="center"/>
      <protection locked="0"/>
    </xf>
    <xf numFmtId="0" fontId="17" fillId="4" borderId="59" xfId="0" applyFont="1" applyFill="1" applyBorder="1" applyAlignment="1" applyProtection="1">
      <alignment horizontal="center" vertical="center"/>
      <protection locked="0"/>
    </xf>
    <xf numFmtId="0" fontId="17" fillId="4" borderId="61" xfId="0" applyFont="1" applyFill="1" applyBorder="1" applyAlignment="1" applyProtection="1">
      <alignment horizontal="center" vertical="center"/>
      <protection locked="0"/>
    </xf>
    <xf numFmtId="0" fontId="4" fillId="19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" fontId="0" fillId="2" borderId="0" xfId="0" applyNumberFormat="1" applyFont="1" applyFill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4" borderId="5" xfId="0" applyFont="1" applyFill="1" applyBorder="1" applyAlignment="1" applyProtection="1">
      <alignment horizontal="center" vertical="center"/>
      <protection locked="0"/>
    </xf>
    <xf numFmtId="1" fontId="0" fillId="6" borderId="8" xfId="0" applyNumberFormat="1" applyFont="1" applyFill="1" applyBorder="1" applyAlignment="1" applyProtection="1">
      <alignment horizontal="center" vertical="center"/>
      <protection locked="0"/>
    </xf>
    <xf numFmtId="1" fontId="0" fillId="6" borderId="1" xfId="0" applyNumberFormat="1" applyFont="1" applyFill="1" applyBorder="1" applyAlignment="1" applyProtection="1">
      <alignment horizontal="center" vertical="center"/>
      <protection locked="0"/>
    </xf>
    <xf numFmtId="1" fontId="0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4" borderId="2" xfId="0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3" borderId="7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Alignment="1">
      <alignment horizontal="center"/>
    </xf>
    <xf numFmtId="2" fontId="0" fillId="4" borderId="0" xfId="0" applyNumberFormat="1" applyFont="1" applyFill="1" applyAlignment="1" applyProtection="1">
      <alignment horizontal="center" vertical="center"/>
      <protection locked="0"/>
    </xf>
    <xf numFmtId="2" fontId="0" fillId="2" borderId="1" xfId="0" applyNumberFormat="1" applyFont="1" applyFill="1" applyBorder="1" applyAlignment="1" applyProtection="1">
      <alignment horizontal="center" vertical="center"/>
      <protection locked="0"/>
    </xf>
    <xf numFmtId="2" fontId="0" fillId="2" borderId="3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ont="1" applyFill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0" fillId="3" borderId="12" xfId="0" applyFont="1" applyFill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</xf>
    <xf numFmtId="0" fontId="0" fillId="0" borderId="27" xfId="0" applyFont="1" applyBorder="1" applyAlignment="1" applyProtection="1">
      <alignment horizontal="center" vertical="center"/>
    </xf>
    <xf numFmtId="1" fontId="0" fillId="0" borderId="24" xfId="0" applyNumberFormat="1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3" borderId="5" xfId="0" applyFont="1" applyFill="1" applyBorder="1" applyAlignment="1" applyProtection="1">
      <alignment horizontal="center" vertical="center"/>
      <protection locked="0"/>
    </xf>
    <xf numFmtId="2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24" xfId="0" applyFont="1" applyFill="1" applyBorder="1" applyAlignment="1" applyProtection="1">
      <alignment horizontal="center" vertical="center"/>
      <protection locked="0"/>
    </xf>
    <xf numFmtId="0" fontId="0" fillId="0" borderId="43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10" xfId="0" applyFont="1" applyBorder="1" applyAlignment="1" applyProtection="1">
      <alignment horizontal="center" vertical="center"/>
      <protection locked="0"/>
    </xf>
    <xf numFmtId="2" fontId="0" fillId="0" borderId="0" xfId="0" applyNumberFormat="1" applyFont="1" applyAlignment="1" applyProtection="1">
      <alignment horizontal="center" vertical="center"/>
      <protection locked="0"/>
    </xf>
    <xf numFmtId="1" fontId="0" fillId="0" borderId="0" xfId="0" applyNumberFormat="1" applyFont="1" applyAlignment="1" applyProtection="1">
      <alignment horizontal="center" vertical="center"/>
      <protection locked="0"/>
    </xf>
    <xf numFmtId="2" fontId="0" fillId="12" borderId="0" xfId="0" applyNumberFormat="1" applyFont="1" applyFill="1" applyAlignment="1" applyProtection="1">
      <alignment horizontal="center" vertical="center"/>
      <protection locked="0"/>
    </xf>
    <xf numFmtId="0" fontId="0" fillId="4" borderId="29" xfId="0" applyFont="1" applyFill="1" applyBorder="1" applyAlignment="1" applyProtection="1">
      <alignment horizontal="center" vertical="center"/>
      <protection locked="0"/>
    </xf>
    <xf numFmtId="0" fontId="0" fillId="2" borderId="12" xfId="0" applyFont="1" applyFill="1" applyBorder="1" applyAlignment="1" applyProtection="1">
      <alignment horizontal="center" vertical="center"/>
      <protection locked="0"/>
    </xf>
    <xf numFmtId="0" fontId="0" fillId="3" borderId="16" xfId="0" applyFont="1" applyFill="1" applyBorder="1" applyAlignment="1" applyProtection="1">
      <alignment horizontal="center" vertical="center"/>
      <protection locked="0"/>
    </xf>
    <xf numFmtId="2" fontId="0" fillId="0" borderId="1" xfId="0" applyNumberFormat="1" applyFont="1" applyBorder="1" applyAlignment="1" applyProtection="1">
      <alignment horizontal="center" vertical="center"/>
      <protection locked="0"/>
    </xf>
    <xf numFmtId="1" fontId="0" fillId="17" borderId="0" xfId="0" applyNumberFormat="1" applyFont="1" applyFill="1" applyAlignment="1" applyProtection="1">
      <alignment horizontal="center" vertical="center"/>
      <protection locked="0"/>
    </xf>
    <xf numFmtId="0" fontId="0" fillId="18" borderId="65" xfId="0" applyFont="1" applyFill="1" applyBorder="1" applyAlignment="1" applyProtection="1">
      <alignment horizontal="center" vertical="center"/>
      <protection locked="0"/>
    </xf>
    <xf numFmtId="0" fontId="0" fillId="18" borderId="56" xfId="0" applyFont="1" applyFill="1" applyBorder="1" applyAlignment="1" applyProtection="1">
      <alignment horizontal="center" vertical="center"/>
      <protection locked="0"/>
    </xf>
    <xf numFmtId="0" fontId="0" fillId="18" borderId="58" xfId="0" applyFont="1" applyFill="1" applyBorder="1" applyAlignment="1" applyProtection="1">
      <alignment horizontal="center" vertical="center"/>
      <protection locked="0"/>
    </xf>
    <xf numFmtId="0" fontId="0" fillId="0" borderId="15" xfId="0" applyFont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horizontal="center" vertical="center"/>
    </xf>
    <xf numFmtId="0" fontId="0" fillId="4" borderId="13" xfId="0" applyFont="1" applyFill="1" applyBorder="1" applyAlignment="1" applyProtection="1">
      <alignment horizontal="center" vertical="center"/>
      <protection locked="0"/>
    </xf>
    <xf numFmtId="0" fontId="0" fillId="0" borderId="26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2" xfId="0" applyFont="1" applyFill="1" applyBorder="1" applyAlignment="1" applyProtection="1">
      <alignment horizontal="center" vertical="center"/>
      <protection locked="0"/>
    </xf>
    <xf numFmtId="2" fontId="0" fillId="0" borderId="24" xfId="0" applyNumberFormat="1" applyFont="1" applyBorder="1" applyAlignment="1" applyProtection="1">
      <alignment horizontal="center" vertical="center"/>
      <protection locked="0"/>
    </xf>
    <xf numFmtId="0" fontId="0" fillId="4" borderId="19" xfId="0" applyFont="1" applyFill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37" xfId="0" applyFont="1" applyBorder="1" applyAlignment="1" applyProtection="1">
      <alignment horizontal="center" vertical="center"/>
      <protection locked="0"/>
    </xf>
    <xf numFmtId="0" fontId="0" fillId="0" borderId="38" xfId="0" applyFont="1" applyBorder="1" applyAlignment="1" applyProtection="1">
      <alignment horizontal="center" vertical="center"/>
      <protection locked="0"/>
    </xf>
    <xf numFmtId="0" fontId="0" fillId="0" borderId="55" xfId="0" applyFont="1" applyBorder="1" applyAlignment="1" applyProtection="1">
      <alignment horizontal="center" vertical="center"/>
      <protection locked="0"/>
    </xf>
    <xf numFmtId="0" fontId="0" fillId="0" borderId="62" xfId="0" applyFont="1" applyBorder="1" applyAlignment="1" applyProtection="1">
      <alignment horizontal="center" vertical="center"/>
      <protection locked="0"/>
    </xf>
    <xf numFmtId="0" fontId="0" fillId="0" borderId="63" xfId="0" applyFont="1" applyBorder="1" applyAlignment="1" applyProtection="1">
      <alignment horizontal="center" vertical="center"/>
      <protection locked="0"/>
    </xf>
    <xf numFmtId="0" fontId="0" fillId="0" borderId="64" xfId="0" applyFont="1" applyBorder="1" applyAlignment="1" applyProtection="1">
      <alignment horizontal="center" vertical="center"/>
      <protection locked="0"/>
    </xf>
    <xf numFmtId="0" fontId="0" fillId="2" borderId="10" xfId="0" applyFont="1" applyFill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  <protection locked="0"/>
    </xf>
    <xf numFmtId="0" fontId="0" fillId="0" borderId="42" xfId="0" applyFont="1" applyBorder="1" applyAlignment="1" applyProtection="1">
      <alignment horizontal="center" vertical="center"/>
      <protection locked="0"/>
    </xf>
    <xf numFmtId="0" fontId="0" fillId="2" borderId="23" xfId="0" applyFont="1" applyFill="1" applyBorder="1" applyAlignment="1" applyProtection="1">
      <alignment horizontal="center" vertical="center"/>
      <protection locked="0"/>
    </xf>
    <xf numFmtId="0" fontId="0" fillId="0" borderId="60" xfId="0" applyFont="1" applyBorder="1" applyAlignment="1" applyProtection="1">
      <alignment horizontal="center" vertical="center"/>
      <protection locked="0"/>
    </xf>
    <xf numFmtId="0" fontId="0" fillId="15" borderId="0" xfId="0" applyFont="1" applyFill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61" xfId="0" applyFont="1" applyBorder="1" applyAlignment="1" applyProtection="1">
      <alignment horizontal="center" vertical="center"/>
      <protection locked="0"/>
    </xf>
    <xf numFmtId="0" fontId="0" fillId="0" borderId="58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 wrapText="1"/>
      <protection locked="0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0" xfId="0" applyFont="1" applyAlignment="1">
      <alignment horizontal="center" vertical="center"/>
    </xf>
    <xf numFmtId="2" fontId="0" fillId="15" borderId="0" xfId="0" applyNumberFormat="1" applyFont="1" applyFill="1" applyAlignment="1" applyProtection="1">
      <alignment horizontal="center" vertical="center"/>
      <protection locked="0"/>
    </xf>
    <xf numFmtId="1" fontId="0" fillId="8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</xf>
    <xf numFmtId="0" fontId="0" fillId="16" borderId="37" xfId="0" applyFont="1" applyFill="1" applyBorder="1" applyAlignment="1" applyProtection="1">
      <alignment horizontal="center" vertical="center"/>
      <protection locked="0"/>
    </xf>
    <xf numFmtId="0" fontId="0" fillId="16" borderId="38" xfId="0" applyFont="1" applyFill="1" applyBorder="1" applyAlignment="1" applyProtection="1">
      <alignment horizontal="center" vertical="center"/>
      <protection locked="0"/>
    </xf>
    <xf numFmtId="0" fontId="0" fillId="16" borderId="39" xfId="0" applyFont="1" applyFill="1" applyBorder="1" applyAlignment="1" applyProtection="1">
      <alignment horizontal="center" vertical="center"/>
      <protection locked="0"/>
    </xf>
    <xf numFmtId="0" fontId="0" fillId="16" borderId="17" xfId="0" applyFont="1" applyFill="1" applyBorder="1" applyAlignment="1" applyProtection="1">
      <alignment horizontal="center" vertical="center"/>
      <protection locked="0"/>
    </xf>
    <xf numFmtId="0" fontId="0" fillId="16" borderId="1" xfId="0" applyFont="1" applyFill="1" applyBorder="1" applyAlignment="1" applyProtection="1">
      <alignment horizontal="center" vertical="center"/>
      <protection locked="0"/>
    </xf>
    <xf numFmtId="0" fontId="0" fillId="16" borderId="0" xfId="0" applyFont="1" applyFill="1" applyBorder="1" applyAlignment="1">
      <alignment horizontal="center" vertical="center"/>
    </xf>
    <xf numFmtId="0" fontId="0" fillId="16" borderId="25" xfId="0" applyFont="1" applyFill="1" applyBorder="1" applyAlignment="1" applyProtection="1">
      <alignment horizontal="center" vertical="center"/>
      <protection locked="0"/>
    </xf>
    <xf numFmtId="0" fontId="0" fillId="16" borderId="24" xfId="0" applyFont="1" applyFill="1" applyBorder="1" applyAlignment="1" applyProtection="1">
      <alignment horizontal="center" vertical="center"/>
      <protection locked="0"/>
    </xf>
    <xf numFmtId="0" fontId="0" fillId="16" borderId="0" xfId="0" applyFont="1" applyFill="1" applyBorder="1" applyAlignment="1" applyProtection="1">
      <alignment horizontal="center" vertical="center"/>
      <protection locked="0"/>
    </xf>
    <xf numFmtId="1" fontId="0" fillId="16" borderId="1" xfId="0" applyNumberFormat="1" applyFont="1" applyFill="1" applyBorder="1" applyAlignment="1" applyProtection="1">
      <alignment horizontal="center" vertical="center"/>
      <protection locked="0"/>
    </xf>
    <xf numFmtId="2" fontId="0" fillId="13" borderId="0" xfId="0" applyNumberFormat="1" applyFont="1" applyFill="1" applyAlignment="1" applyProtection="1">
      <alignment horizontal="center" vertical="center"/>
      <protection locked="0"/>
    </xf>
    <xf numFmtId="0" fontId="0" fillId="0" borderId="56" xfId="0" applyFont="1" applyBorder="1" applyAlignment="1" applyProtection="1">
      <alignment horizontal="center" vertical="center"/>
      <protection locked="0"/>
    </xf>
    <xf numFmtId="0" fontId="0" fillId="5" borderId="63" xfId="0" applyFont="1" applyFill="1" applyBorder="1" applyAlignment="1" applyProtection="1">
      <alignment horizontal="center" vertical="center"/>
      <protection locked="0"/>
    </xf>
    <xf numFmtId="0" fontId="0" fillId="5" borderId="38" xfId="0" applyFont="1" applyFill="1" applyBorder="1" applyAlignment="1" applyProtection="1">
      <alignment horizontal="center" vertical="center"/>
      <protection locked="0"/>
    </xf>
    <xf numFmtId="0" fontId="0" fillId="5" borderId="64" xfId="0" applyFont="1" applyFill="1" applyBorder="1" applyAlignment="1" applyProtection="1">
      <alignment horizontal="center" vertical="center"/>
      <protection locked="0"/>
    </xf>
    <xf numFmtId="0" fontId="0" fillId="16" borderId="55" xfId="0" applyFont="1" applyFill="1" applyBorder="1" applyAlignment="1" applyProtection="1">
      <alignment horizontal="center" vertical="center"/>
      <protection locked="0"/>
    </xf>
    <xf numFmtId="0" fontId="0" fillId="16" borderId="4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16" borderId="60" xfId="0" applyFont="1" applyFill="1" applyBorder="1" applyAlignment="1" applyProtection="1">
      <alignment horizontal="center" vertical="center"/>
      <protection locked="0"/>
    </xf>
    <xf numFmtId="0" fontId="0" fillId="16" borderId="61" xfId="0" applyFont="1" applyFill="1" applyBorder="1" applyAlignment="1" applyProtection="1">
      <alignment horizontal="center" vertical="center"/>
      <protection locked="0"/>
    </xf>
    <xf numFmtId="0" fontId="0" fillId="16" borderId="57" xfId="0" applyFont="1" applyFill="1" applyBorder="1" applyAlignment="1" applyProtection="1">
      <alignment horizontal="center" vertical="center"/>
      <protection locked="0"/>
    </xf>
    <xf numFmtId="0" fontId="0" fillId="16" borderId="58" xfId="0" applyFont="1" applyFill="1" applyBorder="1" applyAlignment="1" applyProtection="1">
      <alignment horizontal="center" vertical="center"/>
      <protection locked="0"/>
    </xf>
    <xf numFmtId="0" fontId="0" fillId="0" borderId="21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31" xfId="0" applyFont="1" applyBorder="1" applyAlignment="1" applyProtection="1">
      <alignment horizontal="center" vertical="center"/>
      <protection locked="0"/>
    </xf>
    <xf numFmtId="0" fontId="4" fillId="5" borderId="11" xfId="0" applyFont="1" applyFill="1" applyBorder="1" applyAlignment="1" applyProtection="1">
      <alignment horizontal="center" vertical="center"/>
      <protection locked="0"/>
    </xf>
    <xf numFmtId="0" fontId="4" fillId="5" borderId="7" xfId="0" applyFont="1" applyFill="1" applyBorder="1" applyAlignment="1" applyProtection="1">
      <alignment horizontal="center" vertical="center"/>
    </xf>
    <xf numFmtId="2" fontId="0" fillId="0" borderId="3" xfId="0" applyNumberFormat="1" applyFont="1" applyBorder="1" applyAlignment="1" applyProtection="1">
      <alignment horizontal="center" vertical="center"/>
      <protection locked="0"/>
    </xf>
    <xf numFmtId="0" fontId="0" fillId="4" borderId="0" xfId="0" applyFont="1" applyFill="1" applyAlignment="1" applyProtection="1">
      <alignment horizontal="center" vertical="center"/>
      <protection locked="0"/>
    </xf>
    <xf numFmtId="1" fontId="0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9" fillId="0" borderId="0" xfId="0" applyFont="1"/>
    <xf numFmtId="0" fontId="9" fillId="0" borderId="0" xfId="0" applyFont="1" applyAlignment="1">
      <alignment horizontal="center"/>
    </xf>
    <xf numFmtId="1" fontId="9" fillId="5" borderId="0" xfId="0" applyNumberFormat="1" applyFont="1" applyFill="1" applyAlignment="1">
      <alignment horizontal="center"/>
    </xf>
    <xf numFmtId="0" fontId="9" fillId="20" borderId="0" xfId="0" applyFont="1" applyFill="1" applyAlignment="1">
      <alignment horizontal="center"/>
    </xf>
    <xf numFmtId="0" fontId="23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0" fontId="0" fillId="21" borderId="0" xfId="0" applyFont="1" applyFill="1" applyAlignment="1" applyProtection="1">
      <alignment horizontal="center" vertical="center"/>
      <protection locked="0"/>
    </xf>
    <xf numFmtId="1" fontId="0" fillId="2" borderId="0" xfId="0" applyNumberFormat="1" applyFill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  <protection locked="0"/>
    </xf>
    <xf numFmtId="1" fontId="0" fillId="3" borderId="5" xfId="0" applyNumberFormat="1" applyFill="1" applyBorder="1" applyAlignment="1" applyProtection="1">
      <alignment horizontal="center"/>
      <protection locked="0"/>
    </xf>
    <xf numFmtId="1" fontId="0" fillId="8" borderId="1" xfId="0" applyNumberFormat="1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1" fontId="0" fillId="3" borderId="1" xfId="0" applyNumberFormat="1" applyFont="1" applyFill="1" applyBorder="1" applyAlignment="1" applyProtection="1">
      <alignment horizontal="center"/>
      <protection locked="0"/>
    </xf>
    <xf numFmtId="0" fontId="0" fillId="4" borderId="1" xfId="0" applyFont="1" applyFill="1" applyBorder="1" applyAlignment="1" applyProtection="1">
      <alignment horizontal="center"/>
      <protection locked="0"/>
    </xf>
    <xf numFmtId="0" fontId="0" fillId="3" borderId="0" xfId="0" applyFill="1"/>
    <xf numFmtId="2" fontId="0" fillId="3" borderId="1" xfId="0" applyNumberFormat="1" applyFill="1" applyBorder="1" applyAlignment="1" applyProtection="1">
      <alignment horizontal="center"/>
      <protection locked="0"/>
    </xf>
    <xf numFmtId="2" fontId="0" fillId="0" borderId="1" xfId="0" applyNumberFormat="1" applyBorder="1"/>
    <xf numFmtId="164" fontId="0" fillId="0" borderId="1" xfId="0" applyNumberFormat="1" applyBorder="1"/>
    <xf numFmtId="1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2" fontId="9" fillId="8" borderId="1" xfId="0" applyNumberFormat="1" applyFont="1" applyFill="1" applyBorder="1" applyAlignment="1">
      <alignment horizontal="center"/>
    </xf>
    <xf numFmtId="0" fontId="0" fillId="0" borderId="30" xfId="0" applyBorder="1"/>
    <xf numFmtId="0" fontId="0" fillId="7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/>
    <xf numFmtId="0" fontId="0" fillId="0" borderId="0" xfId="0" applyFont="1" applyAlignment="1" applyProtection="1">
      <protection locked="0"/>
    </xf>
    <xf numFmtId="0" fontId="23" fillId="0" borderId="0" xfId="0" applyFont="1" applyAlignment="1" applyProtection="1">
      <alignment horizontal="center" vertical="center"/>
      <protection locked="0"/>
    </xf>
    <xf numFmtId="2" fontId="24" fillId="4" borderId="1" xfId="0" applyNumberFormat="1" applyFont="1" applyFill="1" applyBorder="1" applyAlignment="1">
      <alignment horizontal="center" vertical="center"/>
    </xf>
    <xf numFmtId="2" fontId="24" fillId="0" borderId="1" xfId="0" applyNumberFormat="1" applyFont="1" applyFill="1" applyBorder="1" applyAlignment="1">
      <alignment horizontal="center" vertical="center"/>
    </xf>
    <xf numFmtId="1" fontId="24" fillId="0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2" fontId="26" fillId="0" borderId="1" xfId="0" applyNumberFormat="1" applyFont="1" applyFill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3" xfId="0" applyBorder="1" applyProtection="1">
      <protection locked="0"/>
    </xf>
    <xf numFmtId="0" fontId="0" fillId="15" borderId="20" xfId="0" applyFill="1" applyBorder="1" applyProtection="1">
      <protection locked="0"/>
    </xf>
    <xf numFmtId="0" fontId="0" fillId="15" borderId="18" xfId="0" applyFill="1" applyBorder="1" applyProtection="1">
      <protection locked="0"/>
    </xf>
    <xf numFmtId="0" fontId="0" fillId="15" borderId="0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15" borderId="25" xfId="0" applyFill="1" applyBorder="1" applyProtection="1">
      <protection locked="0"/>
    </xf>
    <xf numFmtId="0" fontId="0" fillId="0" borderId="21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30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1" fontId="25" fillId="0" borderId="67" xfId="0" applyNumberFormat="1" applyFont="1" applyFill="1" applyBorder="1" applyAlignment="1" applyProtection="1">
      <alignment horizontal="center" vertical="center"/>
      <protection locked="0"/>
    </xf>
    <xf numFmtId="2" fontId="24" fillId="0" borderId="67" xfId="0" applyNumberFormat="1" applyFont="1" applyFill="1" applyBorder="1" applyAlignment="1"/>
    <xf numFmtId="2" fontId="25" fillId="0" borderId="66" xfId="0" applyNumberFormat="1" applyFont="1" applyFill="1" applyBorder="1" applyAlignment="1">
      <alignment horizontal="left"/>
    </xf>
    <xf numFmtId="1" fontId="25" fillId="0" borderId="0" xfId="0" applyNumberFormat="1" applyFont="1" applyFill="1" applyBorder="1" applyAlignment="1" applyProtection="1">
      <alignment horizontal="center" vertical="center"/>
      <protection locked="0"/>
    </xf>
    <xf numFmtId="2" fontId="24" fillId="0" borderId="0" xfId="0" applyNumberFormat="1" applyFont="1" applyFill="1" applyBorder="1" applyAlignment="1">
      <alignment horizontal="centerContinuous"/>
    </xf>
    <xf numFmtId="2" fontId="25" fillId="0" borderId="0" xfId="0" applyNumberFormat="1" applyFont="1" applyFill="1" applyBorder="1" applyAlignment="1">
      <alignment horizontal="left"/>
    </xf>
    <xf numFmtId="166" fontId="24" fillId="0" borderId="0" xfId="0" applyNumberFormat="1" applyFont="1" applyFill="1" applyBorder="1" applyAlignment="1">
      <alignment horizontal="center" vertical="center"/>
    </xf>
    <xf numFmtId="2" fontId="25" fillId="0" borderId="0" xfId="0" applyNumberFormat="1" applyFont="1" applyFill="1" applyBorder="1" applyAlignment="1">
      <alignment horizontal="center"/>
    </xf>
    <xf numFmtId="2" fontId="24" fillId="0" borderId="0" xfId="0" applyNumberFormat="1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horizontal="left"/>
    </xf>
    <xf numFmtId="2" fontId="24" fillId="0" borderId="0" xfId="0" applyNumberFormat="1" applyFont="1" applyFill="1" applyBorder="1"/>
    <xf numFmtId="0" fontId="23" fillId="0" borderId="0" xfId="0" applyFont="1" applyBorder="1" applyAlignment="1" applyProtection="1">
      <alignment horizontal="center" vertical="center"/>
      <protection locked="0"/>
    </xf>
    <xf numFmtId="164" fontId="24" fillId="0" borderId="0" xfId="0" applyNumberFormat="1" applyFont="1" applyFill="1" applyBorder="1" applyAlignment="1">
      <alignment horizontal="center" vertical="center"/>
    </xf>
    <xf numFmtId="2" fontId="25" fillId="0" borderId="0" xfId="0" applyNumberFormat="1" applyFont="1" applyFill="1" applyBorder="1" applyAlignment="1" applyProtection="1">
      <alignment horizontal="center" vertical="center"/>
      <protection locked="0"/>
    </xf>
    <xf numFmtId="2" fontId="24" fillId="0" borderId="67" xfId="0" applyNumberFormat="1" applyFont="1" applyFill="1" applyBorder="1" applyAlignment="1">
      <alignment horizontal="center" vertical="center"/>
    </xf>
    <xf numFmtId="2" fontId="26" fillId="0" borderId="0" xfId="0" applyNumberFormat="1" applyFont="1" applyFill="1" applyBorder="1" applyAlignment="1">
      <alignment horizontal="center" vertical="center"/>
    </xf>
    <xf numFmtId="2" fontId="24" fillId="0" borderId="68" xfId="0" applyNumberFormat="1" applyFont="1" applyFill="1" applyBorder="1" applyAlignment="1">
      <alignment horizontal="center" vertical="center"/>
    </xf>
    <xf numFmtId="1" fontId="24" fillId="0" borderId="67" xfId="0" applyNumberFormat="1" applyFont="1" applyFill="1" applyBorder="1" applyAlignment="1">
      <alignment horizontal="center" vertical="center"/>
    </xf>
    <xf numFmtId="164" fontId="24" fillId="0" borderId="1" xfId="0" applyNumberFormat="1" applyFont="1" applyFill="1" applyBorder="1" applyAlignment="1">
      <alignment horizontal="center" vertical="center"/>
    </xf>
    <xf numFmtId="164" fontId="25" fillId="0" borderId="66" xfId="0" applyNumberFormat="1" applyFont="1" applyFill="1" applyBorder="1" applyAlignment="1" applyProtection="1">
      <alignment horizontal="center" vertical="center"/>
      <protection locked="0"/>
    </xf>
    <xf numFmtId="2" fontId="24" fillId="0" borderId="66" xfId="0" applyNumberFormat="1" applyFont="1" applyFill="1" applyBorder="1" applyAlignment="1">
      <alignment horizontal="center" vertical="center"/>
    </xf>
    <xf numFmtId="2" fontId="27" fillId="0" borderId="0" xfId="0" applyNumberFormat="1" applyFont="1" applyFill="1" applyBorder="1" applyAlignment="1">
      <alignment horizontal="center" vertical="center"/>
    </xf>
    <xf numFmtId="167" fontId="25" fillId="0" borderId="1" xfId="0" applyNumberFormat="1" applyFont="1" applyFill="1" applyBorder="1" applyAlignment="1" applyProtection="1">
      <alignment horizontal="center" vertical="center"/>
      <protection locked="0"/>
    </xf>
    <xf numFmtId="2" fontId="25" fillId="0" borderId="1" xfId="0" applyNumberFormat="1" applyFont="1" applyFill="1" applyBorder="1" applyAlignment="1" applyProtection="1">
      <alignment horizontal="center" vertical="center"/>
      <protection locked="0"/>
    </xf>
    <xf numFmtId="168" fontId="28" fillId="0" borderId="1" xfId="0" applyNumberFormat="1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10" xfId="0" applyFont="1" applyFill="1" applyBorder="1"/>
    <xf numFmtId="2" fontId="16" fillId="2" borderId="3" xfId="0" applyNumberFormat="1" applyFont="1" applyFill="1" applyBorder="1" applyAlignment="1">
      <alignment horizontal="center" vertical="center"/>
    </xf>
    <xf numFmtId="2" fontId="0" fillId="2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quotePrefix="1" applyFont="1" applyAlignment="1" applyProtection="1">
      <alignment horizontal="center" vertical="center"/>
      <protection locked="0"/>
    </xf>
    <xf numFmtId="0" fontId="0" fillId="0" borderId="30" xfId="0" applyFont="1" applyBorder="1" applyAlignment="1" applyProtection="1">
      <alignment horizontal="center" vertical="center"/>
      <protection locked="0"/>
    </xf>
    <xf numFmtId="0" fontId="0" fillId="0" borderId="46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0" fontId="0" fillId="4" borderId="30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right" vertical="center"/>
      <protection locked="0"/>
    </xf>
    <xf numFmtId="0" fontId="9" fillId="0" borderId="1" xfId="0" applyFont="1" applyFill="1" applyBorder="1" applyAlignment="1">
      <alignment horizontal="center"/>
    </xf>
    <xf numFmtId="165" fontId="9" fillId="0" borderId="1" xfId="0" applyNumberFormat="1" applyFont="1" applyFill="1" applyBorder="1" applyAlignment="1">
      <alignment horizontal="center"/>
    </xf>
    <xf numFmtId="1" fontId="9" fillId="0" borderId="1" xfId="0" applyNumberFormat="1" applyFon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/>
    </xf>
    <xf numFmtId="1" fontId="9" fillId="10" borderId="30" xfId="0" applyNumberFormat="1" applyFont="1" applyFill="1" applyBorder="1" applyAlignment="1" applyProtection="1">
      <alignment vertical="center"/>
      <protection hidden="1"/>
    </xf>
    <xf numFmtId="0" fontId="0" fillId="0" borderId="30" xfId="0" applyBorder="1" applyAlignment="1" applyProtection="1">
      <alignment horizontal="center"/>
      <protection locked="0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164" fontId="9" fillId="0" borderId="30" xfId="0" applyNumberFormat="1" applyFont="1" applyBorder="1" applyAlignment="1" applyProtection="1">
      <alignment horizontal="center" vertical="center"/>
      <protection hidden="1"/>
    </xf>
    <xf numFmtId="164" fontId="9" fillId="0" borderId="30" xfId="0" applyNumberFormat="1" applyFont="1" applyFill="1" applyBorder="1" applyAlignment="1" applyProtection="1">
      <alignment horizontal="center" vertical="center"/>
      <protection hidden="1"/>
    </xf>
    <xf numFmtId="164" fontId="9" fillId="0" borderId="43" xfId="0" applyNumberFormat="1" applyFont="1" applyBorder="1" applyAlignment="1" applyProtection="1">
      <alignment horizontal="center" vertical="center"/>
      <protection hidden="1"/>
    </xf>
    <xf numFmtId="164" fontId="9" fillId="0" borderId="43" xfId="0" applyNumberFormat="1" applyFont="1" applyFill="1" applyBorder="1" applyAlignment="1" applyProtection="1">
      <alignment horizontal="center" vertical="center"/>
      <protection hidden="1"/>
    </xf>
    <xf numFmtId="164" fontId="9" fillId="0" borderId="44" xfId="0" applyNumberFormat="1" applyFont="1" applyBorder="1" applyAlignment="1" applyProtection="1">
      <alignment horizontal="center" vertical="center"/>
      <protection hidden="1"/>
    </xf>
    <xf numFmtId="164" fontId="9" fillId="0" borderId="44" xfId="0" applyNumberFormat="1" applyFont="1" applyFill="1" applyBorder="1" applyAlignment="1" applyProtection="1">
      <alignment horizontal="center" vertical="center"/>
      <protection hidden="1"/>
    </xf>
    <xf numFmtId="164" fontId="9" fillId="0" borderId="30" xfId="1" applyNumberFormat="1" applyFont="1" applyFill="1" applyBorder="1" applyAlignment="1" applyProtection="1">
      <alignment horizontal="center" vertical="center" wrapText="1"/>
      <protection hidden="1"/>
    </xf>
    <xf numFmtId="164" fontId="9" fillId="9" borderId="30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59" xfId="0" applyFont="1" applyBorder="1" applyAlignment="1" applyProtection="1">
      <alignment horizontal="center" vertical="center"/>
      <protection locked="0"/>
    </xf>
    <xf numFmtId="0" fontId="23" fillId="0" borderId="10" xfId="0" applyFont="1" applyFill="1" applyBorder="1" applyAlignment="1" applyProtection="1">
      <alignment horizontal="center" vertical="center"/>
      <protection locked="0"/>
    </xf>
    <xf numFmtId="0" fontId="0" fillId="0" borderId="65" xfId="0" applyFont="1" applyBorder="1" applyAlignment="1" applyProtection="1">
      <alignment horizontal="center" vertical="center"/>
      <protection locked="0"/>
    </xf>
    <xf numFmtId="2" fontId="0" fillId="2" borderId="19" xfId="0" applyNumberFormat="1" applyFont="1" applyFill="1" applyBorder="1" applyAlignment="1" applyProtection="1">
      <alignment horizontal="center" vertical="center"/>
      <protection locked="0"/>
    </xf>
    <xf numFmtId="0" fontId="29" fillId="5" borderId="0" xfId="0" applyFont="1" applyFill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0" fillId="4" borderId="69" xfId="0" applyFont="1" applyFill="1" applyBorder="1" applyAlignment="1" applyProtection="1">
      <alignment horizontal="center" vertical="center"/>
      <protection locked="0"/>
    </xf>
    <xf numFmtId="0" fontId="0" fillId="0" borderId="70" xfId="0" applyFont="1" applyBorder="1" applyAlignment="1" applyProtection="1">
      <alignment horizontal="center" vertical="center"/>
      <protection locked="0"/>
    </xf>
    <xf numFmtId="0" fontId="0" fillId="0" borderId="71" xfId="0" applyFont="1" applyBorder="1" applyAlignment="1" applyProtection="1">
      <alignment horizontal="center" vertical="center"/>
      <protection locked="0"/>
    </xf>
    <xf numFmtId="0" fontId="4" fillId="20" borderId="65" xfId="0" applyFont="1" applyFill="1" applyBorder="1" applyAlignment="1" applyProtection="1">
      <alignment horizontal="center" vertical="center"/>
      <protection locked="0"/>
    </xf>
    <xf numFmtId="0" fontId="5" fillId="0" borderId="72" xfId="0" applyNumberFormat="1" applyFont="1" applyFill="1" applyBorder="1" applyAlignment="1" applyProtection="1">
      <alignment horizontal="center"/>
      <protection locked="0"/>
    </xf>
    <xf numFmtId="0" fontId="5" fillId="0" borderId="73" xfId="0" applyNumberFormat="1" applyFont="1" applyFill="1" applyBorder="1" applyAlignment="1" applyProtection="1">
      <alignment horizontal="center"/>
      <protection locked="0"/>
    </xf>
    <xf numFmtId="0" fontId="5" fillId="0" borderId="74" xfId="0" applyNumberFormat="1" applyFont="1" applyFill="1" applyBorder="1" applyAlignment="1" applyProtection="1">
      <alignment horizontal="center"/>
      <protection locked="0"/>
    </xf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3" xfId="0" applyBorder="1"/>
    <xf numFmtId="0" fontId="2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/>
    </xf>
    <xf numFmtId="0" fontId="0" fillId="8" borderId="0" xfId="0" applyFont="1" applyFill="1" applyAlignment="1" applyProtection="1">
      <alignment horizontal="center" vertical="center"/>
      <protection locked="0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0" fontId="4" fillId="19" borderId="1" xfId="0" applyFont="1" applyFill="1" applyBorder="1" applyAlignment="1" applyProtection="1">
      <alignment horizontal="center" vertical="center" wrapText="1"/>
      <protection locked="0"/>
    </xf>
    <xf numFmtId="0" fontId="4" fillId="19" borderId="24" xfId="0" applyFont="1" applyFill="1" applyBorder="1" applyAlignment="1" applyProtection="1">
      <alignment horizontal="center" vertical="center"/>
      <protection locked="0"/>
    </xf>
    <xf numFmtId="0" fontId="30" fillId="4" borderId="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5" fillId="0" borderId="43" xfId="0" applyNumberFormat="1" applyFont="1" applyFill="1" applyBorder="1" applyAlignment="1" applyProtection="1">
      <protection locked="0"/>
    </xf>
    <xf numFmtId="0" fontId="5" fillId="0" borderId="30" xfId="0" applyNumberFormat="1" applyFont="1" applyFill="1" applyBorder="1" applyAlignment="1" applyProtection="1">
      <protection locked="0"/>
    </xf>
    <xf numFmtId="2" fontId="9" fillId="9" borderId="44" xfId="1" applyNumberFormat="1" applyFont="1" applyFill="1" applyBorder="1" applyAlignment="1" applyProtection="1">
      <alignment horizontal="right" vertical="center"/>
      <protection locked="0"/>
    </xf>
    <xf numFmtId="0" fontId="4" fillId="11" borderId="0" xfId="0" applyFont="1" applyFill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/>
      <protection locked="0"/>
    </xf>
    <xf numFmtId="2" fontId="0" fillId="0" borderId="0" xfId="0" applyNumberFormat="1" applyFont="1" applyBorder="1" applyAlignment="1" applyProtection="1">
      <alignment horizontal="center" vertical="center"/>
      <protection locked="0"/>
    </xf>
    <xf numFmtId="2" fontId="0" fillId="0" borderId="39" xfId="0" applyNumberFormat="1" applyFont="1" applyBorder="1" applyAlignment="1" applyProtection="1">
      <alignment horizontal="center" vertical="center"/>
      <protection locked="0"/>
    </xf>
    <xf numFmtId="0" fontId="0" fillId="5" borderId="39" xfId="0" applyFont="1" applyFill="1" applyBorder="1" applyAlignment="1" applyProtection="1">
      <alignment horizontal="center" vertical="center"/>
      <protection locked="0"/>
    </xf>
    <xf numFmtId="0" fontId="0" fillId="4" borderId="37" xfId="0" applyFont="1" applyFill="1" applyBorder="1" applyAlignment="1" applyProtection="1">
      <alignment horizontal="center" vertical="center"/>
      <protection locked="0"/>
    </xf>
    <xf numFmtId="0" fontId="22" fillId="22" borderId="0" xfId="0" applyFont="1" applyFill="1" applyAlignment="1" applyProtection="1">
      <alignment horizontal="center" vertical="center"/>
      <protection locked="0"/>
    </xf>
    <xf numFmtId="0" fontId="18" fillId="5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/>
      <protection locked="0"/>
    </xf>
    <xf numFmtId="0" fontId="0" fillId="0" borderId="78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79" xfId="0" applyBorder="1" applyAlignment="1" applyProtection="1">
      <alignment horizontal="center"/>
      <protection locked="0"/>
    </xf>
    <xf numFmtId="0" fontId="0" fillId="0" borderId="80" xfId="0" applyBorder="1" applyProtection="1">
      <protection locked="0"/>
    </xf>
    <xf numFmtId="0" fontId="0" fillId="0" borderId="41" xfId="0" applyBorder="1" applyAlignment="1" applyProtection="1">
      <alignment horizontal="center"/>
      <protection locked="0"/>
    </xf>
    <xf numFmtId="0" fontId="0" fillId="0" borderId="80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4" borderId="1" xfId="0" applyFill="1" applyBorder="1" applyProtection="1">
      <protection locked="0"/>
    </xf>
    <xf numFmtId="165" fontId="0" fillId="0" borderId="1" xfId="0" applyNumberFormat="1" applyBorder="1"/>
    <xf numFmtId="166" fontId="0" fillId="0" borderId="1" xfId="0" applyNumberFormat="1" applyBorder="1"/>
    <xf numFmtId="2" fontId="16" fillId="0" borderId="1" xfId="0" applyNumberFormat="1" applyFont="1" applyBorder="1"/>
    <xf numFmtId="2" fontId="16" fillId="0" borderId="1" xfId="0" applyNumberFormat="1" applyFont="1" applyFill="1" applyBorder="1"/>
    <xf numFmtId="0" fontId="16" fillId="0" borderId="18" xfId="0" applyFont="1" applyFill="1" applyBorder="1"/>
    <xf numFmtId="0" fontId="0" fillId="0" borderId="24" xfId="0" applyBorder="1"/>
    <xf numFmtId="2" fontId="4" fillId="5" borderId="0" xfId="0" applyNumberFormat="1" applyFont="1" applyFill="1" applyAlignment="1" applyProtection="1">
      <alignment horizontal="center" vertical="center"/>
      <protection locked="0"/>
    </xf>
    <xf numFmtId="0" fontId="16" fillId="4" borderId="0" xfId="0" applyFont="1" applyFill="1" applyBorder="1" applyAlignment="1" applyProtection="1">
      <alignment horizontal="center"/>
      <protection locked="0"/>
    </xf>
    <xf numFmtId="0" fontId="0" fillId="4" borderId="0" xfId="0" applyFill="1"/>
    <xf numFmtId="1" fontId="0" fillId="0" borderId="1" xfId="0" applyNumberFormat="1" applyBorder="1" applyAlignment="1" applyProtection="1">
      <alignment horizontal="center"/>
      <protection locked="0"/>
    </xf>
    <xf numFmtId="2" fontId="0" fillId="0" borderId="0" xfId="0" applyNumberFormat="1"/>
    <xf numFmtId="0" fontId="0" fillId="4" borderId="62" xfId="0" applyFont="1" applyFill="1" applyBorder="1" applyAlignment="1" applyProtection="1">
      <alignment horizontal="center" vertical="center"/>
      <protection locked="0"/>
    </xf>
    <xf numFmtId="0" fontId="5" fillId="0" borderId="54" xfId="0" applyNumberFormat="1" applyFont="1" applyFill="1" applyBorder="1" applyAlignment="1" applyProtection="1">
      <protection locked="0"/>
    </xf>
    <xf numFmtId="0" fontId="5" fillId="0" borderId="44" xfId="0" applyNumberFormat="1" applyFont="1" applyFill="1" applyBorder="1" applyAlignment="1" applyProtection="1">
      <protection locked="0"/>
    </xf>
    <xf numFmtId="0" fontId="5" fillId="0" borderId="1" xfId="0" applyNumberFormat="1" applyFont="1" applyFill="1" applyBorder="1" applyAlignment="1" applyProtection="1">
      <protection locked="0"/>
    </xf>
    <xf numFmtId="0" fontId="5" fillId="0" borderId="10" xfId="0" applyNumberFormat="1" applyFont="1" applyFill="1" applyBorder="1" applyAlignment="1" applyProtection="1">
      <protection locked="0"/>
    </xf>
    <xf numFmtId="0" fontId="5" fillId="0" borderId="83" xfId="0" applyNumberFormat="1" applyFont="1" applyFill="1" applyBorder="1" applyAlignment="1" applyProtection="1">
      <alignment horizontal="center"/>
      <protection locked="0"/>
    </xf>
    <xf numFmtId="0" fontId="5" fillId="0" borderId="45" xfId="0" applyNumberFormat="1" applyFont="1" applyFill="1" applyBorder="1" applyAlignment="1" applyProtection="1">
      <alignment horizontal="center"/>
      <protection locked="0"/>
    </xf>
    <xf numFmtId="0" fontId="5" fillId="0" borderId="83" xfId="0" applyNumberFormat="1" applyFont="1" applyFill="1" applyBorder="1" applyAlignment="1" applyProtection="1">
      <alignment horizontal="center" vertical="center"/>
      <protection locked="0"/>
    </xf>
    <xf numFmtId="0" fontId="5" fillId="0" borderId="45" xfId="0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 applyFont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15" borderId="0" xfId="0" applyFont="1" applyFill="1" applyBorder="1" applyAlignment="1" applyProtection="1">
      <alignment horizontal="center" vertical="center"/>
      <protection locked="0"/>
    </xf>
    <xf numFmtId="0" fontId="4" fillId="11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0" fillId="3" borderId="24" xfId="0" applyFont="1" applyFill="1" applyBorder="1" applyAlignment="1" applyProtection="1">
      <alignment horizontal="center" vertical="center"/>
      <protection locked="0"/>
    </xf>
    <xf numFmtId="0" fontId="4" fillId="20" borderId="3" xfId="0" applyNumberFormat="1" applyFont="1" applyFill="1" applyBorder="1" applyAlignment="1">
      <alignment horizontal="center" vertical="center"/>
    </xf>
    <xf numFmtId="0" fontId="0" fillId="2" borderId="27" xfId="0" applyFont="1" applyFill="1" applyBorder="1" applyAlignment="1" applyProtection="1">
      <alignment horizontal="center" vertical="center"/>
      <protection locked="0"/>
    </xf>
    <xf numFmtId="49" fontId="4" fillId="20" borderId="1" xfId="0" applyNumberFormat="1" applyFont="1" applyFill="1" applyBorder="1" applyAlignment="1" applyProtection="1">
      <alignment horizontal="center" vertical="center"/>
      <protection locked="0"/>
    </xf>
    <xf numFmtId="169" fontId="4" fillId="5" borderId="0" xfId="0" applyNumberFormat="1" applyFont="1" applyFill="1" applyAlignment="1" applyProtection="1">
      <alignment horizontal="center" vertical="center"/>
      <protection locked="0"/>
    </xf>
    <xf numFmtId="16" fontId="0" fillId="3" borderId="0" xfId="0" applyNumberFormat="1" applyFont="1" applyFill="1" applyAlignment="1" applyProtection="1">
      <alignment horizontal="center" vertical="center"/>
      <protection locked="0"/>
    </xf>
    <xf numFmtId="0" fontId="0" fillId="3" borderId="0" xfId="0" applyFont="1" applyFill="1" applyBorder="1" applyAlignment="1" applyProtection="1">
      <alignment horizontal="center" vertical="center"/>
      <protection locked="0"/>
    </xf>
    <xf numFmtId="0" fontId="4" fillId="11" borderId="3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4" fillId="11" borderId="10" xfId="0" applyFont="1" applyFill="1" applyBorder="1" applyAlignment="1" applyProtection="1">
      <alignment horizontal="center" vertical="center"/>
      <protection locked="0"/>
    </xf>
    <xf numFmtId="2" fontId="4" fillId="11" borderId="2" xfId="0" applyNumberFormat="1" applyFont="1" applyFill="1" applyBorder="1" applyAlignment="1" applyProtection="1">
      <alignment horizontal="center" vertical="center"/>
      <protection locked="0"/>
    </xf>
    <xf numFmtId="2" fontId="4" fillId="11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37" xfId="0" applyNumberFormat="1" applyFont="1" applyBorder="1" applyAlignment="1" applyProtection="1">
      <alignment horizontal="center" vertical="center"/>
      <protection locked="0"/>
    </xf>
    <xf numFmtId="2" fontId="0" fillId="0" borderId="42" xfId="0" applyNumberFormat="1" applyFont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2" fontId="4" fillId="11" borderId="10" xfId="0" applyNumberFormat="1" applyFont="1" applyFill="1" applyBorder="1" applyAlignment="1" applyProtection="1">
      <alignment horizontal="center" vertical="center"/>
      <protection locked="0"/>
    </xf>
    <xf numFmtId="169" fontId="0" fillId="0" borderId="0" xfId="0" applyNumberFormat="1" applyFont="1" applyAlignment="1" applyProtection="1">
      <alignment horizontal="center" vertical="center"/>
      <protection locked="0"/>
    </xf>
    <xf numFmtId="166" fontId="0" fillId="0" borderId="42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Font="1" applyBorder="1" applyAlignment="1" applyProtection="1">
      <alignment horizontal="center" vertical="center"/>
      <protection locked="0"/>
    </xf>
    <xf numFmtId="2" fontId="9" fillId="0" borderId="44" xfId="1" applyNumberFormat="1" applyFont="1" applyFill="1" applyBorder="1" applyAlignment="1" applyProtection="1">
      <alignment horizontal="right" vertical="center"/>
      <protection hidden="1"/>
    </xf>
    <xf numFmtId="2" fontId="9" fillId="9" borderId="0" xfId="1" applyNumberFormat="1" applyFont="1" applyFill="1" applyBorder="1" applyAlignment="1" applyProtection="1">
      <alignment horizontal="right" vertical="center"/>
      <protection locked="0"/>
    </xf>
    <xf numFmtId="0" fontId="0" fillId="0" borderId="0" xfId="0"/>
    <xf numFmtId="0" fontId="5" fillId="0" borderId="100" xfId="0" applyNumberFormat="1" applyFont="1" applyFill="1" applyBorder="1" applyAlignment="1" applyProtection="1">
      <alignment horizontal="center"/>
      <protection locked="0"/>
    </xf>
    <xf numFmtId="0" fontId="5" fillId="0" borderId="101" xfId="0" applyNumberFormat="1" applyFont="1" applyFill="1" applyBorder="1" applyAlignment="1" applyProtection="1">
      <alignment horizontal="center"/>
      <protection locked="0"/>
    </xf>
    <xf numFmtId="0" fontId="5" fillId="0" borderId="102" xfId="0" applyNumberFormat="1" applyFont="1" applyFill="1" applyBorder="1" applyAlignment="1" applyProtection="1">
      <alignment horizontal="center"/>
      <protection locked="0"/>
    </xf>
    <xf numFmtId="0" fontId="5" fillId="8" borderId="54" xfId="0" applyNumberFormat="1" applyFont="1" applyFill="1" applyBorder="1" applyAlignment="1" applyProtection="1">
      <alignment horizontal="center"/>
      <protection locked="0"/>
    </xf>
    <xf numFmtId="0" fontId="5" fillId="8" borderId="43" xfId="0" applyNumberFormat="1" applyFont="1" applyFill="1" applyBorder="1" applyAlignment="1" applyProtection="1">
      <alignment horizontal="center"/>
      <protection locked="0"/>
    </xf>
    <xf numFmtId="0" fontId="0" fillId="8" borderId="42" xfId="0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>
      <alignment horizontal="center" vertical="center"/>
    </xf>
    <xf numFmtId="0" fontId="33" fillId="0" borderId="0" xfId="0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9" xfId="0" applyBorder="1" applyAlignment="1">
      <alignment horizontal="center" vertical="center"/>
    </xf>
    <xf numFmtId="0" fontId="0" fillId="0" borderId="44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105" xfId="0" applyFont="1" applyBorder="1" applyAlignment="1" applyProtection="1">
      <alignment horizontal="center"/>
      <protection locked="0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9" xfId="0" applyFont="1" applyBorder="1" applyAlignment="1" applyProtection="1">
      <alignment horizontal="center"/>
      <protection locked="0"/>
    </xf>
    <xf numFmtId="0" fontId="0" fillId="0" borderId="110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111" xfId="0" applyBorder="1" applyAlignment="1">
      <alignment horizontal="center" vertical="center"/>
    </xf>
    <xf numFmtId="0" fontId="0" fillId="0" borderId="112" xfId="0" applyBorder="1" applyAlignment="1">
      <alignment horizontal="center"/>
    </xf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15" borderId="2" xfId="0" applyFont="1" applyFill="1" applyBorder="1" applyAlignment="1" applyProtection="1">
      <alignment horizontal="center" vertical="center"/>
      <protection locked="0"/>
    </xf>
    <xf numFmtId="1" fontId="5" fillId="0" borderId="44" xfId="0" applyNumberFormat="1" applyFont="1" applyFill="1" applyBorder="1" applyAlignment="1" applyProtection="1">
      <alignment horizontal="center"/>
      <protection locked="0"/>
    </xf>
    <xf numFmtId="0" fontId="0" fillId="22" borderId="1" xfId="0" applyFont="1" applyFill="1" applyBorder="1" applyAlignment="1" applyProtection="1">
      <alignment horizontal="center" vertical="center"/>
      <protection locked="0"/>
    </xf>
    <xf numFmtId="2" fontId="24" fillId="22" borderId="1" xfId="0" applyNumberFormat="1" applyFont="1" applyFill="1" applyBorder="1" applyAlignment="1">
      <alignment horizontal="center" vertical="center"/>
    </xf>
    <xf numFmtId="2" fontId="24" fillId="22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center"/>
    </xf>
    <xf numFmtId="0" fontId="6" fillId="0" borderId="65" xfId="0" applyFont="1" applyBorder="1" applyAlignment="1" applyProtection="1">
      <alignment horizontal="center" vertical="center"/>
      <protection locked="0"/>
    </xf>
    <xf numFmtId="0" fontId="0" fillId="6" borderId="30" xfId="0" applyFill="1" applyBorder="1" applyAlignment="1">
      <alignment horizontal="center"/>
    </xf>
    <xf numFmtId="0" fontId="6" fillId="4" borderId="55" xfId="0" applyFont="1" applyFill="1" applyBorder="1" applyAlignment="1" applyProtection="1">
      <alignment horizontal="center" vertical="center"/>
      <protection locked="0"/>
    </xf>
    <xf numFmtId="0" fontId="6" fillId="4" borderId="120" xfId="0" applyFont="1" applyFill="1" applyBorder="1" applyAlignment="1" applyProtection="1">
      <alignment horizontal="center" vertical="center"/>
      <protection locked="0"/>
    </xf>
    <xf numFmtId="0" fontId="0" fillId="0" borderId="22" xfId="0" applyFont="1" applyBorder="1" applyAlignment="1" applyProtection="1">
      <alignment horizontal="center" vertical="center"/>
      <protection locked="0"/>
    </xf>
    <xf numFmtId="1" fontId="5" fillId="0" borderId="2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1" xfId="0" applyFont="1" applyBorder="1" applyAlignment="1" applyProtection="1">
      <alignment horizontal="center" vertical="center"/>
      <protection locked="0"/>
    </xf>
    <xf numFmtId="0" fontId="23" fillId="23" borderId="0" xfId="0" applyFont="1" applyFill="1" applyAlignment="1" applyProtection="1">
      <alignment horizontal="center" vertical="center"/>
      <protection locked="0"/>
    </xf>
    <xf numFmtId="2" fontId="23" fillId="23" borderId="0" xfId="0" applyNumberFormat="1" applyFont="1" applyFill="1" applyAlignment="1" applyProtection="1">
      <alignment horizontal="center" vertical="center"/>
      <protection locked="0"/>
    </xf>
    <xf numFmtId="0" fontId="0" fillId="23" borderId="0" xfId="0" applyFont="1" applyFill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0" fillId="2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34" fillId="0" borderId="0" xfId="0" applyFont="1"/>
    <xf numFmtId="1" fontId="35" fillId="24" borderId="90" xfId="5" applyNumberFormat="1" applyFont="1" applyFill="1" applyBorder="1" applyAlignment="1">
      <alignment horizontal="center" vertical="center"/>
    </xf>
    <xf numFmtId="1" fontId="5" fillId="0" borderId="20" xfId="0" applyNumberFormat="1" applyFont="1" applyFill="1" applyBorder="1" applyAlignment="1" applyProtection="1">
      <alignment horizontal="center"/>
      <protection locked="0"/>
    </xf>
    <xf numFmtId="0" fontId="5" fillId="0" borderId="122" xfId="0" applyNumberFormat="1" applyFont="1" applyFill="1" applyBorder="1" applyAlignment="1" applyProtection="1">
      <alignment horizontal="center"/>
      <protection locked="0"/>
    </xf>
    <xf numFmtId="1" fontId="5" fillId="0" borderId="10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 applyFont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top"/>
      <protection locked="0"/>
    </xf>
    <xf numFmtId="0" fontId="16" fillId="0" borderId="0" xfId="0" applyFont="1"/>
    <xf numFmtId="0" fontId="36" fillId="8" borderId="93" xfId="5" applyFont="1" applyFill="1" applyBorder="1" applyAlignment="1">
      <alignment vertic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" fontId="38" fillId="8" borderId="0" xfId="5" applyNumberFormat="1" applyFont="1" applyFill="1" applyAlignment="1">
      <alignment vertical="center"/>
    </xf>
    <xf numFmtId="1" fontId="24" fillId="0" borderId="67" xfId="0" applyNumberFormat="1" applyFont="1" applyFill="1" applyBorder="1" applyAlignment="1" applyProtection="1">
      <alignment horizontal="center" vertical="center"/>
      <protection locked="0"/>
    </xf>
    <xf numFmtId="0" fontId="34" fillId="0" borderId="54" xfId="0" applyFont="1" applyBorder="1"/>
    <xf numFmtId="0" fontId="34" fillId="0" borderId="83" xfId="0" applyFont="1" applyBorder="1"/>
    <xf numFmtId="0" fontId="34" fillId="0" borderId="127" xfId="0" applyFont="1" applyBorder="1"/>
    <xf numFmtId="0" fontId="34" fillId="0" borderId="0" xfId="0" applyFont="1" applyBorder="1"/>
    <xf numFmtId="0" fontId="34" fillId="0" borderId="66" xfId="0" applyFont="1" applyBorder="1"/>
    <xf numFmtId="0" fontId="34" fillId="0" borderId="68" xfId="0" applyFont="1" applyBorder="1"/>
    <xf numFmtId="0" fontId="34" fillId="0" borderId="128" xfId="0" applyFont="1" applyBorder="1"/>
    <xf numFmtId="0" fontId="34" fillId="0" borderId="104" xfId="0" applyFont="1" applyBorder="1"/>
    <xf numFmtId="0" fontId="34" fillId="0" borderId="103" xfId="0" applyFont="1" applyBorder="1"/>
    <xf numFmtId="0" fontId="34" fillId="0" borderId="0" xfId="0" applyFont="1" applyBorder="1" applyAlignment="1"/>
    <xf numFmtId="0" fontId="34" fillId="0" borderId="0" xfId="0" applyFont="1" applyBorder="1" applyAlignment="1">
      <alignment vertical="center"/>
    </xf>
    <xf numFmtId="0" fontId="39" fillId="0" borderId="0" xfId="0" applyFont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right"/>
      <protection locked="0"/>
    </xf>
    <xf numFmtId="0" fontId="0" fillId="0" borderId="0" xfId="0" applyAlignment="1"/>
    <xf numFmtId="164" fontId="0" fillId="3" borderId="1" xfId="0" applyNumberFormat="1" applyFont="1" applyFill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center"/>
      <protection locked="0"/>
    </xf>
    <xf numFmtId="0" fontId="34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40" fillId="0" borderId="39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40" fillId="0" borderId="39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2" fillId="0" borderId="39" xfId="0" applyFont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  <protection hidden="1"/>
    </xf>
    <xf numFmtId="0" fontId="47" fillId="0" borderId="0" xfId="0" applyFont="1" applyFill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2" fontId="44" fillId="0" borderId="0" xfId="0" applyNumberFormat="1" applyFont="1" applyBorder="1" applyAlignment="1" applyProtection="1">
      <alignment horizontal="center" vertical="center"/>
      <protection hidden="1"/>
    </xf>
    <xf numFmtId="0" fontId="44" fillId="0" borderId="0" xfId="0" applyFont="1" applyFill="1" applyBorder="1" applyAlignment="1" applyProtection="1">
      <alignment horizontal="center" vertical="center"/>
      <protection hidden="1"/>
    </xf>
    <xf numFmtId="0" fontId="44" fillId="0" borderId="0" xfId="0" applyFont="1" applyBorder="1" applyAlignment="1" applyProtection="1">
      <alignment horizontal="center" vertical="center"/>
      <protection hidden="1"/>
    </xf>
    <xf numFmtId="0" fontId="47" fillId="0" borderId="0" xfId="0" applyFont="1" applyFill="1" applyBorder="1" applyAlignment="1">
      <alignment horizontal="center" vertical="center" wrapText="1"/>
    </xf>
    <xf numFmtId="0" fontId="44" fillId="0" borderId="0" xfId="6" applyFont="1" applyBorder="1" applyAlignment="1" applyProtection="1">
      <alignment horizontal="center" vertical="center" wrapText="1"/>
      <protection hidden="1"/>
    </xf>
    <xf numFmtId="164" fontId="44" fillId="0" borderId="0" xfId="1" applyNumberFormat="1" applyFont="1" applyFill="1" applyBorder="1" applyAlignment="1" applyProtection="1">
      <alignment horizontal="center" vertical="center"/>
      <protection hidden="1"/>
    </xf>
    <xf numFmtId="0" fontId="46" fillId="0" borderId="19" xfId="0" applyFont="1" applyFill="1" applyBorder="1" applyAlignment="1" applyProtection="1">
      <alignment horizontal="center" vertical="center"/>
      <protection hidden="1"/>
    </xf>
    <xf numFmtId="0" fontId="46" fillId="0" borderId="18" xfId="0" applyFont="1" applyFill="1" applyBorder="1" applyAlignment="1" applyProtection="1">
      <alignment horizontal="center" vertical="center"/>
      <protection hidden="1"/>
    </xf>
    <xf numFmtId="0" fontId="47" fillId="0" borderId="18" xfId="0" applyFont="1" applyFill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4" fillId="0" borderId="20" xfId="1" applyFont="1" applyFill="1" applyBorder="1" applyAlignment="1" applyProtection="1">
      <alignment horizontal="center" vertical="center"/>
      <protection hidden="1"/>
    </xf>
    <xf numFmtId="0" fontId="47" fillId="0" borderId="22" xfId="0" applyFont="1" applyBorder="1" applyAlignment="1">
      <alignment horizontal="center" vertical="center"/>
    </xf>
    <xf numFmtId="2" fontId="44" fillId="0" borderId="20" xfId="1" applyNumberFormat="1" applyFont="1" applyFill="1" applyBorder="1" applyAlignment="1" applyProtection="1">
      <alignment horizontal="center" vertical="center" wrapText="1"/>
      <protection hidden="1"/>
    </xf>
    <xf numFmtId="0" fontId="47" fillId="0" borderId="20" xfId="0" applyFont="1" applyFill="1" applyBorder="1" applyAlignment="1">
      <alignment horizontal="center" vertical="center"/>
    </xf>
    <xf numFmtId="0" fontId="46" fillId="0" borderId="20" xfId="0" applyFont="1" applyFill="1" applyBorder="1" applyAlignment="1" applyProtection="1">
      <alignment horizontal="center" vertical="center"/>
      <protection hidden="1"/>
    </xf>
    <xf numFmtId="1" fontId="44" fillId="0" borderId="20" xfId="1" applyNumberFormat="1" applyFont="1" applyFill="1" applyBorder="1" applyAlignment="1" applyProtection="1">
      <alignment horizontal="center" vertical="center" wrapText="1"/>
      <protection hidden="1"/>
    </xf>
    <xf numFmtId="0" fontId="47" fillId="0" borderId="23" xfId="0" applyFont="1" applyFill="1" applyBorder="1" applyAlignment="1">
      <alignment horizontal="center" vertical="center"/>
    </xf>
    <xf numFmtId="0" fontId="47" fillId="0" borderId="31" xfId="0" applyFont="1" applyBorder="1" applyAlignment="1">
      <alignment horizontal="center" vertical="center"/>
    </xf>
    <xf numFmtId="0" fontId="47" fillId="0" borderId="31" xfId="0" applyFont="1" applyFill="1" applyBorder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49" fillId="0" borderId="0" xfId="0" applyFont="1" applyBorder="1" applyAlignment="1">
      <alignment horizontal="center" vertical="center"/>
    </xf>
    <xf numFmtId="0" fontId="49" fillId="0" borderId="0" xfId="0" applyFont="1" applyBorder="1" applyAlignment="1">
      <alignment vertical="center"/>
    </xf>
    <xf numFmtId="0" fontId="34" fillId="0" borderId="18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50" fillId="0" borderId="19" xfId="6" applyFont="1" applyBorder="1" applyAlignment="1" applyProtection="1">
      <alignment vertical="center" wrapText="1"/>
      <protection hidden="1"/>
    </xf>
    <xf numFmtId="0" fontId="50" fillId="0" borderId="18" xfId="6" applyFont="1" applyBorder="1" applyAlignment="1" applyProtection="1">
      <alignment vertical="center" wrapText="1"/>
      <protection hidden="1"/>
    </xf>
    <xf numFmtId="0" fontId="50" fillId="0" borderId="20" xfId="6" applyFont="1" applyBorder="1" applyAlignment="1" applyProtection="1">
      <alignment vertical="center" wrapText="1"/>
      <protection hidden="1"/>
    </xf>
    <xf numFmtId="0" fontId="50" fillId="0" borderId="0" xfId="6" applyFont="1" applyBorder="1" applyAlignment="1" applyProtection="1">
      <alignment vertical="center" wrapText="1"/>
      <protection hidden="1"/>
    </xf>
    <xf numFmtId="0" fontId="49" fillId="0" borderId="17" xfId="0" applyFont="1" applyBorder="1" applyAlignment="1">
      <alignment vertical="center"/>
    </xf>
    <xf numFmtId="0" fontId="49" fillId="0" borderId="2" xfId="0" applyFont="1" applyBorder="1" applyAlignment="1">
      <alignment vertical="center"/>
    </xf>
    <xf numFmtId="0" fontId="49" fillId="0" borderId="19" xfId="0" applyFont="1" applyBorder="1" applyAlignment="1">
      <alignment vertical="center"/>
    </xf>
    <xf numFmtId="0" fontId="49" fillId="0" borderId="18" xfId="0" applyFont="1" applyBorder="1" applyAlignment="1">
      <alignment vertical="center"/>
    </xf>
    <xf numFmtId="0" fontId="49" fillId="0" borderId="4" xfId="0" applyFont="1" applyBorder="1" applyAlignment="1">
      <alignment vertical="center"/>
    </xf>
    <xf numFmtId="0" fontId="48" fillId="0" borderId="0" xfId="0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49" fillId="0" borderId="31" xfId="0" applyFont="1" applyBorder="1" applyAlignment="1">
      <alignment vertical="center"/>
    </xf>
    <xf numFmtId="0" fontId="49" fillId="0" borderId="25" xfId="0" applyFont="1" applyBorder="1" applyAlignment="1">
      <alignment vertical="center"/>
    </xf>
    <xf numFmtId="0" fontId="45" fillId="0" borderId="1" xfId="0" applyFont="1" applyBorder="1" applyAlignment="1" applyProtection="1">
      <alignment horizontal="center" vertical="center"/>
      <protection hidden="1"/>
    </xf>
    <xf numFmtId="0" fontId="45" fillId="0" borderId="1" xfId="1" applyFont="1" applyBorder="1" applyAlignment="1" applyProtection="1">
      <alignment horizontal="center" vertical="center"/>
      <protection hidden="1"/>
    </xf>
    <xf numFmtId="164" fontId="45" fillId="9" borderId="1" xfId="1" applyNumberFormat="1" applyFont="1" applyFill="1" applyBorder="1" applyAlignment="1" applyProtection="1">
      <alignment horizontal="center" vertical="center" wrapText="1"/>
      <protection locked="0"/>
    </xf>
    <xf numFmtId="164" fontId="45" fillId="0" borderId="0" xfId="1" applyNumberFormat="1" applyFont="1" applyFill="1" applyBorder="1" applyAlignment="1" applyProtection="1">
      <alignment horizontal="center" vertical="center"/>
      <protection hidden="1"/>
    </xf>
    <xf numFmtId="0" fontId="48" fillId="0" borderId="1" xfId="0" applyFont="1" applyBorder="1"/>
    <xf numFmtId="0" fontId="54" fillId="0" borderId="0" xfId="0" applyFont="1" applyBorder="1"/>
    <xf numFmtId="0" fontId="48" fillId="0" borderId="21" xfId="0" applyFont="1" applyBorder="1" applyAlignment="1"/>
    <xf numFmtId="0" fontId="48" fillId="0" borderId="24" xfId="0" applyFont="1" applyBorder="1" applyAlignment="1"/>
    <xf numFmtId="0" fontId="41" fillId="0" borderId="30" xfId="0" applyFont="1" applyBorder="1" applyAlignment="1">
      <alignment vertical="center"/>
    </xf>
    <xf numFmtId="22" fontId="41" fillId="0" borderId="46" xfId="0" applyNumberFormat="1" applyFont="1" applyBorder="1" applyAlignment="1">
      <alignment horizontal="center" vertical="center"/>
    </xf>
    <xf numFmtId="0" fontId="41" fillId="0" borderId="45" xfId="0" applyFont="1" applyBorder="1" applyAlignment="1">
      <alignment vertical="center"/>
    </xf>
    <xf numFmtId="0" fontId="41" fillId="0" borderId="45" xfId="0" applyFont="1" applyBorder="1"/>
    <xf numFmtId="0" fontId="41" fillId="0" borderId="46" xfId="0" applyFont="1" applyBorder="1"/>
    <xf numFmtId="0" fontId="41" fillId="0" borderId="49" xfId="0" applyFont="1" applyBorder="1"/>
    <xf numFmtId="0" fontId="41" fillId="0" borderId="128" xfId="0" applyFont="1" applyBorder="1"/>
    <xf numFmtId="0" fontId="41" fillId="0" borderId="54" xfId="0" applyFont="1" applyBorder="1"/>
    <xf numFmtId="0" fontId="41" fillId="0" borderId="83" xfId="0" applyFont="1" applyBorder="1"/>
    <xf numFmtId="0" fontId="41" fillId="0" borderId="127" xfId="0" applyFont="1" applyBorder="1"/>
    <xf numFmtId="0" fontId="41" fillId="0" borderId="44" xfId="0" applyFont="1" applyBorder="1"/>
    <xf numFmtId="0" fontId="41" fillId="0" borderId="66" xfId="0" applyFont="1" applyBorder="1"/>
    <xf numFmtId="0" fontId="41" fillId="0" borderId="0" xfId="0" applyFont="1" applyBorder="1"/>
    <xf numFmtId="0" fontId="41" fillId="0" borderId="104" xfId="0" applyFont="1" applyBorder="1"/>
    <xf numFmtId="0" fontId="41" fillId="0" borderId="68" xfId="0" applyFont="1" applyBorder="1"/>
    <xf numFmtId="0" fontId="41" fillId="0" borderId="54" xfId="0" applyFont="1" applyBorder="1" applyAlignment="1">
      <alignment horizontal="left"/>
    </xf>
    <xf numFmtId="0" fontId="41" fillId="0" borderId="83" xfId="0" applyFont="1" applyBorder="1" applyAlignment="1"/>
    <xf numFmtId="0" fontId="41" fillId="0" borderId="127" xfId="0" applyFont="1" applyBorder="1" applyAlignment="1"/>
    <xf numFmtId="0" fontId="41" fillId="0" borderId="54" xfId="0" applyFont="1" applyBorder="1" applyAlignment="1"/>
    <xf numFmtId="0" fontId="41" fillId="0" borderId="103" xfId="0" applyFont="1" applyBorder="1" applyAlignment="1">
      <alignment vertical="top"/>
    </xf>
    <xf numFmtId="0" fontId="41" fillId="0" borderId="104" xfId="0" applyFont="1" applyBorder="1" applyAlignment="1"/>
    <xf numFmtId="0" fontId="41" fillId="0" borderId="128" xfId="0" applyFont="1" applyBorder="1" applyAlignment="1"/>
    <xf numFmtId="0" fontId="41" fillId="0" borderId="103" xfId="0" applyFont="1" applyBorder="1" applyAlignment="1"/>
    <xf numFmtId="0" fontId="52" fillId="0" borderId="1" xfId="0" applyFont="1" applyBorder="1" applyAlignment="1" applyProtection="1">
      <alignment horizontal="center" vertical="center"/>
      <protection hidden="1"/>
    </xf>
    <xf numFmtId="164" fontId="52" fillId="9" borderId="1" xfId="1" applyNumberFormat="1" applyFont="1" applyFill="1" applyBorder="1" applyAlignment="1" applyProtection="1">
      <alignment horizontal="center" vertical="center" wrapText="1"/>
      <protection locked="0"/>
    </xf>
    <xf numFmtId="164" fontId="52" fillId="0" borderId="1" xfId="1" applyNumberFormat="1" applyFont="1" applyFill="1" applyBorder="1" applyAlignment="1" applyProtection="1">
      <alignment horizontal="center" vertical="center" wrapText="1"/>
      <protection hidden="1"/>
    </xf>
    <xf numFmtId="1" fontId="52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58" fillId="0" borderId="0" xfId="0" applyFont="1" applyFill="1" applyBorder="1" applyAlignment="1" applyProtection="1">
      <alignment horizontal="center" vertical="center"/>
      <protection hidden="1"/>
    </xf>
    <xf numFmtId="0" fontId="59" fillId="0" borderId="0" xfId="0" applyFont="1" applyFill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60" fillId="0" borderId="1" xfId="0" applyFont="1" applyBorder="1" applyAlignment="1" applyProtection="1">
      <alignment horizontal="center" vertical="center"/>
      <protection hidden="1"/>
    </xf>
    <xf numFmtId="0" fontId="60" fillId="0" borderId="1" xfId="1" applyFont="1" applyBorder="1" applyAlignment="1" applyProtection="1">
      <alignment horizontal="center" vertical="center"/>
      <protection hidden="1"/>
    </xf>
    <xf numFmtId="0" fontId="58" fillId="0" borderId="1" xfId="1" applyFont="1" applyBorder="1" applyAlignment="1" applyProtection="1">
      <alignment horizontal="center" vertical="center"/>
      <protection hidden="1"/>
    </xf>
    <xf numFmtId="0" fontId="58" fillId="0" borderId="1" xfId="0" applyFont="1" applyBorder="1" applyAlignment="1" applyProtection="1">
      <alignment horizontal="center" vertical="center"/>
      <protection hidden="1"/>
    </xf>
    <xf numFmtId="2" fontId="60" fillId="0" borderId="1" xfId="1" applyNumberFormat="1" applyFont="1" applyBorder="1" applyAlignment="1" applyProtection="1">
      <alignment horizontal="center" vertical="center" wrapText="1"/>
      <protection hidden="1"/>
    </xf>
    <xf numFmtId="164" fontId="60" fillId="9" borderId="1" xfId="1" applyNumberFormat="1" applyFont="1" applyFill="1" applyBorder="1" applyAlignment="1" applyProtection="1">
      <alignment horizontal="center" vertical="center" wrapText="1"/>
      <protection locked="0"/>
    </xf>
    <xf numFmtId="1" fontId="60" fillId="0" borderId="1" xfId="1" applyNumberFormat="1" applyFont="1" applyBorder="1" applyAlignment="1" applyProtection="1">
      <alignment horizontal="center" vertical="center" wrapText="1"/>
      <protection hidden="1"/>
    </xf>
    <xf numFmtId="164" fontId="60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59" fillId="0" borderId="1" xfId="0" applyFont="1" applyBorder="1" applyAlignment="1">
      <alignment horizontal="center" vertical="center"/>
    </xf>
    <xf numFmtId="1" fontId="60" fillId="0" borderId="1" xfId="1" applyNumberFormat="1" applyFont="1" applyFill="1" applyBorder="1" applyAlignment="1" applyProtection="1">
      <alignment horizontal="center" vertical="center" wrapText="1"/>
      <protection hidden="1"/>
    </xf>
    <xf numFmtId="165" fontId="50" fillId="9" borderId="1" xfId="1" applyNumberFormat="1" applyFont="1" applyFill="1" applyBorder="1" applyAlignment="1" applyProtection="1">
      <alignment horizontal="center" vertical="center" wrapText="1"/>
      <protection locked="0"/>
    </xf>
    <xf numFmtId="1" fontId="52" fillId="9" borderId="1" xfId="1" applyNumberFormat="1" applyFont="1" applyFill="1" applyBorder="1" applyAlignment="1" applyProtection="1">
      <alignment horizontal="center" vertical="center" wrapText="1"/>
      <protection locked="0"/>
    </xf>
    <xf numFmtId="2" fontId="52" fillId="9" borderId="1" xfId="1" applyNumberFormat="1" applyFont="1" applyFill="1" applyBorder="1" applyAlignment="1" applyProtection="1">
      <alignment horizontal="center" vertical="center" wrapText="1"/>
      <protection locked="0"/>
    </xf>
    <xf numFmtId="2" fontId="60" fillId="9" borderId="1" xfId="1" applyNumberFormat="1" applyFont="1" applyFill="1" applyBorder="1" applyAlignment="1" applyProtection="1">
      <alignment horizontal="center" vertical="center" wrapText="1"/>
      <protection locked="0"/>
    </xf>
    <xf numFmtId="0" fontId="63" fillId="0" borderId="10" xfId="0" applyFont="1" applyBorder="1" applyAlignment="1">
      <alignment vertical="center"/>
    </xf>
    <xf numFmtId="164" fontId="52" fillId="0" borderId="1" xfId="1" applyNumberFormat="1" applyFont="1" applyFill="1" applyBorder="1" applyAlignment="1" applyProtection="1">
      <alignment horizontal="center" vertical="center"/>
      <protection hidden="1"/>
    </xf>
    <xf numFmtId="1" fontId="62" fillId="9" borderId="1" xfId="1" applyNumberFormat="1" applyFont="1" applyFill="1" applyBorder="1" applyAlignment="1" applyProtection="1">
      <alignment horizontal="center" vertical="center" wrapText="1"/>
      <protection locked="0"/>
    </xf>
    <xf numFmtId="1" fontId="62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0" xfId="0" applyFont="1"/>
    <xf numFmtId="0" fontId="55" fillId="0" borderId="0" xfId="0" applyFont="1" applyBorder="1" applyAlignment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1" fillId="0" borderId="0" xfId="0" applyFont="1" applyBorder="1" applyAlignment="1">
      <alignment vertical="center" wrapText="1"/>
    </xf>
    <xf numFmtId="1" fontId="41" fillId="0" borderId="0" xfId="0" applyNumberFormat="1" applyFont="1" applyBorder="1" applyAlignment="1">
      <alignment vertical="center"/>
    </xf>
    <xf numFmtId="0" fontId="68" fillId="0" borderId="0" xfId="0" applyFont="1"/>
    <xf numFmtId="0" fontId="0" fillId="0" borderId="0" xfId="0" applyFont="1" applyAlignment="1" applyProtection="1">
      <alignment horizontal="right"/>
      <protection locked="0"/>
    </xf>
    <xf numFmtId="0" fontId="55" fillId="0" borderId="0" xfId="0" applyFont="1" applyBorder="1"/>
    <xf numFmtId="0" fontId="55" fillId="0" borderId="39" xfId="0" applyFont="1" applyBorder="1" applyAlignment="1"/>
    <xf numFmtId="0" fontId="55" fillId="0" borderId="42" xfId="0" applyFont="1" applyBorder="1" applyAlignment="1"/>
    <xf numFmtId="0" fontId="55" fillId="0" borderId="39" xfId="0" applyFont="1" applyBorder="1"/>
    <xf numFmtId="0" fontId="55" fillId="0" borderId="42" xfId="0" applyFont="1" applyBorder="1"/>
    <xf numFmtId="0" fontId="34" fillId="0" borderId="37" xfId="0" applyFont="1" applyBorder="1"/>
    <xf numFmtId="0" fontId="34" fillId="0" borderId="38" xfId="0" applyFont="1" applyBorder="1"/>
    <xf numFmtId="0" fontId="34" fillId="0" borderId="39" xfId="0" applyFont="1" applyBorder="1"/>
    <xf numFmtId="0" fontId="16" fillId="0" borderId="5" xfId="0" applyFont="1" applyBorder="1" applyAlignment="1" applyProtection="1">
      <alignment horizontal="center"/>
      <protection locked="0"/>
    </xf>
    <xf numFmtId="2" fontId="0" fillId="0" borderId="1" xfId="0" applyNumberFormat="1" applyBorder="1" applyAlignment="1">
      <alignment horizontal="right"/>
    </xf>
    <xf numFmtId="0" fontId="16" fillId="0" borderId="0" xfId="0" applyFont="1" applyAlignment="1" applyProtection="1">
      <alignment horizontal="center"/>
      <protection locked="0"/>
    </xf>
    <xf numFmtId="2" fontId="0" fillId="0" borderId="1" xfId="0" applyNumberFormat="1" applyBorder="1" applyAlignment="1">
      <alignment horizontal="right" indent="1"/>
    </xf>
    <xf numFmtId="0" fontId="69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Border="1" applyAlignment="1" applyProtection="1">
      <alignment horizontal="left" vertical="center"/>
      <protection locked="0"/>
    </xf>
    <xf numFmtId="14" fontId="34" fillId="0" borderId="0" xfId="0" applyNumberFormat="1" applyFont="1"/>
    <xf numFmtId="0" fontId="3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1" fontId="35" fillId="0" borderId="95" xfId="5" applyNumberFormat="1" applyFont="1" applyBorder="1" applyAlignment="1">
      <alignment horizontal="center" vertical="center"/>
    </xf>
    <xf numFmtId="1" fontId="35" fillId="0" borderId="52" xfId="5" applyNumberFormat="1" applyFont="1" applyBorder="1" applyAlignment="1">
      <alignment horizontal="center" vertical="center"/>
    </xf>
    <xf numFmtId="1" fontId="35" fillId="0" borderId="0" xfId="5" applyNumberFormat="1" applyFont="1" applyAlignment="1">
      <alignment horizontal="left" vertical="center" wrapText="1"/>
    </xf>
    <xf numFmtId="164" fontId="35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vertical="center"/>
    </xf>
    <xf numFmtId="1" fontId="35" fillId="0" borderId="0" xfId="5" applyNumberFormat="1" applyFont="1" applyAlignment="1">
      <alignment horizontal="center" vertical="center"/>
    </xf>
    <xf numFmtId="2" fontId="35" fillId="0" borderId="0" xfId="5" applyNumberFormat="1" applyFont="1" applyAlignment="1">
      <alignment horizontal="center" vertical="center"/>
    </xf>
    <xf numFmtId="0" fontId="35" fillId="0" borderId="0" xfId="5" applyFont="1" applyAlignment="1">
      <alignment vertical="center"/>
    </xf>
    <xf numFmtId="1" fontId="70" fillId="0" borderId="84" xfId="5" applyNumberFormat="1" applyFont="1" applyBorder="1" applyAlignment="1">
      <alignment horizontal="center" vertical="center"/>
    </xf>
    <xf numFmtId="1" fontId="70" fillId="0" borderId="85" xfId="5" applyNumberFormat="1" applyFont="1" applyBorder="1" applyAlignment="1">
      <alignment horizontal="left" vertical="center" wrapText="1"/>
    </xf>
    <xf numFmtId="1" fontId="70" fillId="0" borderId="85" xfId="5" applyNumberFormat="1" applyFont="1" applyBorder="1" applyAlignment="1">
      <alignment horizontal="center" vertical="center" wrapText="1"/>
    </xf>
    <xf numFmtId="2" fontId="70" fillId="0" borderId="85" xfId="5" applyNumberFormat="1" applyFont="1" applyBorder="1" applyAlignment="1">
      <alignment horizontal="center" vertical="center" wrapText="1"/>
    </xf>
    <xf numFmtId="0" fontId="70" fillId="0" borderId="85" xfId="5" applyFont="1" applyBorder="1" applyAlignment="1">
      <alignment horizontal="center" vertical="center" wrapText="1"/>
    </xf>
    <xf numFmtId="0" fontId="70" fillId="0" borderId="86" xfId="5" applyFont="1" applyBorder="1" applyAlignment="1">
      <alignment horizontal="center" vertical="center" wrapText="1"/>
    </xf>
    <xf numFmtId="0" fontId="42" fillId="0" borderId="0" xfId="0" applyFont="1"/>
    <xf numFmtId="1" fontId="35" fillId="24" borderId="87" xfId="5" applyNumberFormat="1" applyFont="1" applyFill="1" applyBorder="1" applyAlignment="1">
      <alignment horizontal="center" vertical="center" wrapText="1"/>
    </xf>
    <xf numFmtId="1" fontId="35" fillId="24" borderId="90" xfId="5" applyNumberFormat="1" applyFont="1" applyFill="1" applyBorder="1" applyAlignment="1">
      <alignment horizontal="left" vertical="center" wrapText="1"/>
    </xf>
    <xf numFmtId="1" fontId="35" fillId="24" borderId="92" xfId="5" applyNumberFormat="1" applyFont="1" applyFill="1" applyBorder="1" applyAlignment="1">
      <alignment vertical="center"/>
    </xf>
    <xf numFmtId="0" fontId="35" fillId="0" borderId="90" xfId="5" applyFont="1" applyBorder="1" applyAlignment="1">
      <alignment vertical="center"/>
    </xf>
    <xf numFmtId="0" fontId="35" fillId="0" borderId="93" xfId="5" applyFont="1" applyBorder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36" fillId="0" borderId="90" xfId="5" applyFont="1" applyBorder="1" applyAlignment="1">
      <alignment vertical="center"/>
    </xf>
    <xf numFmtId="0" fontId="34" fillId="0" borderId="90" xfId="0" applyFont="1" applyBorder="1"/>
    <xf numFmtId="0" fontId="36" fillId="0" borderId="93" xfId="5" applyFont="1" applyBorder="1" applyAlignment="1">
      <alignment vertical="center" wrapText="1"/>
    </xf>
    <xf numFmtId="1" fontId="35" fillId="24" borderId="117" xfId="5" quotePrefix="1" applyNumberFormat="1" applyFont="1" applyFill="1" applyBorder="1" applyAlignment="1">
      <alignment horizontal="center" vertical="center"/>
    </xf>
    <xf numFmtId="1" fontId="35" fillId="24" borderId="117" xfId="5" applyNumberFormat="1" applyFont="1" applyFill="1" applyBorder="1" applyAlignment="1">
      <alignment horizontal="center" vertical="center"/>
    </xf>
    <xf numFmtId="1" fontId="71" fillId="24" borderId="90" xfId="5" applyNumberFormat="1" applyFont="1" applyFill="1" applyBorder="1" applyAlignment="1">
      <alignment horizontal="left" vertical="center"/>
    </xf>
    <xf numFmtId="1" fontId="35" fillId="24" borderId="95" xfId="5" applyNumberFormat="1" applyFont="1" applyFill="1" applyBorder="1" applyAlignment="1">
      <alignment horizontal="center" vertical="center"/>
    </xf>
    <xf numFmtId="1" fontId="35" fillId="24" borderId="52" xfId="5" applyNumberFormat="1" applyFont="1" applyFill="1" applyBorder="1" applyAlignment="1">
      <alignment horizontal="center" vertical="center"/>
    </xf>
    <xf numFmtId="1" fontId="36" fillId="24" borderId="90" xfId="5" applyNumberFormat="1" applyFont="1" applyFill="1" applyBorder="1" applyAlignment="1">
      <alignment horizontal="center" vertical="center"/>
    </xf>
    <xf numFmtId="1" fontId="35" fillId="24" borderId="90" xfId="5" applyNumberFormat="1" applyFont="1" applyFill="1" applyBorder="1" applyAlignment="1">
      <alignment vertical="center"/>
    </xf>
    <xf numFmtId="164" fontId="35" fillId="24" borderId="95" xfId="5" applyNumberFormat="1" applyFont="1" applyFill="1" applyBorder="1" applyAlignment="1">
      <alignment horizontal="center" vertical="center"/>
    </xf>
    <xf numFmtId="2" fontId="35" fillId="24" borderId="52" xfId="5" applyNumberFormat="1" applyFont="1" applyFill="1" applyBorder="1" applyAlignment="1">
      <alignment horizontal="center" vertical="center"/>
    </xf>
    <xf numFmtId="164" fontId="35" fillId="24" borderId="92" xfId="5" applyNumberFormat="1" applyFont="1" applyFill="1" applyBorder="1" applyAlignment="1">
      <alignment horizontal="center" vertical="center"/>
    </xf>
    <xf numFmtId="164" fontId="35" fillId="24" borderId="90" xfId="5" applyNumberFormat="1" applyFont="1" applyFill="1" applyBorder="1" applyAlignment="1">
      <alignment horizontal="center" vertical="center"/>
    </xf>
    <xf numFmtId="164" fontId="35" fillId="24" borderId="52" xfId="5" applyNumberFormat="1" applyFont="1" applyFill="1" applyBorder="1" applyAlignment="1">
      <alignment horizontal="center" vertical="center"/>
    </xf>
    <xf numFmtId="1" fontId="35" fillId="0" borderId="117" xfId="5" applyNumberFormat="1" applyFont="1" applyBorder="1" applyAlignment="1">
      <alignment horizontal="center" vertical="center"/>
    </xf>
    <xf numFmtId="1" fontId="70" fillId="0" borderId="90" xfId="5" applyNumberFormat="1" applyFont="1" applyBorder="1" applyAlignment="1">
      <alignment horizontal="left" vertical="center"/>
    </xf>
    <xf numFmtId="1" fontId="35" fillId="0" borderId="92" xfId="5" applyNumberFormat="1" applyFont="1" applyBorder="1" applyAlignment="1">
      <alignment vertical="center"/>
    </xf>
    <xf numFmtId="1" fontId="36" fillId="0" borderId="90" xfId="5" applyNumberFormat="1" applyFont="1" applyBorder="1" applyAlignment="1">
      <alignment horizontal="center" vertical="center"/>
    </xf>
    <xf numFmtId="1" fontId="35" fillId="0" borderId="90" xfId="5" applyNumberFormat="1" applyFont="1" applyBorder="1" applyAlignment="1">
      <alignment horizontal="center" vertical="center"/>
    </xf>
    <xf numFmtId="1" fontId="35" fillId="0" borderId="117" xfId="5" quotePrefix="1" applyNumberFormat="1" applyFont="1" applyBorder="1" applyAlignment="1">
      <alignment horizontal="center" vertical="center"/>
    </xf>
    <xf numFmtId="1" fontId="35" fillId="0" borderId="90" xfId="5" applyNumberFormat="1" applyFont="1" applyBorder="1" applyAlignment="1">
      <alignment vertical="center"/>
    </xf>
    <xf numFmtId="1" fontId="35" fillId="0" borderId="90" xfId="5" applyNumberFormat="1" applyFont="1" applyBorder="1" applyAlignment="1">
      <alignment horizontal="left" vertical="center"/>
    </xf>
    <xf numFmtId="1" fontId="70" fillId="0" borderId="90" xfId="5" applyNumberFormat="1" applyFont="1" applyBorder="1" applyAlignment="1">
      <alignment horizontal="left" vertical="center" wrapText="1"/>
    </xf>
    <xf numFmtId="0" fontId="36" fillId="0" borderId="97" xfId="5" applyFont="1" applyBorder="1" applyAlignment="1">
      <alignment vertical="center"/>
    </xf>
    <xf numFmtId="0" fontId="36" fillId="0" borderId="0" xfId="5" applyFont="1" applyAlignment="1">
      <alignment vertical="center"/>
    </xf>
    <xf numFmtId="1" fontId="35" fillId="24" borderId="92" xfId="5" applyNumberFormat="1" applyFont="1" applyFill="1" applyBorder="1" applyAlignment="1">
      <alignment horizontal="center" vertical="center"/>
    </xf>
    <xf numFmtId="0" fontId="34" fillId="0" borderId="67" xfId="0" applyFont="1" applyBorder="1"/>
    <xf numFmtId="0" fontId="36" fillId="0" borderId="90" xfId="5" applyFont="1" applyFill="1" applyBorder="1" applyAlignment="1">
      <alignment vertical="center"/>
    </xf>
    <xf numFmtId="0" fontId="36" fillId="0" borderId="97" xfId="5" applyFont="1" applyFill="1" applyBorder="1" applyAlignment="1">
      <alignment vertical="center"/>
    </xf>
    <xf numFmtId="0" fontId="36" fillId="0" borderId="93" xfId="5" applyFont="1" applyFill="1" applyBorder="1" applyAlignment="1">
      <alignment vertical="center" wrapText="1"/>
    </xf>
    <xf numFmtId="0" fontId="36" fillId="0" borderId="115" xfId="5" applyFont="1" applyFill="1" applyBorder="1" applyAlignment="1">
      <alignment vertical="center"/>
    </xf>
    <xf numFmtId="1" fontId="35" fillId="0" borderId="99" xfId="5" applyNumberFormat="1" applyFont="1" applyBorder="1" applyAlignment="1">
      <alignment vertical="center"/>
    </xf>
    <xf numFmtId="2" fontId="35" fillId="8" borderId="90" xfId="5" applyNumberFormat="1" applyFont="1" applyFill="1" applyBorder="1" applyAlignment="1">
      <alignment horizontal="center" vertical="center"/>
    </xf>
    <xf numFmtId="2" fontId="35" fillId="0" borderId="90" xfId="5" applyNumberFormat="1" applyFont="1" applyBorder="1" applyAlignment="1">
      <alignment horizontal="center" vertical="center"/>
    </xf>
    <xf numFmtId="1" fontId="72" fillId="24" borderId="99" xfId="5" applyNumberFormat="1" applyFont="1" applyFill="1" applyBorder="1" applyAlignment="1">
      <alignment horizontal="left" vertical="center"/>
    </xf>
    <xf numFmtId="1" fontId="37" fillId="0" borderId="52" xfId="5" applyNumberFormat="1" applyFont="1" applyBorder="1" applyAlignment="1">
      <alignment horizontal="right" vertical="center"/>
    </xf>
    <xf numFmtId="1" fontId="35" fillId="0" borderId="92" xfId="5" applyNumberFormat="1" applyFont="1" applyBorder="1" applyAlignment="1">
      <alignment horizontal="left" vertical="center"/>
    </xf>
    <xf numFmtId="2" fontId="72" fillId="8" borderId="90" xfId="5" applyNumberFormat="1" applyFont="1" applyFill="1" applyBorder="1" applyAlignment="1">
      <alignment horizontal="center" vertical="center"/>
    </xf>
    <xf numFmtId="1" fontId="35" fillId="0" borderId="95" xfId="5" applyNumberFormat="1" applyFont="1" applyBorder="1" applyAlignment="1">
      <alignment vertical="center"/>
    </xf>
    <xf numFmtId="1" fontId="35" fillId="0" borderId="52" xfId="5" applyNumberFormat="1" applyFont="1" applyBorder="1" applyAlignment="1">
      <alignment vertical="center"/>
    </xf>
    <xf numFmtId="1" fontId="35" fillId="0" borderId="90" xfId="5" applyNumberFormat="1" applyFont="1" applyBorder="1" applyAlignment="1">
      <alignment horizontal="left" vertical="center" wrapText="1"/>
    </xf>
    <xf numFmtId="164" fontId="35" fillId="0" borderId="90" xfId="5" applyNumberFormat="1" applyFont="1" applyBorder="1" applyAlignment="1">
      <alignment horizontal="center" vertical="center"/>
    </xf>
    <xf numFmtId="1" fontId="35" fillId="24" borderId="99" xfId="5" applyNumberFormat="1" applyFont="1" applyFill="1" applyBorder="1" applyAlignment="1">
      <alignment vertical="center"/>
    </xf>
    <xf numFmtId="1" fontId="35" fillId="8" borderId="90" xfId="5" applyNumberFormat="1" applyFont="1" applyFill="1" applyBorder="1" applyAlignment="1">
      <alignment horizontal="left" vertical="center"/>
    </xf>
    <xf numFmtId="1" fontId="35" fillId="8" borderId="52" xfId="5" applyNumberFormat="1" applyFont="1" applyFill="1" applyBorder="1" applyAlignment="1">
      <alignment horizontal="center" vertical="center"/>
    </xf>
    <xf numFmtId="1" fontId="35" fillId="8" borderId="90" xfId="5" applyNumberFormat="1" applyFont="1" applyFill="1" applyBorder="1" applyAlignment="1">
      <alignment horizontal="center" vertical="center"/>
    </xf>
    <xf numFmtId="1" fontId="35" fillId="8" borderId="90" xfId="5" applyNumberFormat="1" applyFont="1" applyFill="1" applyBorder="1" applyAlignment="1">
      <alignment horizontal="left" vertical="center" wrapText="1"/>
    </xf>
    <xf numFmtId="1" fontId="35" fillId="24" borderId="52" xfId="5" applyNumberFormat="1" applyFont="1" applyFill="1" applyBorder="1" applyAlignment="1">
      <alignment vertical="center"/>
    </xf>
    <xf numFmtId="1" fontId="35" fillId="0" borderId="90" xfId="5" applyNumberFormat="1" applyFont="1" applyFill="1" applyBorder="1" applyAlignment="1">
      <alignment horizontal="left" vertical="center" wrapText="1"/>
    </xf>
    <xf numFmtId="1" fontId="35" fillId="0" borderId="97" xfId="5" applyNumberFormat="1" applyFont="1" applyFill="1" applyBorder="1" applyAlignment="1">
      <alignment horizontal="center" vertical="center"/>
    </xf>
    <xf numFmtId="164" fontId="35" fillId="24" borderId="97" xfId="5" applyNumberFormat="1" applyFont="1" applyFill="1" applyBorder="1" applyAlignment="1">
      <alignment horizontal="left" vertical="center"/>
    </xf>
    <xf numFmtId="164" fontId="35" fillId="0" borderId="90" xfId="5" applyNumberFormat="1" applyFont="1" applyFill="1" applyBorder="1" applyAlignment="1">
      <alignment horizontal="center" vertical="center"/>
    </xf>
    <xf numFmtId="0" fontId="36" fillId="0" borderId="90" xfId="5" applyFont="1" applyBorder="1" applyAlignment="1">
      <alignment vertical="center" wrapText="1"/>
    </xf>
    <xf numFmtId="1" fontId="70" fillId="0" borderId="0" xfId="5" applyNumberFormat="1" applyFont="1" applyAlignment="1">
      <alignment horizontal="left" vertical="center" wrapText="1"/>
    </xf>
    <xf numFmtId="0" fontId="34" fillId="0" borderId="0" xfId="0" applyFont="1" applyAlignment="1">
      <alignment wrapText="1"/>
    </xf>
    <xf numFmtId="0" fontId="0" fillId="0" borderId="38" xfId="0" applyBorder="1"/>
    <xf numFmtId="0" fontId="0" fillId="0" borderId="55" xfId="0" applyBorder="1"/>
    <xf numFmtId="0" fontId="0" fillId="0" borderId="42" xfId="0" applyBorder="1"/>
    <xf numFmtId="0" fontId="56" fillId="0" borderId="39" xfId="0" applyFont="1" applyBorder="1"/>
    <xf numFmtId="0" fontId="68" fillId="0" borderId="42" xfId="0" applyFont="1" applyBorder="1"/>
    <xf numFmtId="0" fontId="56" fillId="0" borderId="39" xfId="0" applyFont="1" applyBorder="1" applyAlignment="1">
      <alignment vertical="center"/>
    </xf>
    <xf numFmtId="0" fontId="0" fillId="0" borderId="39" xfId="0" applyBorder="1"/>
    <xf numFmtId="0" fontId="73" fillId="0" borderId="37" xfId="0" applyNumberFormat="1" applyFont="1" applyFill="1" applyBorder="1" applyAlignment="1" applyProtection="1">
      <protection locked="0"/>
    </xf>
    <xf numFmtId="0" fontId="73" fillId="0" borderId="38" xfId="0" applyNumberFormat="1" applyFont="1" applyFill="1" applyBorder="1" applyAlignment="1" applyProtection="1">
      <protection locked="0"/>
    </xf>
    <xf numFmtId="0" fontId="73" fillId="0" borderId="39" xfId="0" applyNumberFormat="1" applyFont="1" applyFill="1" applyBorder="1" applyAlignment="1" applyProtection="1">
      <protection locked="0"/>
    </xf>
    <xf numFmtId="0" fontId="73" fillId="0" borderId="0" xfId="0" applyNumberFormat="1" applyFont="1" applyFill="1" applyBorder="1" applyAlignment="1" applyProtection="1">
      <protection locked="0"/>
    </xf>
    <xf numFmtId="0" fontId="73" fillId="0" borderId="65" xfId="0" applyNumberFormat="1" applyFont="1" applyFill="1" applyBorder="1" applyAlignment="1" applyProtection="1">
      <alignment horizontal="center"/>
      <protection locked="0"/>
    </xf>
    <xf numFmtId="0" fontId="73" fillId="0" borderId="62" xfId="0" applyNumberFormat="1" applyFont="1" applyFill="1" applyBorder="1" applyAlignment="1" applyProtection="1">
      <protection locked="0"/>
    </xf>
    <xf numFmtId="0" fontId="73" fillId="0" borderId="63" xfId="0" applyNumberFormat="1" applyFont="1" applyFill="1" applyBorder="1" applyAlignment="1" applyProtection="1">
      <protection locked="0"/>
    </xf>
    <xf numFmtId="0" fontId="73" fillId="0" borderId="41" xfId="0" applyNumberFormat="1" applyFont="1" applyFill="1" applyBorder="1" applyAlignment="1" applyProtection="1">
      <protection locked="0"/>
    </xf>
    <xf numFmtId="0" fontId="73" fillId="0" borderId="31" xfId="0" applyNumberFormat="1" applyFont="1" applyFill="1" applyBorder="1" applyAlignment="1" applyProtection="1">
      <protection locked="0"/>
    </xf>
    <xf numFmtId="0" fontId="74" fillId="0" borderId="56" xfId="0" applyFont="1" applyBorder="1" applyAlignment="1" applyProtection="1">
      <alignment vertical="center"/>
      <protection locked="0"/>
    </xf>
    <xf numFmtId="0" fontId="74" fillId="0" borderId="57" xfId="0" applyFont="1" applyBorder="1" applyAlignment="1" applyProtection="1">
      <alignment vertical="center"/>
      <protection locked="0"/>
    </xf>
    <xf numFmtId="2" fontId="73" fillId="0" borderId="65" xfId="0" applyNumberFormat="1" applyFont="1" applyFill="1" applyBorder="1" applyAlignment="1" applyProtection="1">
      <alignment horizontal="center"/>
      <protection locked="0"/>
    </xf>
    <xf numFmtId="0" fontId="74" fillId="0" borderId="0" xfId="0" applyFont="1" applyBorder="1"/>
    <xf numFmtId="0" fontId="75" fillId="0" borderId="37" xfId="0" applyFont="1" applyBorder="1" applyAlignment="1">
      <alignment vertical="center"/>
    </xf>
    <xf numFmtId="0" fontId="75" fillId="0" borderId="38" xfId="0" applyFont="1" applyBorder="1" applyAlignment="1">
      <alignment vertical="center"/>
    </xf>
    <xf numFmtId="0" fontId="75" fillId="0" borderId="37" xfId="0" applyFont="1" applyBorder="1" applyAlignment="1"/>
    <xf numFmtId="0" fontId="75" fillId="0" borderId="55" xfId="0" applyFont="1" applyBorder="1" applyAlignment="1"/>
    <xf numFmtId="0" fontId="76" fillId="0" borderId="37" xfId="0" applyFont="1" applyBorder="1" applyAlignment="1"/>
    <xf numFmtId="0" fontId="75" fillId="0" borderId="37" xfId="0" applyFont="1" applyBorder="1" applyAlignment="1">
      <alignment horizontal="left" vertical="center"/>
    </xf>
    <xf numFmtId="0" fontId="75" fillId="0" borderId="38" xfId="0" applyFont="1" applyBorder="1"/>
    <xf numFmtId="0" fontId="75" fillId="0" borderId="55" xfId="0" applyFont="1" applyBorder="1"/>
    <xf numFmtId="0" fontId="75" fillId="0" borderId="62" xfId="0" applyFont="1" applyBorder="1" applyAlignment="1">
      <alignment vertical="center"/>
    </xf>
    <xf numFmtId="0" fontId="75" fillId="0" borderId="63" xfId="0" applyFont="1" applyBorder="1" applyAlignment="1">
      <alignment vertical="center"/>
    </xf>
    <xf numFmtId="0" fontId="75" fillId="0" borderId="62" xfId="0" applyFont="1" applyBorder="1" applyAlignment="1"/>
    <xf numFmtId="0" fontId="75" fillId="0" borderId="64" xfId="0" applyFont="1" applyBorder="1" applyAlignment="1"/>
    <xf numFmtId="0" fontId="76" fillId="0" borderId="62" xfId="0" applyFont="1" applyBorder="1" applyAlignment="1"/>
    <xf numFmtId="0" fontId="75" fillId="0" borderId="37" xfId="0" applyFont="1" applyBorder="1"/>
    <xf numFmtId="0" fontId="75" fillId="0" borderId="59" xfId="0" applyFont="1" applyBorder="1"/>
    <xf numFmtId="0" fontId="75" fillId="0" borderId="65" xfId="0" applyFont="1" applyBorder="1"/>
    <xf numFmtId="0" fontId="75" fillId="0" borderId="39" xfId="0" applyFont="1" applyBorder="1"/>
    <xf numFmtId="0" fontId="75" fillId="0" borderId="0" xfId="0" applyFont="1" applyBorder="1"/>
    <xf numFmtId="0" fontId="76" fillId="0" borderId="0" xfId="0" applyFont="1" applyBorder="1"/>
    <xf numFmtId="0" fontId="75" fillId="0" borderId="0" xfId="0" applyFont="1" applyBorder="1" applyAlignment="1">
      <alignment vertical="center"/>
    </xf>
    <xf numFmtId="0" fontId="75" fillId="0" borderId="61" xfId="0" applyFont="1" applyBorder="1"/>
    <xf numFmtId="0" fontId="75" fillId="0" borderId="0" xfId="0" applyFont="1" applyBorder="1" applyAlignment="1"/>
    <xf numFmtId="0" fontId="75" fillId="0" borderId="37" xfId="0" applyFont="1" applyBorder="1" applyAlignment="1">
      <alignment horizontal="left"/>
    </xf>
    <xf numFmtId="0" fontId="75" fillId="0" borderId="38" xfId="0" applyFont="1" applyBorder="1" applyAlignment="1"/>
    <xf numFmtId="0" fontId="75" fillId="0" borderId="42" xfId="0" applyFont="1" applyBorder="1" applyAlignment="1"/>
    <xf numFmtId="0" fontId="75" fillId="0" borderId="56" xfId="0" applyFont="1" applyBorder="1" applyAlignment="1">
      <alignment vertical="top"/>
    </xf>
    <xf numFmtId="0" fontId="75" fillId="0" borderId="57" xfId="0" applyFont="1" applyBorder="1" applyAlignment="1"/>
    <xf numFmtId="0" fontId="75" fillId="0" borderId="58" xfId="0" applyFont="1" applyBorder="1" applyAlignment="1"/>
    <xf numFmtId="0" fontId="75" fillId="0" borderId="58" xfId="0" applyFont="1" applyBorder="1"/>
    <xf numFmtId="1" fontId="0" fillId="4" borderId="0" xfId="0" applyNumberFormat="1" applyFill="1"/>
    <xf numFmtId="0" fontId="0" fillId="8" borderId="0" xfId="0" applyFill="1"/>
    <xf numFmtId="2" fontId="0" fillId="4" borderId="0" xfId="0" applyNumberFormat="1" applyFill="1"/>
    <xf numFmtId="0" fontId="0" fillId="0" borderId="0" xfId="0" applyFill="1"/>
    <xf numFmtId="0" fontId="0" fillId="3" borderId="0" xfId="0" applyFill="1" applyBorder="1"/>
    <xf numFmtId="165" fontId="0" fillId="4" borderId="0" xfId="0" applyNumberFormat="1" applyFill="1"/>
    <xf numFmtId="0" fontId="0" fillId="0" borderId="0" xfId="0" applyAlignment="1">
      <alignment horizontal="center"/>
    </xf>
    <xf numFmtId="1" fontId="70" fillId="0" borderId="0" xfId="5" applyNumberFormat="1" applyFont="1" applyAlignment="1">
      <alignment horizontal="left" vertical="center"/>
    </xf>
    <xf numFmtId="0" fontId="70" fillId="0" borderId="0" xfId="5" applyFont="1" applyAlignment="1">
      <alignment horizontal="center" vertical="center"/>
    </xf>
    <xf numFmtId="1" fontId="70" fillId="0" borderId="0" xfId="5" applyNumberFormat="1" applyFont="1" applyAlignment="1">
      <alignment horizontal="center" vertical="center"/>
    </xf>
    <xf numFmtId="2" fontId="62" fillId="9" borderId="1" xfId="1" applyNumberFormat="1" applyFont="1" applyFill="1" applyBorder="1" applyAlignment="1" applyProtection="1">
      <alignment horizontal="center" vertical="center" wrapText="1"/>
      <protection locked="0"/>
    </xf>
    <xf numFmtId="2" fontId="60" fillId="0" borderId="1" xfId="1" applyNumberFormat="1" applyFont="1" applyFill="1" applyBorder="1" applyAlignment="1" applyProtection="1">
      <alignment horizontal="center" vertical="center" wrapText="1"/>
      <protection hidden="1"/>
    </xf>
    <xf numFmtId="2" fontId="59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55" xfId="0" applyBorder="1" applyAlignment="1">
      <alignment horizontal="center"/>
    </xf>
    <xf numFmtId="165" fontId="6" fillId="0" borderId="0" xfId="0" applyNumberFormat="1" applyFont="1"/>
    <xf numFmtId="0" fontId="0" fillId="0" borderId="3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" fontId="0" fillId="0" borderId="38" xfId="0" applyNumberFormat="1" applyBorder="1" applyProtection="1"/>
    <xf numFmtId="0" fontId="54" fillId="0" borderId="104" xfId="0" applyFont="1" applyBorder="1" applyAlignment="1"/>
    <xf numFmtId="0" fontId="54" fillId="0" borderId="128" xfId="0" applyFont="1" applyBorder="1"/>
    <xf numFmtId="0" fontId="54" fillId="0" borderId="43" xfId="0" applyFont="1" applyBorder="1" applyAlignment="1"/>
    <xf numFmtId="0" fontId="54" fillId="0" borderId="49" xfId="0" applyFont="1" applyBorder="1"/>
    <xf numFmtId="0" fontId="54" fillId="0" borderId="30" xfId="0" applyFont="1" applyBorder="1"/>
    <xf numFmtId="0" fontId="54" fillId="0" borderId="45" xfId="0" applyFont="1" applyBorder="1"/>
    <xf numFmtId="0" fontId="54" fillId="0" borderId="46" xfId="0" applyFont="1" applyBorder="1"/>
    <xf numFmtId="0" fontId="54" fillId="0" borderId="68" xfId="0" applyFont="1" applyBorder="1"/>
    <xf numFmtId="0" fontId="54" fillId="0" borderId="0" xfId="0" applyFont="1" applyBorder="1" applyAlignment="1"/>
    <xf numFmtId="0" fontId="54" fillId="0" borderId="54" xfId="0" applyFont="1" applyBorder="1"/>
    <xf numFmtId="0" fontId="54" fillId="0" borderId="83" xfId="0" applyFont="1" applyBorder="1"/>
    <xf numFmtId="0" fontId="54" fillId="0" borderId="0" xfId="0" applyFont="1" applyBorder="1" applyAlignment="1">
      <alignment vertical="top"/>
    </xf>
    <xf numFmtId="0" fontId="54" fillId="0" borderId="104" xfId="0" applyFont="1" applyBorder="1" applyAlignment="1">
      <alignment vertical="top"/>
    </xf>
    <xf numFmtId="0" fontId="54" fillId="0" borderId="127" xfId="0" applyFont="1" applyBorder="1"/>
    <xf numFmtId="0" fontId="54" fillId="0" borderId="66" xfId="0" applyFont="1" applyBorder="1"/>
    <xf numFmtId="0" fontId="54" fillId="0" borderId="45" xfId="0" applyFont="1" applyBorder="1" applyAlignment="1">
      <alignment horizontal="left" vertical="center"/>
    </xf>
    <xf numFmtId="1" fontId="38" fillId="0" borderId="0" xfId="5" applyNumberFormat="1" applyFont="1" applyAlignment="1">
      <alignment vertical="center"/>
    </xf>
    <xf numFmtId="0" fontId="0" fillId="18" borderId="39" xfId="0" applyFont="1" applyFill="1" applyBorder="1" applyAlignment="1" applyProtection="1">
      <alignment horizontal="center" vertical="center"/>
      <protection locked="0"/>
    </xf>
    <xf numFmtId="0" fontId="0" fillId="18" borderId="42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Protection="1">
      <protection locked="0"/>
    </xf>
    <xf numFmtId="0" fontId="7" fillId="0" borderId="62" xfId="0" applyFont="1" applyFill="1" applyBorder="1" applyProtection="1">
      <protection locked="0"/>
    </xf>
    <xf numFmtId="0" fontId="7" fillId="0" borderId="65" xfId="0" applyFont="1" applyFill="1" applyBorder="1" applyProtection="1">
      <protection locked="0"/>
    </xf>
    <xf numFmtId="0" fontId="7" fillId="0" borderId="56" xfId="0" applyFont="1" applyFill="1" applyBorder="1" applyProtection="1">
      <protection locked="0"/>
    </xf>
    <xf numFmtId="0" fontId="7" fillId="0" borderId="61" xfId="0" applyFont="1" applyFill="1" applyBorder="1" applyProtection="1">
      <protection locked="0"/>
    </xf>
    <xf numFmtId="0" fontId="7" fillId="0" borderId="142" xfId="0" applyFont="1" applyFill="1" applyBorder="1" applyAlignment="1" applyProtection="1">
      <alignment horizontal="center"/>
      <protection locked="0"/>
    </xf>
    <xf numFmtId="0" fontId="7" fillId="0" borderId="142" xfId="0" applyFont="1" applyFill="1" applyBorder="1" applyProtection="1">
      <protection locked="0"/>
    </xf>
    <xf numFmtId="0" fontId="0" fillId="0" borderId="142" xfId="0" applyBorder="1" applyProtection="1">
      <protection locked="0"/>
    </xf>
    <xf numFmtId="0" fontId="0" fillId="8" borderId="0" xfId="0" applyFill="1" applyProtection="1">
      <protection locked="0"/>
    </xf>
    <xf numFmtId="0" fontId="34" fillId="8" borderId="0" xfId="0" applyFont="1" applyFill="1" applyAlignment="1">
      <alignment vertical="center"/>
    </xf>
    <xf numFmtId="0" fontId="16" fillId="0" borderId="1" xfId="0" applyFont="1" applyFill="1" applyBorder="1" applyAlignment="1">
      <alignment horizontal="center"/>
    </xf>
    <xf numFmtId="2" fontId="9" fillId="0" borderId="52" xfId="1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" xfId="0" applyFont="1" applyBorder="1" applyAlignment="1" applyProtection="1">
      <alignment horizontal="center" vertical="center"/>
      <protection locked="0"/>
    </xf>
    <xf numFmtId="0" fontId="73" fillId="0" borderId="59" xfId="0" applyNumberFormat="1" applyFont="1" applyFill="1" applyBorder="1" applyAlignment="1" applyProtection="1">
      <alignment horizontal="center"/>
      <protection locked="0"/>
    </xf>
    <xf numFmtId="0" fontId="74" fillId="0" borderId="65" xfId="0" applyFont="1" applyBorder="1" applyAlignment="1" applyProtection="1">
      <alignment vertical="center"/>
      <protection locked="0"/>
    </xf>
    <xf numFmtId="0" fontId="74" fillId="0" borderId="63" xfId="0" applyFont="1" applyBorder="1" applyAlignment="1" applyProtection="1">
      <alignment vertical="center"/>
      <protection locked="0"/>
    </xf>
    <xf numFmtId="2" fontId="73" fillId="0" borderId="63" xfId="0" applyNumberFormat="1" applyFont="1" applyFill="1" applyBorder="1" applyAlignment="1" applyProtection="1">
      <alignment horizontal="center"/>
      <protection locked="0"/>
    </xf>
    <xf numFmtId="0" fontId="73" fillId="0" borderId="61" xfId="0" applyNumberFormat="1" applyFont="1" applyFill="1" applyBorder="1" applyAlignment="1" applyProtection="1">
      <alignment horizontal="center"/>
      <protection locked="0"/>
    </xf>
    <xf numFmtId="0" fontId="77" fillId="0" borderId="0" xfId="0" applyFont="1" applyBorder="1" applyAlignment="1">
      <alignment vertical="top" wrapText="1"/>
    </xf>
    <xf numFmtId="1" fontId="35" fillId="0" borderId="126" xfId="5" applyNumberFormat="1" applyFont="1" applyBorder="1" applyAlignment="1">
      <alignment horizontal="right" vertical="center"/>
    </xf>
    <xf numFmtId="1" fontId="35" fillId="0" borderId="96" xfId="5" applyNumberFormat="1" applyFont="1" applyBorder="1" applyAlignment="1">
      <alignment vertical="center"/>
    </xf>
    <xf numFmtId="164" fontId="35" fillId="0" borderId="92" xfId="5" applyNumberFormat="1" applyFont="1" applyBorder="1" applyAlignment="1">
      <alignment horizontal="center" vertical="center"/>
    </xf>
    <xf numFmtId="164" fontId="35" fillId="0" borderId="96" xfId="5" applyNumberFormat="1" applyFont="1" applyBorder="1" applyAlignment="1">
      <alignment horizontal="center" vertical="center"/>
    </xf>
    <xf numFmtId="164" fontId="35" fillId="8" borderId="90" xfId="5" applyNumberFormat="1" applyFont="1" applyFill="1" applyBorder="1" applyAlignment="1">
      <alignment horizontal="center" vertical="center"/>
    </xf>
    <xf numFmtId="164" fontId="35" fillId="8" borderId="97" xfId="5" applyNumberFormat="1" applyFont="1" applyFill="1" applyBorder="1" applyAlignment="1">
      <alignment horizontal="center" vertical="center"/>
    </xf>
    <xf numFmtId="1" fontId="35" fillId="24" borderId="98" xfId="5" applyNumberFormat="1" applyFont="1" applyFill="1" applyBorder="1" applyAlignment="1">
      <alignment horizontal="right" vertical="center"/>
    </xf>
    <xf numFmtId="164" fontId="35" fillId="0" borderId="67" xfId="5" applyNumberFormat="1" applyFont="1" applyBorder="1" applyAlignment="1">
      <alignment horizontal="center" vertical="center"/>
    </xf>
    <xf numFmtId="1" fontId="35" fillId="0" borderId="117" xfId="5" quotePrefix="1" applyNumberFormat="1" applyFont="1" applyFill="1" applyBorder="1" applyAlignment="1">
      <alignment horizontal="center" vertical="center"/>
    </xf>
    <xf numFmtId="0" fontId="35" fillId="0" borderId="90" xfId="5" applyFont="1" applyFill="1" applyBorder="1" applyAlignment="1">
      <alignment horizontal="left" vertical="center" wrapText="1"/>
    </xf>
    <xf numFmtId="1" fontId="35" fillId="0" borderId="95" xfId="5" applyNumberFormat="1" applyFont="1" applyFill="1" applyBorder="1" applyAlignment="1">
      <alignment horizontal="center" vertical="center"/>
    </xf>
    <xf numFmtId="1" fontId="35" fillId="0" borderId="52" xfId="5" applyNumberFormat="1" applyFont="1" applyFill="1" applyBorder="1" applyAlignment="1">
      <alignment horizontal="center" vertical="center"/>
    </xf>
    <xf numFmtId="1" fontId="35" fillId="0" borderId="92" xfId="5" applyNumberFormat="1" applyFont="1" applyFill="1" applyBorder="1" applyAlignment="1">
      <alignment horizontal="center" vertical="center"/>
    </xf>
    <xf numFmtId="1" fontId="36" fillId="0" borderId="90" xfId="5" applyNumberFormat="1" applyFont="1" applyFill="1" applyBorder="1" applyAlignment="1">
      <alignment horizontal="center" vertical="center"/>
    </xf>
    <xf numFmtId="0" fontId="34" fillId="0" borderId="90" xfId="0" applyFont="1" applyFill="1" applyBorder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34" fillId="0" borderId="99" xfId="0" applyFont="1" applyFill="1" applyBorder="1" applyAlignment="1">
      <alignment horizontal="center" vertical="center"/>
    </xf>
    <xf numFmtId="1" fontId="35" fillId="0" borderId="89" xfId="5" applyNumberFormat="1" applyFont="1" applyFill="1" applyBorder="1" applyAlignment="1">
      <alignment horizontal="center" vertical="center"/>
    </xf>
    <xf numFmtId="1" fontId="35" fillId="0" borderId="96" xfId="5" applyNumberFormat="1" applyFont="1" applyFill="1" applyBorder="1" applyAlignment="1">
      <alignment horizontal="center" vertical="center"/>
    </xf>
    <xf numFmtId="1" fontId="35" fillId="0" borderId="91" xfId="5" applyNumberFormat="1" applyFont="1" applyFill="1" applyBorder="1" applyAlignment="1">
      <alignment horizontal="center" vertical="center"/>
    </xf>
    <xf numFmtId="1" fontId="35" fillId="0" borderId="116" xfId="5" applyNumberFormat="1" applyFont="1" applyFill="1" applyBorder="1" applyAlignment="1">
      <alignment horizontal="center" vertical="center"/>
    </xf>
    <xf numFmtId="1" fontId="35" fillId="0" borderId="118" xfId="5" applyNumberFormat="1" applyFont="1" applyFill="1" applyBorder="1" applyAlignment="1">
      <alignment horizontal="center" vertical="center"/>
    </xf>
    <xf numFmtId="0" fontId="34" fillId="0" borderId="92" xfId="0" applyFont="1" applyFill="1" applyBorder="1" applyAlignment="1">
      <alignment horizontal="center" vertical="center"/>
    </xf>
    <xf numFmtId="0" fontId="34" fillId="0" borderId="94" xfId="0" applyFont="1" applyFill="1" applyBorder="1" applyAlignment="1">
      <alignment horizontal="center" vertical="center"/>
    </xf>
    <xf numFmtId="0" fontId="34" fillId="0" borderId="99" xfId="0" applyFont="1" applyFill="1" applyBorder="1"/>
    <xf numFmtId="0" fontId="34" fillId="0" borderId="87" xfId="0" applyFont="1" applyBorder="1" applyAlignment="1">
      <alignment horizontal="left" vertical="center" wrapText="1"/>
    </xf>
    <xf numFmtId="0" fontId="36" fillId="0" borderId="87" xfId="5" applyFont="1" applyFill="1" applyBorder="1" applyAlignment="1">
      <alignment horizontal="left" vertical="center" wrapText="1"/>
    </xf>
    <xf numFmtId="1" fontId="35" fillId="0" borderId="99" xfId="5" applyNumberFormat="1" applyFont="1" applyFill="1" applyBorder="1" applyAlignment="1">
      <alignment horizontal="center" vertical="center"/>
    </xf>
    <xf numFmtId="2" fontId="35" fillId="0" borderId="90" xfId="5" applyNumberFormat="1" applyFont="1" applyFill="1" applyBorder="1" applyAlignment="1">
      <alignment horizontal="center" vertical="center"/>
    </xf>
    <xf numFmtId="0" fontId="36" fillId="0" borderId="90" xfId="5" applyFont="1" applyFill="1" applyBorder="1" applyAlignment="1">
      <alignment horizontal="left" vertical="center" wrapText="1"/>
    </xf>
    <xf numFmtId="1" fontId="37" fillId="8" borderId="51" xfId="5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34" fillId="0" borderId="65" xfId="0" applyFont="1" applyBorder="1"/>
    <xf numFmtId="0" fontId="34" fillId="0" borderId="60" xfId="0" applyFont="1" applyBorder="1"/>
    <xf numFmtId="0" fontId="34" fillId="0" borderId="61" xfId="0" applyFont="1" applyBorder="1"/>
    <xf numFmtId="0" fontId="34" fillId="0" borderId="90" xfId="0" applyFont="1" applyFill="1" applyBorder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22" borderId="30" xfId="0" applyFont="1" applyFill="1" applyBorder="1" applyAlignment="1">
      <alignment horizontal="left" vertical="center"/>
    </xf>
    <xf numFmtId="0" fontId="67" fillId="0" borderId="39" xfId="0" applyFont="1" applyBorder="1" applyAlignment="1">
      <alignment vertical="top"/>
    </xf>
    <xf numFmtId="0" fontId="67" fillId="0" borderId="0" xfId="0" applyFont="1" applyBorder="1" applyAlignment="1">
      <alignment vertical="top"/>
    </xf>
    <xf numFmtId="0" fontId="67" fillId="0" borderId="42" xfId="0" applyFont="1" applyBorder="1" applyAlignment="1">
      <alignment vertical="top"/>
    </xf>
    <xf numFmtId="1" fontId="35" fillId="24" borderId="97" xfId="5" applyNumberFormat="1" applyFont="1" applyFill="1" applyBorder="1" applyAlignment="1">
      <alignment horizontal="left" vertical="center" wrapText="1"/>
    </xf>
    <xf numFmtId="1" fontId="35" fillId="0" borderId="124" xfId="5" quotePrefix="1" applyNumberFormat="1" applyFont="1" applyBorder="1" applyAlignment="1">
      <alignment horizontal="center" vertical="center"/>
    </xf>
    <xf numFmtId="0" fontId="34" fillId="8" borderId="90" xfId="0" applyFont="1" applyFill="1" applyBorder="1" applyAlignment="1">
      <alignment horizontal="left" vertical="center" wrapText="1"/>
    </xf>
    <xf numFmtId="1" fontId="36" fillId="0" borderId="97" xfId="5" applyNumberFormat="1" applyFont="1" applyFill="1" applyBorder="1" applyAlignment="1">
      <alignment horizontal="center" vertical="center"/>
    </xf>
    <xf numFmtId="1" fontId="37" fillId="8" borderId="143" xfId="5" applyNumberFormat="1" applyFont="1" applyFill="1" applyBorder="1" applyAlignment="1">
      <alignment horizontal="left" vertical="center"/>
    </xf>
    <xf numFmtId="0" fontId="34" fillId="0" borderId="144" xfId="0" applyFont="1" applyBorder="1"/>
    <xf numFmtId="0" fontId="34" fillId="0" borderId="146" xfId="0" applyFont="1" applyBorder="1"/>
    <xf numFmtId="1" fontId="36" fillId="24" borderId="97" xfId="5" applyNumberFormat="1" applyFont="1" applyFill="1" applyBorder="1" applyAlignment="1">
      <alignment horizontal="center" vertical="center"/>
    </xf>
    <xf numFmtId="0" fontId="34" fillId="0" borderId="147" xfId="0" applyFont="1" applyBorder="1"/>
    <xf numFmtId="0" fontId="34" fillId="0" borderId="144" xfId="0" applyFont="1" applyBorder="1" applyAlignment="1">
      <alignment horizontal="left" vertical="center" wrapText="1"/>
    </xf>
    <xf numFmtId="0" fontId="34" fillId="0" borderId="148" xfId="0" applyFont="1" applyBorder="1" applyAlignment="1">
      <alignment wrapText="1"/>
    </xf>
    <xf numFmtId="0" fontId="36" fillId="24" borderId="97" xfId="5" applyFont="1" applyFill="1" applyBorder="1" applyAlignment="1">
      <alignment horizontal="left" vertical="center" wrapText="1"/>
    </xf>
    <xf numFmtId="1" fontId="35" fillId="0" borderId="97" xfId="5" quotePrefix="1" applyNumberFormat="1" applyFont="1" applyBorder="1" applyAlignment="1">
      <alignment vertical="center"/>
    </xf>
    <xf numFmtId="1" fontId="35" fillId="0" borderId="90" xfId="5" quotePrefix="1" applyNumberFormat="1" applyFont="1" applyBorder="1" applyAlignment="1">
      <alignment vertical="center"/>
    </xf>
    <xf numFmtId="1" fontId="35" fillId="0" borderId="93" xfId="5" quotePrefix="1" applyNumberFormat="1" applyFont="1" applyBorder="1" applyAlignment="1">
      <alignment vertical="center"/>
    </xf>
    <xf numFmtId="0" fontId="34" fillId="0" borderId="145" xfId="0" applyFont="1" applyBorder="1" applyAlignment="1">
      <alignment horizontal="center" vertical="center"/>
    </xf>
    <xf numFmtId="0" fontId="34" fillId="0" borderId="90" xfId="0" applyFont="1" applyBorder="1" applyAlignment="1">
      <alignment horizontal="left" vertical="center" wrapText="1"/>
    </xf>
    <xf numFmtId="1" fontId="35" fillId="0" borderId="90" xfId="5" applyNumberFormat="1" applyFont="1" applyFill="1" applyBorder="1" applyAlignment="1">
      <alignment horizontal="center" vertical="center"/>
    </xf>
    <xf numFmtId="0" fontId="0" fillId="22" borderId="3" xfId="0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149" xfId="0" applyBorder="1" applyAlignment="1">
      <alignment horizontal="center" vertical="center"/>
    </xf>
    <xf numFmtId="0" fontId="7" fillId="0" borderId="150" xfId="0" applyFont="1" applyFill="1" applyBorder="1" applyProtection="1">
      <protection locked="0"/>
    </xf>
    <xf numFmtId="0" fontId="0" fillId="0" borderId="150" xfId="0" applyBorder="1" applyProtection="1">
      <protection locked="0"/>
    </xf>
    <xf numFmtId="164" fontId="35" fillId="0" borderId="121" xfId="5" applyNumberFormat="1" applyFont="1" applyBorder="1" applyAlignment="1">
      <alignment horizontal="right" vertical="center"/>
    </xf>
    <xf numFmtId="1" fontId="35" fillId="0" borderId="99" xfId="5" applyNumberFormat="1" applyFont="1" applyBorder="1" applyAlignment="1">
      <alignment horizontal="center" vertical="center"/>
    </xf>
    <xf numFmtId="1" fontId="35" fillId="8" borderId="99" xfId="5" applyNumberFormat="1" applyFont="1" applyFill="1" applyBorder="1" applyAlignment="1">
      <alignment horizontal="center" vertical="center"/>
    </xf>
    <xf numFmtId="1" fontId="35" fillId="8" borderId="97" xfId="5" applyNumberFormat="1" applyFont="1" applyFill="1" applyBorder="1" applyAlignment="1">
      <alignment horizontal="center" vertical="center"/>
    </xf>
    <xf numFmtId="1" fontId="35" fillId="24" borderId="99" xfId="5" applyNumberFormat="1" applyFont="1" applyFill="1" applyBorder="1" applyAlignment="1">
      <alignment horizontal="center" vertical="center"/>
    </xf>
    <xf numFmtId="1" fontId="35" fillId="24" borderId="97" xfId="5" applyNumberFormat="1" applyFont="1" applyFill="1" applyBorder="1" applyAlignment="1">
      <alignment horizontal="center" vertical="center"/>
    </xf>
    <xf numFmtId="49" fontId="0" fillId="22" borderId="30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34" fillId="0" borderId="30" xfId="0" applyFont="1" applyBorder="1"/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81" fillId="0" borderId="54" xfId="7" applyNumberFormat="1" applyFont="1" applyFill="1" applyBorder="1" applyAlignment="1" applyProtection="1">
      <protection locked="0"/>
    </xf>
    <xf numFmtId="0" fontId="81" fillId="0" borderId="44" xfId="7" applyNumberFormat="1" applyFont="1" applyFill="1" applyBorder="1" applyAlignment="1" applyProtection="1"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NumberFormat="1" applyFont="1" applyAlignment="1" applyProtection="1">
      <alignment horizontal="left" vertical="center"/>
      <protection locked="0"/>
    </xf>
    <xf numFmtId="49" fontId="9" fillId="0" borderId="0" xfId="0" applyNumberFormat="1" applyFont="1" applyAlignment="1">
      <alignment horizontal="left"/>
    </xf>
    <xf numFmtId="49" fontId="6" fillId="0" borderId="0" xfId="0" applyNumberFormat="1" applyFont="1" applyAlignment="1" applyProtection="1">
      <alignment horizontal="left" vertical="center"/>
      <protection locked="0"/>
    </xf>
    <xf numFmtId="0" fontId="4" fillId="25" borderId="0" xfId="0" applyFont="1" applyFill="1" applyAlignment="1" applyProtection="1">
      <alignment horizontal="center" vertical="center"/>
      <protection locked="0"/>
    </xf>
    <xf numFmtId="1" fontId="0" fillId="0" borderId="0" xfId="0" applyNumberFormat="1"/>
    <xf numFmtId="0" fontId="55" fillId="0" borderId="62" xfId="0" applyFont="1" applyBorder="1" applyAlignment="1">
      <alignment horizontal="left" vertical="center"/>
    </xf>
    <xf numFmtId="0" fontId="83" fillId="0" borderId="154" xfId="0" applyFont="1" applyBorder="1"/>
    <xf numFmtId="0" fontId="34" fillId="0" borderId="154" xfId="0" applyFont="1" applyBorder="1"/>
    <xf numFmtId="0" fontId="34" fillId="0" borderId="155" xfId="0" applyFont="1" applyBorder="1"/>
    <xf numFmtId="0" fontId="84" fillId="0" borderId="30" xfId="0" applyFont="1" applyBorder="1" applyAlignment="1">
      <alignment horizontal="center"/>
    </xf>
    <xf numFmtId="0" fontId="84" fillId="0" borderId="30" xfId="0" applyFont="1" applyBorder="1" applyAlignment="1">
      <alignment horizontal="center" vertical="center"/>
    </xf>
    <xf numFmtId="1" fontId="34" fillId="0" borderId="66" xfId="0" applyNumberFormat="1" applyFont="1" applyBorder="1" applyAlignment="1">
      <alignment horizontal="center" vertical="center"/>
    </xf>
    <xf numFmtId="0" fontId="34" fillId="0" borderId="30" xfId="0" applyFont="1" applyBorder="1" applyAlignment="1">
      <alignment horizontal="center"/>
    </xf>
    <xf numFmtId="0" fontId="34" fillId="0" borderId="30" xfId="0" applyFont="1" applyBorder="1" applyAlignment="1">
      <alignment horizontal="center" vertical="center"/>
    </xf>
    <xf numFmtId="1" fontId="34" fillId="0" borderId="30" xfId="0" applyNumberFormat="1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55" fillId="0" borderId="62" xfId="0" applyFont="1" applyBorder="1" applyAlignment="1">
      <alignment vertical="center"/>
    </xf>
    <xf numFmtId="0" fontId="55" fillId="0" borderId="63" xfId="0" applyFont="1" applyBorder="1" applyAlignment="1">
      <alignment vertical="center"/>
    </xf>
    <xf numFmtId="0" fontId="55" fillId="0" borderId="64" xfId="0" applyFont="1" applyBorder="1" applyAlignment="1">
      <alignment vertical="center"/>
    </xf>
    <xf numFmtId="170" fontId="55" fillId="0" borderId="63" xfId="0" applyNumberFormat="1" applyFont="1" applyBorder="1" applyAlignment="1">
      <alignment vertical="center"/>
    </xf>
    <xf numFmtId="170" fontId="55" fillId="0" borderId="64" xfId="0" applyNumberFormat="1" applyFont="1" applyBorder="1" applyAlignment="1">
      <alignment vertical="center"/>
    </xf>
    <xf numFmtId="0" fontId="34" fillId="8" borderId="0" xfId="0" applyFont="1" applyFill="1"/>
    <xf numFmtId="1" fontId="79" fillId="4" borderId="98" xfId="5" applyNumberFormat="1" applyFont="1" applyFill="1" applyBorder="1" applyAlignment="1">
      <alignment vertical="center"/>
    </xf>
    <xf numFmtId="1" fontId="79" fillId="4" borderId="99" xfId="5" applyNumberFormat="1" applyFont="1" applyFill="1" applyBorder="1" applyAlignment="1">
      <alignment vertical="center"/>
    </xf>
    <xf numFmtId="1" fontId="79" fillId="4" borderId="97" xfId="5" applyNumberFormat="1" applyFont="1" applyFill="1" applyBorder="1" applyAlignment="1">
      <alignment vertical="center"/>
    </xf>
    <xf numFmtId="1" fontId="34" fillId="0" borderId="30" xfId="0" applyNumberFormat="1" applyFont="1" applyBorder="1" applyAlignment="1">
      <alignment horizontal="center" vertical="center"/>
    </xf>
    <xf numFmtId="1" fontId="34" fillId="0" borderId="30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/>
    <xf numFmtId="0" fontId="80" fillId="0" borderId="0" xfId="0" applyFont="1" applyFill="1"/>
    <xf numFmtId="0" fontId="0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9" xfId="0" applyFont="1" applyBorder="1" applyAlignment="1">
      <alignment horizontal="center" vertical="center"/>
    </xf>
    <xf numFmtId="0" fontId="0" fillId="0" borderId="103" xfId="0" applyFont="1" applyBorder="1" applyAlignment="1">
      <alignment horizontal="center" vertical="center"/>
    </xf>
    <xf numFmtId="0" fontId="34" fillId="0" borderId="49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86" fillId="0" borderId="30" xfId="0" applyFont="1" applyBorder="1" applyAlignment="1">
      <alignment horizontal="center" vertical="center" wrapText="1"/>
    </xf>
    <xf numFmtId="0" fontId="85" fillId="0" borderId="30" xfId="0" applyFont="1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0" fontId="0" fillId="0" borderId="30" xfId="0" applyNumberFormat="1" applyFill="1" applyBorder="1"/>
    <xf numFmtId="0" fontId="87" fillId="0" borderId="0" xfId="8"/>
    <xf numFmtId="0" fontId="34" fillId="0" borderId="30" xfId="0" applyFont="1" applyBorder="1" applyAlignment="1">
      <alignment horizontal="center" vertical="center"/>
    </xf>
    <xf numFmtId="0" fontId="34" fillId="0" borderId="0" xfId="0" quotePrefix="1" applyFont="1" applyAlignment="1">
      <alignment horizontal="center" vertical="center"/>
    </xf>
    <xf numFmtId="22" fontId="34" fillId="0" borderId="30" xfId="0" applyNumberFormat="1" applyFont="1" applyBorder="1" applyAlignment="1">
      <alignment horizontal="left"/>
    </xf>
    <xf numFmtId="0" fontId="0" fillId="0" borderId="0" xfId="0" applyFill="1" applyAlignment="1"/>
    <xf numFmtId="0" fontId="34" fillId="0" borderId="154" xfId="0" applyFont="1" applyBorder="1" applyAlignment="1">
      <alignment horizontal="left"/>
    </xf>
    <xf numFmtId="0" fontId="83" fillId="0" borderId="155" xfId="0" applyFont="1" applyBorder="1"/>
    <xf numFmtId="14" fontId="34" fillId="0" borderId="155" xfId="0" applyNumberFormat="1" applyFont="1" applyBorder="1" applyAlignment="1">
      <alignment horizontal="left"/>
    </xf>
    <xf numFmtId="0" fontId="7" fillId="0" borderId="0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16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0" borderId="0" xfId="0" applyFont="1"/>
    <xf numFmtId="2" fontId="0" fillId="0" borderId="0" xfId="0" applyNumberFormat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ont="1" applyFill="1"/>
    <xf numFmtId="1" fontId="34" fillId="0" borderId="0" xfId="0" applyNumberFormat="1" applyFont="1"/>
    <xf numFmtId="0" fontId="34" fillId="0" borderId="0" xfId="0" applyFont="1" applyAlignment="1">
      <alignment horizontal="center"/>
    </xf>
    <xf numFmtId="0" fontId="0" fillId="0" borderId="0" xfId="0" applyFill="1" applyBorder="1"/>
    <xf numFmtId="0" fontId="0" fillId="0" borderId="0" xfId="0"/>
    <xf numFmtId="0" fontId="0" fillId="5" borderId="0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/>
    <xf numFmtId="0" fontId="40" fillId="0" borderId="0" xfId="0" applyFont="1"/>
    <xf numFmtId="0" fontId="90" fillId="0" borderId="0" xfId="0" applyFont="1"/>
    <xf numFmtId="0" fontId="40" fillId="0" borderId="30" xfId="0" applyFont="1" applyBorder="1" applyAlignment="1">
      <alignment horizontal="center"/>
    </xf>
    <xf numFmtId="0" fontId="40" fillId="0" borderId="30" xfId="0" applyFont="1" applyBorder="1" applyAlignment="1">
      <alignment horizontal="left"/>
    </xf>
    <xf numFmtId="0" fontId="89" fillId="0" borderId="30" xfId="0" applyFont="1" applyBorder="1" applyAlignment="1">
      <alignment horizontal="center" vertical="center"/>
    </xf>
    <xf numFmtId="0" fontId="40" fillId="0" borderId="30" xfId="0" quotePrefix="1" applyFont="1" applyBorder="1" applyAlignment="1">
      <alignment horizontal="center"/>
    </xf>
    <xf numFmtId="0" fontId="40" fillId="0" borderId="30" xfId="0" applyFont="1" applyBorder="1"/>
    <xf numFmtId="0" fontId="40" fillId="0" borderId="30" xfId="0" applyFont="1" applyBorder="1" applyAlignment="1">
      <alignment wrapText="1"/>
    </xf>
    <xf numFmtId="22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89" fillId="0" borderId="30" xfId="0" applyNumberFormat="1" applyFont="1" applyBorder="1" applyAlignment="1">
      <alignment horizontal="center"/>
    </xf>
    <xf numFmtId="0" fontId="40" fillId="0" borderId="30" xfId="0" applyNumberFormat="1" applyFont="1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9" fillId="0" borderId="1" xfId="0" applyFont="1" applyBorder="1" applyAlignment="1"/>
    <xf numFmtId="2" fontId="9" fillId="0" borderId="1" xfId="0" applyNumberFormat="1" applyFont="1" applyBorder="1" applyAlignment="1"/>
    <xf numFmtId="1" fontId="9" fillId="0" borderId="1" xfId="0" applyNumberFormat="1" applyFont="1" applyBorder="1" applyAlignment="1"/>
    <xf numFmtId="0" fontId="9" fillId="8" borderId="1" xfId="0" applyFont="1" applyFill="1" applyBorder="1" applyAlignment="1"/>
    <xf numFmtId="0" fontId="23" fillId="0" borderId="0" xfId="0" applyFont="1"/>
    <xf numFmtId="0" fontId="9" fillId="8" borderId="10" xfId="0" applyFont="1" applyFill="1" applyBorder="1" applyAlignment="1"/>
    <xf numFmtId="165" fontId="9" fillId="0" borderId="1" xfId="0" applyNumberFormat="1" applyFont="1" applyBorder="1" applyAlignment="1"/>
    <xf numFmtId="1" fontId="0" fillId="3" borderId="31" xfId="0" applyNumberFormat="1" applyFill="1" applyBorder="1" applyAlignment="1" applyProtection="1">
      <alignment horizontal="center"/>
      <protection locked="0"/>
    </xf>
    <xf numFmtId="0" fontId="23" fillId="0" borderId="1" xfId="0" applyFont="1" applyBorder="1"/>
    <xf numFmtId="0" fontId="41" fillId="0" borderId="30" xfId="0" applyFont="1" applyBorder="1" applyAlignment="1">
      <alignment horizontal="center" vertical="center"/>
    </xf>
    <xf numFmtId="1" fontId="41" fillId="0" borderId="30" xfId="0" applyNumberFormat="1" applyFont="1" applyBorder="1" applyAlignment="1">
      <alignment horizontal="center" vertical="center"/>
    </xf>
    <xf numFmtId="0" fontId="41" fillId="0" borderId="44" xfId="0" applyFont="1" applyBorder="1" applyAlignment="1">
      <alignment horizontal="left" vertical="center"/>
    </xf>
    <xf numFmtId="0" fontId="41" fillId="0" borderId="0" xfId="0" applyFont="1" applyAlignment="1">
      <alignment horizontal="left" indent="1"/>
    </xf>
    <xf numFmtId="0" fontId="82" fillId="0" borderId="30" xfId="0" applyFont="1" applyBorder="1" applyAlignment="1">
      <alignment horizontal="left" vertical="center"/>
    </xf>
    <xf numFmtId="0" fontId="82" fillId="0" borderId="30" xfId="0" applyFont="1" applyBorder="1" applyAlignment="1">
      <alignment horizontal="center" vertical="center"/>
    </xf>
    <xf numFmtId="0" fontId="41" fillId="0" borderId="30" xfId="0" applyFont="1" applyBorder="1" applyAlignment="1">
      <alignment horizontal="left" vertical="center"/>
    </xf>
    <xf numFmtId="0" fontId="41" fillId="0" borderId="30" xfId="0" quotePrefix="1" applyFont="1" applyBorder="1" applyAlignment="1">
      <alignment horizontal="center" vertical="center"/>
    </xf>
    <xf numFmtId="0" fontId="41" fillId="0" borderId="30" xfId="0" applyFont="1" applyBorder="1" applyAlignment="1">
      <alignment horizontal="left" vertical="center" wrapText="1"/>
    </xf>
    <xf numFmtId="2" fontId="41" fillId="0" borderId="30" xfId="0" applyNumberFormat="1" applyFont="1" applyBorder="1" applyAlignment="1">
      <alignment horizontal="center" vertical="center"/>
    </xf>
    <xf numFmtId="0" fontId="41" fillId="0" borderId="156" xfId="0" applyFont="1" applyBorder="1" applyAlignment="1">
      <alignment horizontal="left" vertical="center"/>
    </xf>
    <xf numFmtId="0" fontId="41" fillId="0" borderId="43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1" fillId="0" borderId="67" xfId="0" applyFont="1" applyBorder="1" applyAlignment="1">
      <alignment horizontal="center" vertical="center"/>
    </xf>
    <xf numFmtId="0" fontId="41" fillId="0" borderId="49" xfId="0" quotePrefix="1" applyFont="1" applyBorder="1" applyAlignment="1">
      <alignment horizontal="center" vertical="center"/>
    </xf>
    <xf numFmtId="0" fontId="41" fillId="0" borderId="44" xfId="0" applyFont="1" applyBorder="1" applyAlignment="1">
      <alignment horizontal="center" vertical="center"/>
    </xf>
    <xf numFmtId="22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2" fontId="5" fillId="0" borderId="54" xfId="0" applyNumberFormat="1" applyFont="1" applyFill="1" applyBorder="1" applyAlignment="1" applyProtection="1">
      <alignment horizontal="center" vertical="center"/>
      <protection locked="0"/>
    </xf>
    <xf numFmtId="2" fontId="5" fillId="0" borderId="43" xfId="0" applyNumberFormat="1" applyFont="1" applyFill="1" applyBorder="1" applyAlignment="1" applyProtection="1">
      <alignment horizontal="center" vertical="center"/>
      <protection locked="0"/>
    </xf>
    <xf numFmtId="1" fontId="5" fillId="0" borderId="54" xfId="0" applyNumberFormat="1" applyFont="1" applyFill="1" applyBorder="1" applyAlignment="1" applyProtection="1">
      <alignment horizontal="center" vertical="center"/>
      <protection locked="0"/>
    </xf>
    <xf numFmtId="1" fontId="5" fillId="0" borderId="43" xfId="0" applyNumberFormat="1" applyFont="1" applyFill="1" applyBorder="1" applyAlignment="1" applyProtection="1">
      <alignment horizontal="center" vertical="center"/>
      <protection locked="0"/>
    </xf>
    <xf numFmtId="1" fontId="41" fillId="0" borderId="30" xfId="0" applyNumberFormat="1" applyFont="1" applyBorder="1" applyAlignment="1">
      <alignment horizontal="center" vertical="center"/>
    </xf>
    <xf numFmtId="0" fontId="65" fillId="0" borderId="0" xfId="0" applyFont="1" applyAlignment="1">
      <alignment horizontal="center"/>
    </xf>
    <xf numFmtId="0" fontId="83" fillId="0" borderId="0" xfId="0" applyFont="1" applyAlignment="1">
      <alignment horizontal="left"/>
    </xf>
    <xf numFmtId="0" fontId="41" fillId="0" borderId="30" xfId="0" applyFont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0" fontId="0" fillId="0" borderId="30" xfId="0" applyBorder="1" applyAlignment="1">
      <alignment horizontal="center" vertical="center"/>
    </xf>
    <xf numFmtId="0" fontId="41" fillId="0" borderId="30" xfId="0" applyNumberFormat="1" applyFont="1" applyBorder="1" applyAlignment="1">
      <alignment horizontal="center" vertical="center"/>
    </xf>
    <xf numFmtId="0" fontId="40" fillId="0" borderId="0" xfId="0" applyFont="1" applyAlignment="1">
      <alignment horizontal="left"/>
    </xf>
    <xf numFmtId="171" fontId="40" fillId="0" borderId="0" xfId="0" applyNumberFormat="1" applyFont="1" applyAlignment="1">
      <alignment horizontal="left"/>
    </xf>
    <xf numFmtId="0" fontId="9" fillId="0" borderId="0" xfId="0" applyNumberFormat="1" applyFont="1" applyAlignment="1">
      <alignment horizontal="left"/>
    </xf>
    <xf numFmtId="0" fontId="65" fillId="0" borderId="0" xfId="0" applyFont="1" applyAlignment="1"/>
    <xf numFmtId="1" fontId="35" fillId="0" borderId="87" xfId="5" applyNumberFormat="1" applyFont="1" applyFill="1" applyBorder="1" applyAlignment="1">
      <alignment horizontal="center" vertical="center" wrapText="1"/>
    </xf>
    <xf numFmtId="1" fontId="35" fillId="0" borderId="124" xfId="5" quotePrefix="1" applyNumberFormat="1" applyFont="1" applyFill="1" applyBorder="1" applyAlignment="1">
      <alignment horizontal="center" vertical="center"/>
    </xf>
    <xf numFmtId="1" fontId="35" fillId="0" borderId="95" xfId="5" applyNumberFormat="1" applyFont="1" applyFill="1" applyBorder="1" applyAlignment="1">
      <alignment vertical="center"/>
    </xf>
    <xf numFmtId="1" fontId="35" fillId="0" borderId="94" xfId="5" applyNumberFormat="1" applyFont="1" applyFill="1" applyBorder="1" applyAlignment="1">
      <alignment vertical="center"/>
    </xf>
    <xf numFmtId="1" fontId="35" fillId="0" borderId="88" xfId="5" applyNumberFormat="1" applyFont="1" applyFill="1" applyBorder="1" applyAlignment="1">
      <alignment vertical="center"/>
    </xf>
    <xf numFmtId="1" fontId="35" fillId="0" borderId="157" xfId="5" applyNumberFormat="1" applyFont="1" applyFill="1" applyBorder="1" applyAlignment="1">
      <alignment vertical="center"/>
    </xf>
    <xf numFmtId="1" fontId="35" fillId="0" borderId="89" xfId="5" applyNumberFormat="1" applyFont="1" applyFill="1" applyBorder="1" applyAlignment="1">
      <alignment vertical="center"/>
    </xf>
    <xf numFmtId="1" fontId="35" fillId="0" borderId="92" xfId="5" applyNumberFormat="1" applyFont="1" applyFill="1" applyBorder="1" applyAlignment="1">
      <alignment vertical="center"/>
    </xf>
    <xf numFmtId="0" fontId="34" fillId="0" borderId="98" xfId="0" applyFont="1" applyFill="1" applyBorder="1" applyAlignment="1">
      <alignment horizontal="left" vertical="center"/>
    </xf>
    <xf numFmtId="0" fontId="34" fillId="0" borderId="94" xfId="0" applyFont="1" applyFill="1" applyBorder="1" applyAlignment="1">
      <alignment horizontal="left" vertical="center"/>
    </xf>
    <xf numFmtId="0" fontId="34" fillId="0" borderId="0" xfId="0" applyFont="1" applyFill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6" fillId="24" borderId="30" xfId="0" applyFont="1" applyFill="1" applyBorder="1" applyAlignment="1" applyProtection="1">
      <alignment horizontal="center" vertical="center"/>
      <protection locked="0"/>
    </xf>
    <xf numFmtId="2" fontId="0" fillId="24" borderId="30" xfId="0" applyNumberFormat="1" applyFont="1" applyFill="1" applyBorder="1" applyAlignment="1" applyProtection="1">
      <alignment horizontal="center" vertical="center"/>
      <protection locked="0"/>
    </xf>
    <xf numFmtId="2" fontId="0" fillId="0" borderId="30" xfId="0" applyNumberFormat="1" applyFont="1" applyBorder="1" applyAlignment="1" applyProtection="1">
      <alignment horizontal="center" vertical="center"/>
      <protection locked="0"/>
    </xf>
    <xf numFmtId="2" fontId="15" fillId="23" borderId="55" xfId="4" applyNumberFormat="1" applyFont="1" applyFill="1" applyBorder="1" applyAlignment="1">
      <alignment vertical="center"/>
    </xf>
    <xf numFmtId="2" fontId="92" fillId="23" borderId="42" xfId="4" applyNumberFormat="1" applyFont="1" applyFill="1" applyBorder="1" applyAlignment="1">
      <alignment vertical="center"/>
    </xf>
    <xf numFmtId="0" fontId="0" fillId="0" borderId="30" xfId="0" quotePrefix="1" applyFont="1" applyBorder="1" applyAlignment="1" applyProtection="1">
      <alignment horizontal="center" vertical="center"/>
      <protection locked="0"/>
    </xf>
    <xf numFmtId="0" fontId="5" fillId="0" borderId="0" xfId="0" applyNumberFormat="1" applyFont="1" applyFill="1" applyBorder="1" applyAlignment="1" applyProtection="1">
      <protection locked="0"/>
    </xf>
    <xf numFmtId="0" fontId="5" fillId="0" borderId="0" xfId="0" applyNumberFormat="1" applyFont="1" applyFill="1" applyBorder="1" applyAlignment="1" applyProtection="1">
      <alignment horizontal="center" vertical="center"/>
      <protection locked="0"/>
    </xf>
    <xf numFmtId="0" fontId="22" fillId="5" borderId="0" xfId="0" applyFont="1" applyFill="1"/>
    <xf numFmtId="0" fontId="22" fillId="0" borderId="0" xfId="0" applyFont="1" applyFill="1"/>
    <xf numFmtId="2" fontId="70" fillId="0" borderId="30" xfId="5" applyNumberFormat="1" applyFont="1" applyFill="1" applyBorder="1" applyAlignment="1">
      <alignment horizontal="center" vertical="center" wrapText="1"/>
    </xf>
    <xf numFmtId="0" fontId="88" fillId="0" borderId="164" xfId="0" applyFont="1" applyFill="1" applyBorder="1" applyAlignment="1">
      <alignment horizontal="left"/>
    </xf>
    <xf numFmtId="0" fontId="34" fillId="5" borderId="0" xfId="0" applyFont="1" applyFill="1"/>
    <xf numFmtId="0" fontId="34" fillId="0" borderId="0" xfId="0" applyFont="1" applyAlignment="1">
      <alignment horizontal="left"/>
    </xf>
    <xf numFmtId="0" fontId="34" fillId="4" borderId="30" xfId="0" applyFont="1" applyFill="1" applyBorder="1" applyAlignment="1">
      <alignment horizontal="left"/>
    </xf>
    <xf numFmtId="0" fontId="42" fillId="4" borderId="30" xfId="0" applyFont="1" applyFill="1" applyBorder="1" applyAlignment="1">
      <alignment horizontal="left"/>
    </xf>
    <xf numFmtId="0" fontId="0" fillId="4" borderId="30" xfId="0" applyFill="1" applyBorder="1" applyAlignment="1">
      <alignment horizontal="left"/>
    </xf>
    <xf numFmtId="0" fontId="34" fillId="4" borderId="30" xfId="0" applyFont="1" applyFill="1" applyBorder="1" applyAlignment="1">
      <alignment horizontal="left" wrapText="1"/>
    </xf>
    <xf numFmtId="0" fontId="42" fillId="0" borderId="0" xfId="0" applyFont="1" applyAlignment="1">
      <alignment horizontal="left"/>
    </xf>
    <xf numFmtId="0" fontId="40" fillId="0" borderId="30" xfId="0" applyFont="1" applyFill="1" applyBorder="1" applyAlignment="1">
      <alignment horizontal="left"/>
    </xf>
    <xf numFmtId="0" fontId="80" fillId="0" borderId="30" xfId="0" applyFont="1" applyFill="1" applyBorder="1" applyAlignment="1">
      <alignment horizontal="left"/>
    </xf>
    <xf numFmtId="0" fontId="34" fillId="0" borderId="164" xfId="0" applyFont="1" applyFill="1" applyBorder="1" applyAlignment="1">
      <alignment horizontal="left"/>
    </xf>
    <xf numFmtId="0" fontId="41" fillId="0" borderId="0" xfId="0" applyFont="1" applyAlignment="1">
      <alignment horizontal="center"/>
    </xf>
    <xf numFmtId="0" fontId="22" fillId="22" borderId="0" xfId="0" applyFont="1" applyFill="1"/>
    <xf numFmtId="0" fontId="0" fillId="22" borderId="0" xfId="0" applyFill="1"/>
    <xf numFmtId="0" fontId="0" fillId="0" borderId="30" xfId="0" applyBorder="1" applyAlignment="1" applyProtection="1">
      <alignment horizontal="center" vertical="center"/>
      <protection locked="0"/>
    </xf>
    <xf numFmtId="1" fontId="0" fillId="4" borderId="0" xfId="0" applyNumberFormat="1" applyFill="1" applyProtection="1">
      <protection locked="0"/>
    </xf>
    <xf numFmtId="0" fontId="41" fillId="0" borderId="30" xfId="0" applyFont="1" applyBorder="1" applyAlignment="1">
      <alignment horizontal="center" vertical="center"/>
    </xf>
    <xf numFmtId="164" fontId="35" fillId="8" borderId="98" xfId="5" applyNumberFormat="1" applyFont="1" applyFill="1" applyBorder="1" applyAlignment="1">
      <alignment horizontal="center" vertical="center"/>
    </xf>
    <xf numFmtId="164" fontId="35" fillId="8" borderId="99" xfId="5" applyNumberFormat="1" applyFont="1" applyFill="1" applyBorder="1" applyAlignment="1">
      <alignment horizontal="center" vertical="center"/>
    </xf>
    <xf numFmtId="0" fontId="41" fillId="0" borderId="3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6" borderId="0" xfId="0" applyFont="1" applyFill="1" applyAlignment="1" applyProtection="1">
      <alignment horizontal="center"/>
      <protection locked="0"/>
    </xf>
    <xf numFmtId="0" fontId="0" fillId="26" borderId="0" xfId="0" applyFill="1" applyAlignment="1"/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30" xfId="0" applyBorder="1" applyAlignment="1">
      <alignment horizontal="center" vertical="center"/>
    </xf>
    <xf numFmtId="2" fontId="5" fillId="0" borderId="44" xfId="0" applyNumberFormat="1" applyFont="1" applyFill="1" applyBorder="1" applyAlignment="1" applyProtection="1">
      <alignment horizontal="center" vertical="center"/>
      <protection locked="0"/>
    </xf>
    <xf numFmtId="0" fontId="34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quotePrefix="1" applyFont="1" applyAlignment="1" applyProtection="1">
      <alignment horizontal="left" vertical="center" wrapText="1"/>
      <protection locked="0"/>
    </xf>
    <xf numFmtId="0" fontId="0" fillId="27" borderId="0" xfId="0" applyFill="1"/>
    <xf numFmtId="0" fontId="0" fillId="0" borderId="30" xfId="0" applyBorder="1" applyAlignment="1">
      <alignment horizontal="center" vertical="center"/>
    </xf>
    <xf numFmtId="0" fontId="0" fillId="0" borderId="30" xfId="0" applyFont="1" applyBorder="1"/>
    <xf numFmtId="0" fontId="0" fillId="0" borderId="0" xfId="0" applyAlignment="1">
      <alignment horizontal="center"/>
    </xf>
    <xf numFmtId="0" fontId="16" fillId="4" borderId="10" xfId="0" applyFont="1" applyFill="1" applyBorder="1" applyAlignment="1" applyProtection="1">
      <alignment horizontal="center"/>
      <protection locked="0"/>
    </xf>
    <xf numFmtId="0" fontId="16" fillId="4" borderId="17" xfId="0" applyFont="1" applyFill="1" applyBorder="1" applyAlignment="1" applyProtection="1">
      <alignment horizontal="center"/>
      <protection locked="0"/>
    </xf>
    <xf numFmtId="0" fontId="16" fillId="4" borderId="2" xfId="0" applyFont="1" applyFill="1" applyBorder="1" applyAlignment="1" applyProtection="1">
      <alignment horizontal="center"/>
      <protection locked="0"/>
    </xf>
    <xf numFmtId="2" fontId="0" fillId="0" borderId="1" xfId="0" applyNumberFormat="1" applyBorder="1" applyAlignment="1">
      <alignment vertical="justify"/>
    </xf>
    <xf numFmtId="164" fontId="0" fillId="0" borderId="1" xfId="0" applyNumberFormat="1" applyBorder="1" applyAlignment="1" applyProtection="1">
      <alignment horizontal="center"/>
      <protection locked="0"/>
    </xf>
    <xf numFmtId="0" fontId="0" fillId="4" borderId="10" xfId="0" applyFont="1" applyFill="1" applyBorder="1" applyAlignment="1" applyProtection="1">
      <alignment horizontal="center"/>
      <protection locked="0"/>
    </xf>
    <xf numFmtId="0" fontId="0" fillId="4" borderId="17" xfId="0" applyFont="1" applyFill="1" applyBorder="1" applyAlignment="1" applyProtection="1">
      <alignment horizontal="center"/>
      <protection locked="0"/>
    </xf>
    <xf numFmtId="0" fontId="0" fillId="4" borderId="2" xfId="0" applyFont="1" applyFill="1" applyBorder="1" applyAlignment="1" applyProtection="1">
      <alignment horizontal="center"/>
      <protection locked="0"/>
    </xf>
    <xf numFmtId="0" fontId="16" fillId="4" borderId="10" xfId="0" applyFont="1" applyFill="1" applyBorder="1" applyAlignment="1" applyProtection="1">
      <alignment horizontal="center"/>
      <protection locked="0"/>
    </xf>
    <xf numFmtId="0" fontId="16" fillId="4" borderId="17" xfId="0" applyFont="1" applyFill="1" applyBorder="1" applyAlignment="1" applyProtection="1">
      <alignment horizontal="center"/>
      <protection locked="0"/>
    </xf>
    <xf numFmtId="0" fontId="16" fillId="4" borderId="2" xfId="0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14" fillId="14" borderId="39" xfId="4" applyFont="1" applyBorder="1" applyAlignment="1" applyProtection="1">
      <alignment horizontal="center" vertical="center"/>
      <protection locked="0"/>
    </xf>
    <xf numFmtId="0" fontId="14" fillId="14" borderId="22" xfId="4" applyFont="1" applyBorder="1" applyAlignment="1" applyProtection="1">
      <alignment horizontal="center" vertical="center"/>
      <protection locked="0"/>
    </xf>
    <xf numFmtId="0" fontId="31" fillId="23" borderId="1" xfId="0" applyFont="1" applyFill="1" applyBorder="1" applyAlignment="1" applyProtection="1">
      <alignment horizontal="center" vertical="center"/>
      <protection locked="0"/>
    </xf>
    <xf numFmtId="0" fontId="0" fillId="4" borderId="62" xfId="0" applyFont="1" applyFill="1" applyBorder="1" applyAlignment="1" applyProtection="1">
      <alignment horizontal="center" vertical="center"/>
      <protection locked="0"/>
    </xf>
    <xf numFmtId="0" fontId="0" fillId="4" borderId="63" xfId="0" applyFont="1" applyFill="1" applyBorder="1" applyAlignment="1" applyProtection="1">
      <alignment horizontal="center" vertical="center"/>
      <protection locked="0"/>
    </xf>
    <xf numFmtId="0" fontId="0" fillId="4" borderId="64" xfId="0" applyFont="1" applyFill="1" applyBorder="1" applyAlignment="1" applyProtection="1">
      <alignment horizontal="center" vertical="center"/>
      <protection locked="0"/>
    </xf>
    <xf numFmtId="0" fontId="0" fillId="4" borderId="37" xfId="0" applyFont="1" applyFill="1" applyBorder="1" applyAlignment="1" applyProtection="1">
      <alignment horizontal="center" vertical="center"/>
      <protection locked="0"/>
    </xf>
    <xf numFmtId="0" fontId="0" fillId="4" borderId="55" xfId="0" applyFont="1" applyFill="1" applyBorder="1" applyAlignment="1" applyProtection="1">
      <alignment horizontal="center" vertical="center"/>
      <protection locked="0"/>
    </xf>
    <xf numFmtId="2" fontId="15" fillId="23" borderId="37" xfId="4" applyNumberFormat="1" applyFont="1" applyFill="1" applyBorder="1" applyAlignment="1">
      <alignment horizontal="center" vertical="center"/>
    </xf>
    <xf numFmtId="2" fontId="15" fillId="23" borderId="39" xfId="4" applyNumberFormat="1" applyFont="1" applyFill="1" applyBorder="1" applyAlignment="1">
      <alignment horizontal="center" vertical="center"/>
    </xf>
    <xf numFmtId="2" fontId="15" fillId="23" borderId="119" xfId="4" applyNumberFormat="1" applyFont="1" applyFill="1" applyBorder="1" applyAlignment="1">
      <alignment horizontal="center" vertical="center"/>
    </xf>
    <xf numFmtId="0" fontId="54" fillId="0" borderId="103" xfId="0" applyFont="1" applyBorder="1" applyAlignment="1">
      <alignment horizontal="center" vertical="center"/>
    </xf>
    <xf numFmtId="0" fontId="54" fillId="0" borderId="104" xfId="0" applyFont="1" applyBorder="1" applyAlignment="1">
      <alignment horizontal="center" vertical="center"/>
    </xf>
    <xf numFmtId="0" fontId="54" fillId="0" borderId="128" xfId="0" applyFont="1" applyBorder="1" applyAlignment="1">
      <alignment horizontal="center" vertical="center"/>
    </xf>
    <xf numFmtId="0" fontId="54" fillId="0" borderId="44" xfId="0" applyFont="1" applyBorder="1" applyAlignment="1">
      <alignment horizontal="left" vertical="center"/>
    </xf>
    <xf numFmtId="0" fontId="54" fillId="0" borderId="46" xfId="0" applyFont="1" applyBorder="1" applyAlignment="1">
      <alignment horizontal="left" vertical="center"/>
    </xf>
    <xf numFmtId="0" fontId="53" fillId="0" borderId="0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28" xfId="0" applyFont="1" applyBorder="1" applyAlignment="1">
      <alignment horizontal="center" vertical="center"/>
    </xf>
    <xf numFmtId="0" fontId="41" fillId="0" borderId="30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/>
    </xf>
    <xf numFmtId="1" fontId="41" fillId="0" borderId="30" xfId="0" applyNumberFormat="1" applyFont="1" applyBorder="1" applyAlignment="1">
      <alignment horizontal="center" vertical="center"/>
    </xf>
    <xf numFmtId="1" fontId="41" fillId="4" borderId="30" xfId="0" applyNumberFormat="1" applyFont="1" applyFill="1" applyBorder="1" applyAlignment="1">
      <alignment horizontal="center" vertical="center"/>
    </xf>
    <xf numFmtId="0" fontId="73" fillId="0" borderId="37" xfId="0" applyNumberFormat="1" applyFont="1" applyFill="1" applyBorder="1" applyAlignment="1" applyProtection="1">
      <alignment horizontal="center"/>
      <protection locked="0"/>
    </xf>
    <xf numFmtId="0" fontId="73" fillId="0" borderId="55" xfId="0" applyNumberFormat="1" applyFont="1" applyFill="1" applyBorder="1" applyAlignment="1" applyProtection="1">
      <alignment horizontal="center"/>
      <protection locked="0"/>
    </xf>
    <xf numFmtId="0" fontId="73" fillId="0" borderId="56" xfId="0" applyNumberFormat="1" applyFont="1" applyFill="1" applyBorder="1" applyAlignment="1" applyProtection="1">
      <alignment horizontal="center"/>
      <protection locked="0"/>
    </xf>
    <xf numFmtId="0" fontId="73" fillId="0" borderId="58" xfId="0" applyNumberFormat="1" applyFont="1" applyFill="1" applyBorder="1" applyAlignment="1" applyProtection="1">
      <alignment horizontal="center"/>
      <protection locked="0"/>
    </xf>
    <xf numFmtId="0" fontId="78" fillId="8" borderId="0" xfId="0" applyFont="1" applyFill="1" applyAlignment="1">
      <alignment horizontal="center" wrapText="1"/>
    </xf>
    <xf numFmtId="0" fontId="57" fillId="0" borderId="39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0" fontId="57" fillId="0" borderId="42" xfId="0" applyFont="1" applyBorder="1" applyAlignment="1">
      <alignment horizontal="center" vertical="center"/>
    </xf>
    <xf numFmtId="0" fontId="57" fillId="0" borderId="56" xfId="0" applyFont="1" applyBorder="1" applyAlignment="1">
      <alignment horizontal="center" vertical="center"/>
    </xf>
    <xf numFmtId="0" fontId="57" fillId="0" borderId="57" xfId="0" applyFont="1" applyBorder="1" applyAlignment="1">
      <alignment horizontal="center" vertical="center"/>
    </xf>
    <xf numFmtId="0" fontId="57" fillId="0" borderId="58" xfId="0" applyFont="1" applyBorder="1" applyAlignment="1">
      <alignment horizontal="center" vertical="center"/>
    </xf>
    <xf numFmtId="0" fontId="75" fillId="0" borderId="56" xfId="0" applyFont="1" applyBorder="1" applyAlignment="1">
      <alignment horizontal="center" vertical="center"/>
    </xf>
    <xf numFmtId="0" fontId="75" fillId="0" borderId="57" xfId="0" applyFont="1" applyBorder="1" applyAlignment="1">
      <alignment horizontal="center" vertical="center"/>
    </xf>
    <xf numFmtId="0" fontId="75" fillId="0" borderId="58" xfId="0" applyFont="1" applyBorder="1" applyAlignment="1">
      <alignment horizontal="center" vertical="center"/>
    </xf>
    <xf numFmtId="0" fontId="73" fillId="0" borderId="62" xfId="0" applyNumberFormat="1" applyFont="1" applyFill="1" applyBorder="1" applyAlignment="1" applyProtection="1">
      <alignment horizontal="center"/>
      <protection locked="0"/>
    </xf>
    <xf numFmtId="0" fontId="73" fillId="0" borderId="63" xfId="0" applyNumberFormat="1" applyFont="1" applyFill="1" applyBorder="1" applyAlignment="1" applyProtection="1">
      <alignment horizontal="center"/>
      <protection locked="0"/>
    </xf>
    <xf numFmtId="0" fontId="73" fillId="0" borderId="64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60" fillId="0" borderId="1" xfId="0" applyNumberFormat="1" applyFont="1" applyBorder="1" applyAlignment="1" applyProtection="1">
      <alignment horizontal="center" vertical="center"/>
      <protection hidden="1"/>
    </xf>
    <xf numFmtId="49" fontId="64" fillId="0" borderId="0" xfId="0" applyNumberFormat="1" applyFont="1" applyFill="1" applyBorder="1" applyAlignment="1">
      <alignment horizontal="left" vertical="center"/>
    </xf>
    <xf numFmtId="0" fontId="57" fillId="0" borderId="23" xfId="0" applyFont="1" applyBorder="1" applyAlignment="1">
      <alignment horizontal="center" vertical="center"/>
    </xf>
    <xf numFmtId="0" fontId="57" fillId="0" borderId="31" xfId="0" applyFont="1" applyBorder="1" applyAlignment="1">
      <alignment horizontal="center" vertical="center"/>
    </xf>
    <xf numFmtId="0" fontId="45" fillId="0" borderId="1" xfId="0" applyFont="1" applyBorder="1" applyAlignment="1" applyProtection="1">
      <alignment horizontal="center" vertical="center"/>
      <protection hidden="1"/>
    </xf>
    <xf numFmtId="0" fontId="45" fillId="0" borderId="1" xfId="1" applyFont="1" applyBorder="1" applyAlignment="1" applyProtection="1">
      <alignment horizontal="center" vertical="center"/>
      <protection hidden="1"/>
    </xf>
    <xf numFmtId="0" fontId="51" fillId="0" borderId="2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22" xfId="0" applyFont="1" applyBorder="1" applyAlignment="1">
      <alignment horizontal="center" vertical="center"/>
    </xf>
    <xf numFmtId="0" fontId="51" fillId="0" borderId="23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25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9" fillId="0" borderId="20" xfId="0" applyFont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22" fontId="48" fillId="0" borderId="10" xfId="0" applyNumberFormat="1" applyFont="1" applyBorder="1" applyAlignment="1">
      <alignment horizontal="center" vertical="center"/>
    </xf>
    <xf numFmtId="0" fontId="48" fillId="0" borderId="17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19" xfId="0" applyFont="1" applyBorder="1" applyAlignment="1">
      <alignment horizontal="center" vertical="center"/>
    </xf>
    <xf numFmtId="0" fontId="48" fillId="0" borderId="18" xfId="0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49" fillId="0" borderId="10" xfId="0" applyFont="1" applyBorder="1" applyAlignment="1">
      <alignment horizontal="left" vertical="center"/>
    </xf>
    <xf numFmtId="0" fontId="49" fillId="0" borderId="17" xfId="0" applyFont="1" applyBorder="1" applyAlignment="1">
      <alignment horizontal="left" vertical="center"/>
    </xf>
    <xf numFmtId="0" fontId="58" fillId="0" borderId="1" xfId="0" applyFont="1" applyBorder="1" applyAlignment="1" applyProtection="1">
      <alignment horizontal="center" vertical="center"/>
      <protection hidden="1"/>
    </xf>
    <xf numFmtId="0" fontId="60" fillId="0" borderId="1" xfId="1" applyFont="1" applyBorder="1" applyAlignment="1" applyProtection="1">
      <alignment horizontal="center" vertical="center"/>
      <protection hidden="1"/>
    </xf>
    <xf numFmtId="0" fontId="58" fillId="0" borderId="1" xfId="1" applyFont="1" applyBorder="1" applyAlignment="1" applyProtection="1">
      <alignment horizontal="center" vertical="center"/>
      <protection hidden="1"/>
    </xf>
    <xf numFmtId="0" fontId="60" fillId="0" borderId="1" xfId="0" applyFont="1" applyFill="1" applyBorder="1" applyAlignment="1" applyProtection="1">
      <alignment horizontal="center" vertical="center" wrapText="1"/>
      <protection hidden="1"/>
    </xf>
    <xf numFmtId="0" fontId="60" fillId="0" borderId="1" xfId="0" applyFont="1" applyFill="1" applyBorder="1" applyAlignment="1" applyProtection="1">
      <alignment horizontal="center" vertical="center"/>
      <protection hidden="1"/>
    </xf>
    <xf numFmtId="164" fontId="45" fillId="0" borderId="10" xfId="1" applyNumberFormat="1" applyFont="1" applyFill="1" applyBorder="1" applyAlignment="1" applyProtection="1">
      <alignment horizontal="center" vertical="center"/>
      <protection hidden="1"/>
    </xf>
    <xf numFmtId="164" fontId="45" fillId="0" borderId="2" xfId="1" applyNumberFormat="1" applyFont="1" applyFill="1" applyBorder="1" applyAlignment="1" applyProtection="1">
      <alignment horizontal="center" vertical="center"/>
      <protection hidden="1"/>
    </xf>
    <xf numFmtId="0" fontId="45" fillId="0" borderId="10" xfId="0" applyFont="1" applyBorder="1" applyAlignment="1" applyProtection="1">
      <alignment horizontal="center" vertical="center"/>
      <protection hidden="1"/>
    </xf>
    <xf numFmtId="0" fontId="45" fillId="0" borderId="2" xfId="0" applyFont="1" applyBorder="1" applyAlignment="1" applyProtection="1">
      <alignment horizontal="center" vertical="center"/>
      <protection hidden="1"/>
    </xf>
    <xf numFmtId="0" fontId="49" fillId="0" borderId="19" xfId="0" applyFont="1" applyBorder="1" applyAlignment="1">
      <alignment horizontal="left" vertical="center"/>
    </xf>
    <xf numFmtId="0" fontId="49" fillId="0" borderId="18" xfId="0" applyFont="1" applyBorder="1" applyAlignment="1">
      <alignment horizontal="left" vertical="center"/>
    </xf>
    <xf numFmtId="0" fontId="49" fillId="0" borderId="4" xfId="0" applyFont="1" applyBorder="1" applyAlignment="1">
      <alignment horizontal="left" vertical="center"/>
    </xf>
    <xf numFmtId="2" fontId="61" fillId="0" borderId="0" xfId="0" applyNumberFormat="1" applyFont="1" applyFill="1" applyBorder="1" applyAlignment="1" applyProtection="1">
      <alignment horizontal="left" vertical="center" wrapText="1"/>
      <protection hidden="1"/>
    </xf>
    <xf numFmtId="2" fontId="61" fillId="0" borderId="22" xfId="0" applyNumberFormat="1" applyFont="1" applyFill="1" applyBorder="1" applyAlignment="1" applyProtection="1">
      <alignment horizontal="left" vertical="center" wrapText="1"/>
      <protection hidden="1"/>
    </xf>
    <xf numFmtId="0" fontId="61" fillId="0" borderId="0" xfId="6" applyFont="1" applyBorder="1" applyAlignment="1" applyProtection="1">
      <alignment horizontal="left" vertical="center" wrapText="1"/>
      <protection hidden="1"/>
    </xf>
    <xf numFmtId="0" fontId="41" fillId="0" borderId="44" xfId="0" applyFont="1" applyBorder="1" applyAlignment="1">
      <alignment horizontal="left" vertical="center"/>
    </xf>
    <xf numFmtId="0" fontId="41" fillId="0" borderId="46" xfId="0" applyFont="1" applyBorder="1" applyAlignment="1">
      <alignment horizontal="left" vertical="center"/>
    </xf>
    <xf numFmtId="0" fontId="53" fillId="0" borderId="66" xfId="0" applyFont="1" applyBorder="1" applyAlignment="1">
      <alignment horizontal="center" vertical="center"/>
    </xf>
    <xf numFmtId="0" fontId="53" fillId="0" borderId="103" xfId="0" applyFont="1" applyBorder="1" applyAlignment="1">
      <alignment horizontal="center" vertical="center"/>
    </xf>
    <xf numFmtId="0" fontId="55" fillId="0" borderId="103" xfId="0" applyFont="1" applyBorder="1" applyAlignment="1">
      <alignment horizontal="center" vertical="center"/>
    </xf>
    <xf numFmtId="0" fontId="55" fillId="0" borderId="104" xfId="0" applyFont="1" applyBorder="1" applyAlignment="1">
      <alignment horizontal="center" vertical="center"/>
    </xf>
    <xf numFmtId="0" fontId="55" fillId="0" borderId="128" xfId="0" applyFont="1" applyBorder="1" applyAlignment="1">
      <alignment horizontal="center" vertical="center"/>
    </xf>
    <xf numFmtId="0" fontId="56" fillId="0" borderId="54" xfId="0" applyFont="1" applyBorder="1" applyAlignment="1">
      <alignment horizontal="center" vertical="center" wrapText="1"/>
    </xf>
    <xf numFmtId="0" fontId="56" fillId="0" borderId="127" xfId="0" applyFont="1" applyBorder="1" applyAlignment="1">
      <alignment horizontal="center" vertical="center" wrapText="1"/>
    </xf>
    <xf numFmtId="0" fontId="56" fillId="0" borderId="66" xfId="0" applyFont="1" applyBorder="1" applyAlignment="1">
      <alignment horizontal="center" vertical="center" wrapText="1"/>
    </xf>
    <xf numFmtId="0" fontId="56" fillId="0" borderId="68" xfId="0" applyFont="1" applyBorder="1" applyAlignment="1">
      <alignment horizontal="center" vertical="center" wrapText="1"/>
    </xf>
    <xf numFmtId="0" fontId="56" fillId="0" borderId="103" xfId="0" applyFont="1" applyBorder="1" applyAlignment="1">
      <alignment horizontal="center" vertical="center" wrapText="1"/>
    </xf>
    <xf numFmtId="0" fontId="56" fillId="0" borderId="128" xfId="0" applyFont="1" applyBorder="1" applyAlignment="1">
      <alignment horizontal="center" vertical="center" wrapText="1"/>
    </xf>
    <xf numFmtId="0" fontId="56" fillId="0" borderId="54" xfId="0" applyFont="1" applyBorder="1" applyAlignment="1">
      <alignment horizontal="center" vertical="center"/>
    </xf>
    <xf numFmtId="0" fontId="56" fillId="0" borderId="127" xfId="0" applyFont="1" applyBorder="1" applyAlignment="1">
      <alignment horizontal="center" vertical="center"/>
    </xf>
    <xf numFmtId="0" fontId="56" fillId="0" borderId="66" xfId="0" applyFont="1" applyBorder="1" applyAlignment="1">
      <alignment horizontal="center" vertical="center"/>
    </xf>
    <xf numFmtId="0" fontId="56" fillId="0" borderId="68" xfId="0" applyFont="1" applyBorder="1" applyAlignment="1">
      <alignment horizontal="center" vertical="center"/>
    </xf>
    <xf numFmtId="0" fontId="56" fillId="0" borderId="103" xfId="0" applyFont="1" applyBorder="1" applyAlignment="1">
      <alignment horizontal="center" vertical="center"/>
    </xf>
    <xf numFmtId="0" fontId="56" fillId="0" borderId="128" xfId="0" applyFont="1" applyBorder="1" applyAlignment="1">
      <alignment horizontal="center" vertical="center"/>
    </xf>
    <xf numFmtId="1" fontId="56" fillId="0" borderId="54" xfId="0" applyNumberFormat="1" applyFont="1" applyBorder="1" applyAlignment="1">
      <alignment horizontal="center" vertical="center"/>
    </xf>
    <xf numFmtId="1" fontId="56" fillId="0" borderId="127" xfId="0" applyNumberFormat="1" applyFont="1" applyBorder="1" applyAlignment="1">
      <alignment horizontal="center" vertical="center"/>
    </xf>
    <xf numFmtId="1" fontId="56" fillId="0" borderId="66" xfId="0" applyNumberFormat="1" applyFont="1" applyBorder="1" applyAlignment="1">
      <alignment horizontal="center" vertical="center"/>
    </xf>
    <xf numFmtId="1" fontId="56" fillId="0" borderId="68" xfId="0" applyNumberFormat="1" applyFont="1" applyBorder="1" applyAlignment="1">
      <alignment horizontal="center" vertical="center"/>
    </xf>
    <xf numFmtId="1" fontId="56" fillId="0" borderId="103" xfId="0" applyNumberFormat="1" applyFont="1" applyBorder="1" applyAlignment="1">
      <alignment horizontal="center" vertical="center"/>
    </xf>
    <xf numFmtId="1" fontId="56" fillId="0" borderId="128" xfId="0" applyNumberFormat="1" applyFont="1" applyBorder="1" applyAlignment="1">
      <alignment horizontal="center" vertical="center"/>
    </xf>
    <xf numFmtId="0" fontId="56" fillId="0" borderId="83" xfId="0" applyFont="1" applyBorder="1" applyAlignment="1">
      <alignment horizontal="center" vertical="center"/>
    </xf>
    <xf numFmtId="0" fontId="56" fillId="0" borderId="0" xfId="0" applyFont="1" applyBorder="1" applyAlignment="1">
      <alignment horizontal="center" vertical="center"/>
    </xf>
    <xf numFmtId="0" fontId="56" fillId="0" borderId="104" xfId="0" applyFont="1" applyBorder="1" applyAlignment="1">
      <alignment horizontal="center" vertical="center"/>
    </xf>
    <xf numFmtId="1" fontId="35" fillId="0" borderId="98" xfId="5" applyNumberFormat="1" applyFont="1" applyBorder="1" applyAlignment="1">
      <alignment horizontal="center" vertical="center"/>
    </xf>
    <xf numFmtId="1" fontId="35" fillId="0" borderId="99" xfId="5" applyNumberFormat="1" applyFont="1" applyBorder="1" applyAlignment="1">
      <alignment horizontal="center" vertical="center"/>
    </xf>
    <xf numFmtId="1" fontId="35" fillId="0" borderId="97" xfId="5" applyNumberFormat="1" applyFont="1" applyBorder="1" applyAlignment="1">
      <alignment horizontal="center" vertical="center"/>
    </xf>
    <xf numFmtId="1" fontId="35" fillId="24" borderId="98" xfId="5" applyNumberFormat="1" applyFont="1" applyFill="1" applyBorder="1" applyAlignment="1">
      <alignment horizontal="center" vertical="center"/>
    </xf>
    <xf numFmtId="1" fontId="35" fillId="24" borderId="99" xfId="5" applyNumberFormat="1" applyFont="1" applyFill="1" applyBorder="1" applyAlignment="1">
      <alignment horizontal="center" vertical="center"/>
    </xf>
    <xf numFmtId="1" fontId="35" fillId="24" borderId="97" xfId="5" applyNumberFormat="1" applyFont="1" applyFill="1" applyBorder="1" applyAlignment="1">
      <alignment horizontal="center" vertical="center"/>
    </xf>
    <xf numFmtId="0" fontId="34" fillId="0" borderId="151" xfId="0" applyFont="1" applyBorder="1" applyAlignment="1">
      <alignment horizontal="center" vertical="center"/>
    </xf>
    <xf numFmtId="0" fontId="34" fillId="0" borderId="152" xfId="0" applyFont="1" applyBorder="1" applyAlignment="1">
      <alignment horizontal="center" vertical="center"/>
    </xf>
    <xf numFmtId="0" fontId="34" fillId="0" borderId="153" xfId="0" applyFont="1" applyBorder="1" applyAlignment="1">
      <alignment horizontal="center" vertical="center"/>
    </xf>
    <xf numFmtId="1" fontId="35" fillId="8" borderId="98" xfId="5" applyNumberFormat="1" applyFont="1" applyFill="1" applyBorder="1" applyAlignment="1">
      <alignment horizontal="center" vertical="center"/>
    </xf>
    <xf numFmtId="1" fontId="35" fillId="8" borderId="99" xfId="5" applyNumberFormat="1" applyFont="1" applyFill="1" applyBorder="1" applyAlignment="1">
      <alignment horizontal="center" vertical="center"/>
    </xf>
    <xf numFmtId="1" fontId="35" fillId="8" borderId="97" xfId="5" applyNumberFormat="1" applyFont="1" applyFill="1" applyBorder="1" applyAlignment="1">
      <alignment horizontal="center" vertical="center"/>
    </xf>
    <xf numFmtId="1" fontId="34" fillId="8" borderId="98" xfId="5" applyNumberFormat="1" applyFont="1" applyFill="1" applyBorder="1" applyAlignment="1">
      <alignment horizontal="center" vertical="center"/>
    </xf>
    <xf numFmtId="1" fontId="34" fillId="8" borderId="99" xfId="5" applyNumberFormat="1" applyFont="1" applyFill="1" applyBorder="1" applyAlignment="1">
      <alignment horizontal="center" vertical="center"/>
    </xf>
    <xf numFmtId="1" fontId="34" fillId="8" borderId="97" xfId="5" applyNumberFormat="1" applyFont="1" applyFill="1" applyBorder="1" applyAlignment="1">
      <alignment horizontal="center" vertical="center"/>
    </xf>
    <xf numFmtId="1" fontId="70" fillId="0" borderId="158" xfId="5" applyNumberFormat="1" applyFont="1" applyFill="1" applyBorder="1" applyAlignment="1">
      <alignment horizontal="center" vertical="center" wrapText="1"/>
    </xf>
    <xf numFmtId="1" fontId="70" fillId="0" borderId="123" xfId="5" applyNumberFormat="1" applyFont="1" applyFill="1" applyBorder="1" applyAlignment="1">
      <alignment horizontal="center" vertical="center" wrapText="1"/>
    </xf>
    <xf numFmtId="1" fontId="70" fillId="0" borderId="43" xfId="5" applyNumberFormat="1" applyFont="1" applyFill="1" applyBorder="1" applyAlignment="1">
      <alignment horizontal="left" vertical="center" wrapText="1"/>
    </xf>
    <xf numFmtId="1" fontId="70" fillId="0" borderId="87" xfId="5" applyNumberFormat="1" applyFont="1" applyFill="1" applyBorder="1" applyAlignment="1">
      <alignment horizontal="left" vertical="center" wrapText="1"/>
    </xf>
    <xf numFmtId="2" fontId="70" fillId="0" borderId="159" xfId="5" applyNumberFormat="1" applyFont="1" applyBorder="1" applyAlignment="1">
      <alignment horizontal="center" vertical="center" wrapText="1"/>
    </xf>
    <xf numFmtId="2" fontId="70" fillId="0" borderId="160" xfId="5" applyNumberFormat="1" applyFont="1" applyBorder="1" applyAlignment="1">
      <alignment horizontal="center" vertical="center" wrapText="1"/>
    </xf>
    <xf numFmtId="2" fontId="70" fillId="0" borderId="161" xfId="5" applyNumberFormat="1" applyFont="1" applyBorder="1" applyAlignment="1">
      <alignment horizontal="center" vertical="center" wrapText="1"/>
    </xf>
    <xf numFmtId="1" fontId="35" fillId="0" borderId="43" xfId="5" applyNumberFormat="1" applyFont="1" applyFill="1" applyBorder="1" applyAlignment="1">
      <alignment horizontal="center" vertical="center" wrapText="1"/>
    </xf>
    <xf numFmtId="1" fontId="35" fillId="0" borderId="87" xfId="5" applyNumberFormat="1" applyFont="1" applyFill="1" applyBorder="1" applyAlignment="1">
      <alignment horizontal="center" vertical="center" wrapText="1"/>
    </xf>
    <xf numFmtId="1" fontId="38" fillId="8" borderId="0" xfId="5" applyNumberFormat="1" applyFont="1" applyFill="1" applyAlignment="1">
      <alignment horizontal="center" vertical="center"/>
    </xf>
    <xf numFmtId="1" fontId="38" fillId="8" borderId="125" xfId="5" applyNumberFormat="1" applyFont="1" applyFill="1" applyBorder="1" applyAlignment="1">
      <alignment horizontal="center" vertical="center"/>
    </xf>
    <xf numFmtId="1" fontId="70" fillId="0" borderId="43" xfId="5" applyNumberFormat="1" applyFont="1" applyFill="1" applyBorder="1" applyAlignment="1">
      <alignment horizontal="center" vertical="center" wrapText="1"/>
    </xf>
    <xf numFmtId="1" fontId="70" fillId="0" borderId="87" xfId="5" applyNumberFormat="1" applyFont="1" applyFill="1" applyBorder="1" applyAlignment="1">
      <alignment horizontal="center" vertical="center" wrapText="1"/>
    </xf>
    <xf numFmtId="0" fontId="35" fillId="0" borderId="43" xfId="5" applyFont="1" applyBorder="1" applyAlignment="1">
      <alignment horizontal="center" vertical="center" wrapText="1"/>
    </xf>
    <xf numFmtId="0" fontId="35" fillId="0" borderId="87" xfId="5" applyFont="1" applyBorder="1" applyAlignment="1">
      <alignment horizontal="center" vertical="center" wrapText="1"/>
    </xf>
    <xf numFmtId="0" fontId="35" fillId="0" borderId="162" xfId="5" applyFont="1" applyBorder="1" applyAlignment="1">
      <alignment horizontal="center" vertical="center" wrapText="1"/>
    </xf>
    <xf numFmtId="0" fontId="35" fillId="0" borderId="163" xfId="5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/>
    </xf>
    <xf numFmtId="0" fontId="6" fillId="0" borderId="45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41" fillId="0" borderId="56" xfId="0" applyFont="1" applyBorder="1" applyAlignment="1">
      <alignment horizontal="center"/>
    </xf>
    <xf numFmtId="0" fontId="41" fillId="0" borderId="57" xfId="0" applyFont="1" applyBorder="1" applyAlignment="1">
      <alignment horizontal="center"/>
    </xf>
    <xf numFmtId="0" fontId="41" fillId="0" borderId="58" xfId="0" applyFont="1" applyBorder="1" applyAlignment="1">
      <alignment horizontal="center"/>
    </xf>
    <xf numFmtId="0" fontId="55" fillId="0" borderId="37" xfId="0" applyFont="1" applyBorder="1" applyAlignment="1">
      <alignment horizontal="center"/>
    </xf>
    <xf numFmtId="0" fontId="55" fillId="0" borderId="38" xfId="0" applyFont="1" applyBorder="1" applyAlignment="1">
      <alignment horizontal="center"/>
    </xf>
    <xf numFmtId="0" fontId="55" fillId="0" borderId="55" xfId="0" applyFont="1" applyBorder="1" applyAlignment="1">
      <alignment horizontal="center"/>
    </xf>
    <xf numFmtId="0" fontId="55" fillId="0" borderId="39" xfId="0" applyFont="1" applyBorder="1" applyAlignment="1">
      <alignment horizontal="center"/>
    </xf>
    <xf numFmtId="0" fontId="55" fillId="0" borderId="0" xfId="0" applyFont="1" applyBorder="1" applyAlignment="1">
      <alignment horizontal="center"/>
    </xf>
    <xf numFmtId="0" fontId="55" fillId="0" borderId="42" xfId="0" applyFont="1" applyBorder="1" applyAlignment="1">
      <alignment horizontal="center"/>
    </xf>
    <xf numFmtId="0" fontId="55" fillId="0" borderId="39" xfId="0" applyFont="1" applyBorder="1" applyAlignment="1">
      <alignment horizontal="left" vertical="top"/>
    </xf>
    <xf numFmtId="0" fontId="55" fillId="0" borderId="0" xfId="0" applyFont="1" applyBorder="1" applyAlignment="1">
      <alignment horizontal="left" vertical="top"/>
    </xf>
    <xf numFmtId="0" fontId="55" fillId="0" borderId="42" xfId="0" applyFont="1" applyBorder="1" applyAlignment="1">
      <alignment horizontal="left" vertical="top"/>
    </xf>
    <xf numFmtId="0" fontId="55" fillId="0" borderId="56" xfId="0" applyFont="1" applyBorder="1" applyAlignment="1">
      <alignment horizontal="left" vertical="top"/>
    </xf>
    <xf numFmtId="0" fontId="55" fillId="0" borderId="57" xfId="0" applyFont="1" applyBorder="1" applyAlignment="1">
      <alignment horizontal="left" vertical="top"/>
    </xf>
    <xf numFmtId="0" fontId="55" fillId="0" borderId="58" xfId="0" applyFont="1" applyBorder="1" applyAlignment="1">
      <alignment horizontal="left" vertical="top"/>
    </xf>
    <xf numFmtId="0" fontId="55" fillId="0" borderId="137" xfId="0" applyFont="1" applyBorder="1" applyAlignment="1">
      <alignment horizontal="left"/>
    </xf>
    <xf numFmtId="0" fontId="55" fillId="0" borderId="138" xfId="0" applyFont="1" applyBorder="1" applyAlignment="1">
      <alignment horizontal="left"/>
    </xf>
    <xf numFmtId="0" fontId="55" fillId="0" borderId="139" xfId="0" applyFont="1" applyBorder="1" applyAlignment="1">
      <alignment horizontal="left"/>
    </xf>
    <xf numFmtId="170" fontId="55" fillId="0" borderId="137" xfId="0" applyNumberFormat="1" applyFont="1" applyBorder="1" applyAlignment="1">
      <alignment horizontal="left" vertical="center"/>
    </xf>
    <xf numFmtId="170" fontId="55" fillId="0" borderId="138" xfId="0" applyNumberFormat="1" applyFont="1" applyBorder="1" applyAlignment="1">
      <alignment horizontal="left" vertical="center"/>
    </xf>
    <xf numFmtId="170" fontId="55" fillId="0" borderId="135" xfId="0" applyNumberFormat="1" applyFont="1" applyBorder="1" applyAlignment="1">
      <alignment horizontal="left" vertical="center"/>
    </xf>
    <xf numFmtId="0" fontId="55" fillId="0" borderId="136" xfId="0" applyFont="1" applyBorder="1" applyAlignment="1">
      <alignment horizontal="left" vertical="center"/>
    </xf>
    <xf numFmtId="0" fontId="55" fillId="0" borderId="49" xfId="0" applyFont="1" applyBorder="1" applyAlignment="1">
      <alignment horizontal="left" vertical="center"/>
    </xf>
    <xf numFmtId="0" fontId="55" fillId="0" borderId="103" xfId="0" applyFont="1" applyBorder="1" applyAlignment="1">
      <alignment horizontal="left" vertical="center"/>
    </xf>
    <xf numFmtId="0" fontId="55" fillId="0" borderId="130" xfId="0" applyFont="1" applyBorder="1" applyAlignment="1">
      <alignment horizontal="left" vertical="center"/>
    </xf>
    <xf numFmtId="0" fontId="55" fillId="0" borderId="111" xfId="0" applyFont="1" applyBorder="1" applyAlignment="1">
      <alignment horizontal="left" vertical="center"/>
    </xf>
    <xf numFmtId="0" fontId="55" fillId="0" borderId="112" xfId="0" applyFont="1" applyBorder="1" applyAlignment="1">
      <alignment horizontal="left" vertical="center"/>
    </xf>
    <xf numFmtId="0" fontId="55" fillId="0" borderId="107" xfId="0" applyFont="1" applyBorder="1" applyAlignment="1">
      <alignment horizontal="left" vertical="center"/>
    </xf>
    <xf numFmtId="0" fontId="55" fillId="0" borderId="67" xfId="0" applyFont="1" applyBorder="1" applyAlignment="1">
      <alignment horizontal="left" vertical="center"/>
    </xf>
    <xf numFmtId="0" fontId="55" fillId="0" borderId="134" xfId="0" applyFont="1" applyBorder="1" applyAlignment="1">
      <alignment horizontal="left" vertical="center"/>
    </xf>
    <xf numFmtId="0" fontId="55" fillId="0" borderId="137" xfId="0" applyFont="1" applyBorder="1" applyAlignment="1">
      <alignment horizontal="left" vertical="center"/>
    </xf>
    <xf numFmtId="0" fontId="55" fillId="0" borderId="138" xfId="0" applyFont="1" applyBorder="1" applyAlignment="1">
      <alignment horizontal="left" vertical="center"/>
    </xf>
    <xf numFmtId="0" fontId="55" fillId="0" borderId="135" xfId="0" applyFont="1" applyBorder="1" applyAlignment="1">
      <alignment horizontal="left" vertical="center"/>
    </xf>
    <xf numFmtId="0" fontId="55" fillId="0" borderId="140" xfId="0" applyFont="1" applyBorder="1" applyAlignment="1">
      <alignment horizontal="left"/>
    </xf>
    <xf numFmtId="0" fontId="55" fillId="0" borderId="101" xfId="0" applyFont="1" applyBorder="1" applyAlignment="1">
      <alignment horizontal="left"/>
    </xf>
    <xf numFmtId="0" fontId="55" fillId="0" borderId="100" xfId="0" applyFont="1" applyBorder="1" applyAlignment="1">
      <alignment horizontal="left"/>
    </xf>
    <xf numFmtId="0" fontId="55" fillId="0" borderId="140" xfId="0" applyFont="1" applyBorder="1" applyAlignment="1">
      <alignment horizontal="left" vertical="center"/>
    </xf>
    <xf numFmtId="0" fontId="55" fillId="0" borderId="101" xfId="0" applyFont="1" applyBorder="1" applyAlignment="1">
      <alignment horizontal="left" vertical="center"/>
    </xf>
    <xf numFmtId="0" fontId="55" fillId="0" borderId="141" xfId="0" applyFont="1" applyBorder="1" applyAlignment="1">
      <alignment horizontal="left" vertical="center"/>
    </xf>
    <xf numFmtId="0" fontId="41" fillId="0" borderId="69" xfId="0" applyFont="1" applyBorder="1" applyAlignment="1">
      <alignment horizontal="center"/>
    </xf>
    <xf numFmtId="0" fontId="41" fillId="0" borderId="70" xfId="0" applyFont="1" applyBorder="1" applyAlignment="1">
      <alignment horizontal="center"/>
    </xf>
    <xf numFmtId="0" fontId="41" fillId="0" borderId="129" xfId="0" applyFont="1" applyBorder="1" applyAlignment="1">
      <alignment horizontal="center"/>
    </xf>
    <xf numFmtId="0" fontId="41" fillId="0" borderId="71" xfId="0" applyFont="1" applyBorder="1" applyAlignment="1">
      <alignment horizontal="center"/>
    </xf>
    <xf numFmtId="0" fontId="41" fillId="0" borderId="30" xfId="0" applyFont="1" applyBorder="1" applyAlignment="1">
      <alignment horizontal="center"/>
    </xf>
    <xf numFmtId="0" fontId="41" fillId="0" borderId="44" xfId="0" applyFont="1" applyBorder="1" applyAlignment="1">
      <alignment horizontal="center"/>
    </xf>
    <xf numFmtId="0" fontId="41" fillId="0" borderId="130" xfId="0" applyFont="1" applyBorder="1" applyAlignment="1">
      <alignment horizontal="center"/>
    </xf>
    <xf numFmtId="0" fontId="41" fillId="0" borderId="111" xfId="0" applyFont="1" applyBorder="1" applyAlignment="1">
      <alignment horizontal="center"/>
    </xf>
    <xf numFmtId="0" fontId="41" fillId="0" borderId="112" xfId="0" applyFont="1" applyBorder="1" applyAlignment="1">
      <alignment horizontal="center"/>
    </xf>
    <xf numFmtId="0" fontId="56" fillId="0" borderId="69" xfId="0" applyFont="1" applyBorder="1" applyAlignment="1">
      <alignment horizontal="center" vertical="center"/>
    </xf>
    <xf numFmtId="0" fontId="56" fillId="0" borderId="70" xfId="0" applyFont="1" applyBorder="1" applyAlignment="1">
      <alignment horizontal="center" vertical="center"/>
    </xf>
    <xf numFmtId="0" fontId="56" fillId="0" borderId="131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30" xfId="0" applyFont="1" applyBorder="1" applyAlignment="1">
      <alignment horizontal="center" vertical="center"/>
    </xf>
    <xf numFmtId="0" fontId="56" fillId="0" borderId="132" xfId="0" applyFont="1" applyBorder="1" applyAlignment="1">
      <alignment horizontal="center" vertical="center"/>
    </xf>
    <xf numFmtId="0" fontId="56" fillId="0" borderId="130" xfId="0" applyFont="1" applyBorder="1" applyAlignment="1">
      <alignment horizontal="center" vertical="center"/>
    </xf>
    <xf numFmtId="0" fontId="56" fillId="0" borderId="111" xfId="0" applyFont="1" applyBorder="1" applyAlignment="1">
      <alignment horizontal="center" vertical="center"/>
    </xf>
    <xf numFmtId="0" fontId="56" fillId="0" borderId="133" xfId="0" applyFont="1" applyBorder="1" applyAlignment="1">
      <alignment horizontal="center" vertical="center"/>
    </xf>
    <xf numFmtId="0" fontId="41" fillId="0" borderId="37" xfId="0" applyFont="1" applyBorder="1" applyAlignment="1">
      <alignment horizontal="center"/>
    </xf>
    <xf numFmtId="0" fontId="41" fillId="0" borderId="38" xfId="0" applyFont="1" applyBorder="1" applyAlignment="1">
      <alignment horizontal="center"/>
    </xf>
    <xf numFmtId="0" fontId="41" fillId="0" borderId="55" xfId="0" applyFont="1" applyBorder="1" applyAlignment="1">
      <alignment horizontal="center"/>
    </xf>
    <xf numFmtId="0" fontId="55" fillId="0" borderId="39" xfId="0" applyFont="1" applyBorder="1" applyAlignment="1">
      <alignment horizontal="left"/>
    </xf>
    <xf numFmtId="0" fontId="55" fillId="0" borderId="0" xfId="0" applyFont="1" applyBorder="1" applyAlignment="1">
      <alignment horizontal="left"/>
    </xf>
    <xf numFmtId="0" fontId="55" fillId="0" borderId="42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65" fillId="0" borderId="30" xfId="0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91" fillId="0" borderId="30" xfId="0" applyFont="1" applyBorder="1" applyAlignment="1">
      <alignment horizontal="center" vertical="center"/>
    </xf>
    <xf numFmtId="43" fontId="41" fillId="0" borderId="0" xfId="3" applyFont="1" applyAlignment="1">
      <alignment horizontal="center"/>
    </xf>
    <xf numFmtId="0" fontId="82" fillId="0" borderId="43" xfId="0" applyFont="1" applyBorder="1" applyAlignment="1">
      <alignment horizontal="center" vertical="center"/>
    </xf>
    <xf numFmtId="0" fontId="82" fillId="0" borderId="49" xfId="0" applyFont="1" applyBorder="1" applyAlignment="1">
      <alignment horizontal="center" vertical="center"/>
    </xf>
    <xf numFmtId="0" fontId="82" fillId="0" borderId="44" xfId="0" applyFont="1" applyBorder="1" applyAlignment="1">
      <alignment horizontal="center" vertical="center"/>
    </xf>
    <xf numFmtId="0" fontId="82" fillId="0" borderId="46" xfId="0" applyFont="1" applyBorder="1" applyAlignment="1">
      <alignment horizontal="center" vertical="center"/>
    </xf>
    <xf numFmtId="0" fontId="82" fillId="0" borderId="44" xfId="0" applyFont="1" applyBorder="1" applyAlignment="1">
      <alignment horizontal="center" vertical="center" wrapText="1"/>
    </xf>
    <xf numFmtId="0" fontId="82" fillId="0" borderId="46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82" fillId="0" borderId="0" xfId="0" applyFont="1" applyAlignment="1">
      <alignment horizontal="center"/>
    </xf>
    <xf numFmtId="0" fontId="34" fillId="0" borderId="44" xfId="0" applyFont="1" applyBorder="1" applyAlignment="1">
      <alignment horizontal="center"/>
    </xf>
    <xf numFmtId="0" fontId="34" fillId="0" borderId="46" xfId="0" applyFont="1" applyBorder="1" applyAlignment="1">
      <alignment horizontal="center"/>
    </xf>
    <xf numFmtId="0" fontId="34" fillId="0" borderId="43" xfId="0" applyFont="1" applyBorder="1" applyAlignment="1">
      <alignment horizontal="center" vertical="center"/>
    </xf>
    <xf numFmtId="0" fontId="34" fillId="0" borderId="49" xfId="0" applyFont="1" applyBorder="1" applyAlignment="1">
      <alignment horizontal="center" vertical="center"/>
    </xf>
    <xf numFmtId="0" fontId="34" fillId="0" borderId="54" xfId="0" applyFont="1" applyBorder="1" applyAlignment="1">
      <alignment horizontal="left" vertical="center"/>
    </xf>
    <xf numFmtId="0" fontId="34" fillId="0" borderId="83" xfId="0" applyFont="1" applyBorder="1" applyAlignment="1">
      <alignment horizontal="left" vertical="center"/>
    </xf>
    <xf numFmtId="0" fontId="34" fillId="0" borderId="127" xfId="0" applyFont="1" applyBorder="1" applyAlignment="1">
      <alignment horizontal="left" vertical="center"/>
    </xf>
    <xf numFmtId="0" fontId="34" fillId="0" borderId="103" xfId="0" applyFont="1" applyBorder="1" applyAlignment="1">
      <alignment horizontal="left" vertical="center"/>
    </xf>
    <xf numFmtId="0" fontId="34" fillId="0" borderId="104" xfId="0" applyFont="1" applyBorder="1" applyAlignment="1">
      <alignment horizontal="left" vertical="center"/>
    </xf>
    <xf numFmtId="0" fontId="34" fillId="0" borderId="128" xfId="0" applyFont="1" applyBorder="1" applyAlignment="1">
      <alignment horizontal="left" vertical="center"/>
    </xf>
    <xf numFmtId="0" fontId="84" fillId="0" borderId="44" xfId="0" applyFont="1" applyBorder="1" applyAlignment="1">
      <alignment horizontal="center"/>
    </xf>
    <xf numFmtId="0" fontId="84" fillId="0" borderId="45" xfId="0" applyFont="1" applyBorder="1" applyAlignment="1">
      <alignment horizontal="center"/>
    </xf>
    <xf numFmtId="0" fontId="84" fillId="0" borderId="46" xfId="0" applyFont="1" applyBorder="1" applyAlignment="1">
      <alignment horizontal="center"/>
    </xf>
    <xf numFmtId="0" fontId="42" fillId="0" borderId="44" xfId="0" applyFont="1" applyBorder="1" applyAlignment="1">
      <alignment horizontal="center"/>
    </xf>
    <xf numFmtId="0" fontId="42" fillId="0" borderId="45" xfId="0" applyFont="1" applyBorder="1" applyAlignment="1">
      <alignment horizontal="center"/>
    </xf>
    <xf numFmtId="0" fontId="42" fillId="0" borderId="46" xfId="0" applyFont="1" applyBorder="1" applyAlignment="1">
      <alignment horizontal="center"/>
    </xf>
    <xf numFmtId="0" fontId="34" fillId="0" borderId="45" xfId="0" applyFont="1" applyBorder="1" applyAlignment="1">
      <alignment horizontal="center"/>
    </xf>
    <xf numFmtId="0" fontId="34" fillId="0" borderId="44" xfId="0" applyFont="1" applyBorder="1" applyAlignment="1">
      <alignment horizontal="left" vertical="center"/>
    </xf>
    <xf numFmtId="0" fontId="34" fillId="0" borderId="45" xfId="0" applyFont="1" applyBorder="1" applyAlignment="1">
      <alignment horizontal="left" vertical="center"/>
    </xf>
    <xf numFmtId="0" fontId="34" fillId="0" borderId="46" xfId="0" applyFont="1" applyBorder="1" applyAlignment="1">
      <alignment horizontal="left" vertical="center"/>
    </xf>
    <xf numFmtId="0" fontId="34" fillId="0" borderId="44" xfId="0" applyFont="1" applyBorder="1" applyAlignment="1"/>
    <xf numFmtId="0" fontId="34" fillId="0" borderId="45" xfId="0" applyFont="1" applyBorder="1" applyAlignment="1"/>
    <xf numFmtId="0" fontId="34" fillId="0" borderId="46" xfId="0" applyFont="1" applyBorder="1" applyAlignment="1"/>
    <xf numFmtId="0" fontId="34" fillId="0" borderId="44" xfId="0" applyFont="1" applyBorder="1" applyAlignment="1">
      <alignment horizontal="left"/>
    </xf>
    <xf numFmtId="0" fontId="34" fillId="0" borderId="45" xfId="0" applyFont="1" applyBorder="1" applyAlignment="1">
      <alignment horizontal="left"/>
    </xf>
    <xf numFmtId="0" fontId="34" fillId="0" borderId="46" xfId="0" applyFont="1" applyBorder="1" applyAlignment="1">
      <alignment horizontal="left"/>
    </xf>
    <xf numFmtId="0" fontId="83" fillId="0" borderId="0" xfId="0" applyFont="1" applyAlignment="1">
      <alignment horizontal="center"/>
    </xf>
    <xf numFmtId="0" fontId="55" fillId="0" borderId="56" xfId="0" applyFont="1" applyBorder="1" applyAlignment="1">
      <alignment horizontal="center"/>
    </xf>
    <xf numFmtId="0" fontId="55" fillId="0" borderId="57" xfId="0" applyFont="1" applyBorder="1" applyAlignment="1">
      <alignment horizontal="center"/>
    </xf>
    <xf numFmtId="0" fontId="55" fillId="0" borderId="58" xfId="0" applyFont="1" applyBorder="1" applyAlignment="1">
      <alignment horizontal="center"/>
    </xf>
    <xf numFmtId="0" fontId="55" fillId="0" borderId="62" xfId="0" applyFont="1" applyBorder="1" applyAlignment="1">
      <alignment horizontal="left"/>
    </xf>
    <xf numFmtId="0" fontId="55" fillId="0" borderId="63" xfId="0" applyFont="1" applyBorder="1" applyAlignment="1">
      <alignment horizontal="left"/>
    </xf>
    <xf numFmtId="0" fontId="55" fillId="0" borderId="64" xfId="0" applyFont="1" applyBorder="1" applyAlignment="1">
      <alignment horizontal="left"/>
    </xf>
    <xf numFmtId="0" fontId="66" fillId="0" borderId="37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39" xfId="0" applyFont="1" applyBorder="1" applyAlignment="1">
      <alignment horizontal="center" vertical="center"/>
    </xf>
    <xf numFmtId="0" fontId="66" fillId="0" borderId="0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6" fillId="0" borderId="56" xfId="0" applyFont="1" applyBorder="1" applyAlignment="1">
      <alignment horizontal="center" vertical="center"/>
    </xf>
    <xf numFmtId="0" fontId="66" fillId="0" borderId="57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55" fillId="0" borderId="37" xfId="0" applyFont="1" applyBorder="1" applyAlignment="1">
      <alignment horizontal="center" vertical="center"/>
    </xf>
    <xf numFmtId="0" fontId="55" fillId="0" borderId="38" xfId="0" applyFont="1" applyBorder="1" applyAlignment="1">
      <alignment horizontal="center" vertical="center"/>
    </xf>
    <xf numFmtId="0" fontId="55" fillId="0" borderId="55" xfId="0" applyFont="1" applyBorder="1" applyAlignment="1">
      <alignment horizontal="center" vertical="center"/>
    </xf>
    <xf numFmtId="170" fontId="55" fillId="0" borderId="62" xfId="0" applyNumberFormat="1" applyFont="1" applyBorder="1" applyAlignment="1">
      <alignment horizontal="left" vertical="center"/>
    </xf>
    <xf numFmtId="170" fontId="55" fillId="0" borderId="63" xfId="0" applyNumberFormat="1" applyFont="1" applyBorder="1" applyAlignment="1">
      <alignment horizontal="left" vertical="center"/>
    </xf>
    <xf numFmtId="0" fontId="55" fillId="0" borderId="37" xfId="0" applyFont="1" applyBorder="1" applyAlignment="1">
      <alignment horizontal="left" vertical="center"/>
    </xf>
    <xf numFmtId="0" fontId="55" fillId="0" borderId="38" xfId="0" applyFont="1" applyBorder="1" applyAlignment="1">
      <alignment horizontal="left" vertical="center"/>
    </xf>
    <xf numFmtId="0" fontId="55" fillId="0" borderId="55" xfId="0" applyFont="1" applyBorder="1" applyAlignment="1">
      <alignment horizontal="left" vertical="center"/>
    </xf>
    <xf numFmtId="0" fontId="55" fillId="0" borderId="39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55" fillId="0" borderId="42" xfId="0" applyFont="1" applyBorder="1" applyAlignment="1">
      <alignment horizontal="left" vertical="center"/>
    </xf>
    <xf numFmtId="0" fontId="55" fillId="0" borderId="56" xfId="0" applyFont="1" applyBorder="1" applyAlignment="1">
      <alignment horizontal="left" vertical="center"/>
    </xf>
    <xf numFmtId="0" fontId="55" fillId="0" borderId="57" xfId="0" applyFont="1" applyBorder="1" applyAlignment="1">
      <alignment horizontal="left" vertical="center"/>
    </xf>
    <xf numFmtId="0" fontId="55" fillId="0" borderId="58" xfId="0" applyFont="1" applyBorder="1" applyAlignment="1">
      <alignment horizontal="left" vertical="center"/>
    </xf>
    <xf numFmtId="14" fontId="55" fillId="0" borderId="37" xfId="0" applyNumberFormat="1" applyFont="1" applyBorder="1" applyAlignment="1">
      <alignment horizontal="center" vertical="center"/>
    </xf>
    <xf numFmtId="14" fontId="55" fillId="0" borderId="38" xfId="0" applyNumberFormat="1" applyFont="1" applyBorder="1" applyAlignment="1">
      <alignment horizontal="center" vertical="center"/>
    </xf>
    <xf numFmtId="14" fontId="55" fillId="0" borderId="55" xfId="0" applyNumberFormat="1" applyFont="1" applyBorder="1" applyAlignment="1">
      <alignment horizontal="center" vertical="center"/>
    </xf>
    <xf numFmtId="14" fontId="55" fillId="0" borderId="39" xfId="0" applyNumberFormat="1" applyFont="1" applyBorder="1" applyAlignment="1">
      <alignment horizontal="center" vertical="center"/>
    </xf>
    <xf numFmtId="14" fontId="55" fillId="0" borderId="0" xfId="0" applyNumberFormat="1" applyFont="1" applyBorder="1" applyAlignment="1">
      <alignment horizontal="center" vertical="center"/>
    </xf>
    <xf numFmtId="14" fontId="55" fillId="0" borderId="42" xfId="0" applyNumberFormat="1" applyFont="1" applyBorder="1" applyAlignment="1">
      <alignment horizontal="center" vertical="center"/>
    </xf>
    <xf numFmtId="14" fontId="55" fillId="0" borderId="56" xfId="0" applyNumberFormat="1" applyFont="1" applyBorder="1" applyAlignment="1">
      <alignment horizontal="center" vertical="center"/>
    </xf>
    <xf numFmtId="14" fontId="55" fillId="0" borderId="57" xfId="0" applyNumberFormat="1" applyFont="1" applyBorder="1" applyAlignment="1">
      <alignment horizontal="center" vertical="center"/>
    </xf>
    <xf numFmtId="14" fontId="55" fillId="0" borderId="58" xfId="0" applyNumberFormat="1" applyFont="1" applyBorder="1" applyAlignment="1">
      <alignment horizontal="center" vertical="center"/>
    </xf>
    <xf numFmtId="0" fontId="55" fillId="0" borderId="62" xfId="0" applyFont="1" applyBorder="1" applyAlignment="1">
      <alignment horizontal="left" vertical="center"/>
    </xf>
    <xf numFmtId="0" fontId="55" fillId="0" borderId="63" xfId="0" applyFont="1" applyBorder="1" applyAlignment="1">
      <alignment horizontal="left" vertical="center"/>
    </xf>
    <xf numFmtId="0" fontId="55" fillId="0" borderId="64" xfId="0" applyFont="1" applyBorder="1" applyAlignment="1">
      <alignment horizontal="left" vertical="center"/>
    </xf>
    <xf numFmtId="0" fontId="55" fillId="0" borderId="62" xfId="0" applyFont="1" applyBorder="1" applyAlignment="1">
      <alignment horizontal="center"/>
    </xf>
    <xf numFmtId="0" fontId="55" fillId="0" borderId="63" xfId="0" applyFont="1" applyBorder="1" applyAlignment="1">
      <alignment horizontal="center"/>
    </xf>
    <xf numFmtId="0" fontId="55" fillId="0" borderId="64" xfId="0" applyFont="1" applyBorder="1" applyAlignment="1">
      <alignment horizontal="center"/>
    </xf>
    <xf numFmtId="0" fontId="0" fillId="5" borderId="0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0" fontId="34" fillId="0" borderId="46" xfId="0" applyFont="1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30" xfId="0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hidden="1"/>
    </xf>
    <xf numFmtId="0" fontId="9" fillId="0" borderId="51" xfId="0" applyFont="1" applyBorder="1" applyAlignment="1" applyProtection="1">
      <alignment horizontal="center"/>
      <protection hidden="1"/>
    </xf>
    <xf numFmtId="1" fontId="9" fillId="0" borderId="44" xfId="0" applyNumberFormat="1" applyFont="1" applyBorder="1" applyAlignment="1" applyProtection="1">
      <alignment horizontal="center" vertical="center"/>
      <protection hidden="1"/>
    </xf>
    <xf numFmtId="1" fontId="9" fillId="0" borderId="46" xfId="0" applyNumberFormat="1" applyFont="1" applyBorder="1" applyAlignment="1" applyProtection="1">
      <alignment horizontal="center" vertical="center"/>
      <protection hidden="1"/>
    </xf>
    <xf numFmtId="164" fontId="9" fillId="0" borderId="44" xfId="1" applyNumberFormat="1" applyFont="1" applyFill="1" applyBorder="1" applyAlignment="1" applyProtection="1">
      <alignment horizontal="center" vertical="center"/>
      <protection hidden="1"/>
    </xf>
    <xf numFmtId="164" fontId="9" fillId="0" borderId="46" xfId="1" applyNumberFormat="1" applyFont="1" applyFill="1" applyBorder="1" applyAlignment="1" applyProtection="1">
      <alignment horizontal="center" vertic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51" xfId="1" applyFont="1" applyBorder="1" applyAlignment="1" applyProtection="1">
      <alignment horizontal="center"/>
      <protection hidden="1"/>
    </xf>
    <xf numFmtId="0" fontId="9" fillId="0" borderId="0" xfId="1" applyFont="1" applyBorder="1" applyAlignment="1" applyProtection="1">
      <alignment horizontal="center"/>
      <protection hidden="1"/>
    </xf>
    <xf numFmtId="0" fontId="9" fillId="0" borderId="53" xfId="0" applyFont="1" applyBorder="1" applyAlignment="1" applyProtection="1">
      <alignment horizontal="center"/>
      <protection hidden="1"/>
    </xf>
    <xf numFmtId="0" fontId="8" fillId="0" borderId="44" xfId="0" applyFont="1" applyBorder="1" applyAlignment="1" applyProtection="1">
      <alignment horizontal="center"/>
      <protection hidden="1"/>
    </xf>
    <xf numFmtId="0" fontId="8" fillId="0" borderId="45" xfId="0" applyFont="1" applyBorder="1" applyAlignment="1" applyProtection="1">
      <alignment horizontal="center"/>
      <protection hidden="1"/>
    </xf>
    <xf numFmtId="0" fontId="8" fillId="0" borderId="48" xfId="0" applyFont="1" applyBorder="1" applyAlignment="1" applyProtection="1">
      <alignment horizontal="center"/>
      <protection hidden="1"/>
    </xf>
    <xf numFmtId="0" fontId="9" fillId="0" borderId="44" xfId="0" applyFont="1" applyFill="1" applyBorder="1" applyAlignment="1" applyProtection="1">
      <alignment horizontal="center"/>
      <protection hidden="1"/>
    </xf>
    <xf numFmtId="0" fontId="9" fillId="0" borderId="46" xfId="0" applyFont="1" applyFill="1" applyBorder="1" applyAlignment="1" applyProtection="1">
      <alignment horizont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1" fontId="9" fillId="0" borderId="44" xfId="0" applyNumberFormat="1" applyFont="1" applyFill="1" applyBorder="1" applyAlignment="1" applyProtection="1">
      <alignment horizontal="center" vertical="center"/>
      <protection hidden="1"/>
    </xf>
    <xf numFmtId="1" fontId="9" fillId="0" borderId="46" xfId="0" applyNumberFormat="1" applyFont="1" applyFill="1" applyBorder="1" applyAlignment="1" applyProtection="1">
      <alignment horizontal="center" vertical="center"/>
      <protection hidden="1"/>
    </xf>
    <xf numFmtId="0" fontId="8" fillId="0" borderId="46" xfId="0" applyFont="1" applyBorder="1" applyAlignment="1" applyProtection="1">
      <alignment horizontal="center"/>
      <protection hidden="1"/>
    </xf>
    <xf numFmtId="0" fontId="8" fillId="0" borderId="30" xfId="1" applyFont="1" applyBorder="1" applyAlignment="1" applyProtection="1">
      <alignment horizontal="center" vertical="center"/>
      <protection hidden="1"/>
    </xf>
    <xf numFmtId="0" fontId="8" fillId="0" borderId="30" xfId="0" applyFont="1" applyBorder="1" applyAlignment="1" applyProtection="1">
      <alignment horizontal="center" vertical="center"/>
      <protection hidden="1"/>
    </xf>
    <xf numFmtId="0" fontId="9" fillId="0" borderId="45" xfId="0" applyFont="1" applyFill="1" applyBorder="1" applyAlignment="1" applyProtection="1">
      <alignment horizontal="center"/>
      <protection hidden="1"/>
    </xf>
    <xf numFmtId="0" fontId="0" fillId="5" borderId="81" xfId="0" applyFill="1" applyBorder="1" applyAlignment="1">
      <alignment horizontal="center"/>
    </xf>
    <xf numFmtId="0" fontId="0" fillId="5" borderId="82" xfId="0" applyFill="1" applyBorder="1" applyAlignment="1">
      <alignment horizontal="center"/>
    </xf>
  </cellXfs>
  <cellStyles count="11">
    <cellStyle name="Bad" xfId="4" builtinId="27"/>
    <cellStyle name="Comma" xfId="3" builtinId="3"/>
    <cellStyle name="Comma 5 2 2" xfId="10"/>
    <cellStyle name="Hyperlink" xfId="8" builtinId="8"/>
    <cellStyle name="Normal" xfId="0" builtinId="0"/>
    <cellStyle name="Normal 2" xfId="6"/>
    <cellStyle name="Normal 3" xfId="7"/>
    <cellStyle name="Normal 8 2" xfId="9"/>
    <cellStyle name="Normal_Gia Vat Tu Thau PC2 T11+12" xfId="5"/>
    <cellStyle name="Normal_Sheet3" xfId="1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9A6E4"/>
      <color rgb="FFFFCCFF"/>
      <color rgb="FFCC0099"/>
      <color rgb="FFFFFF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Sheet2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jpeg"/><Relationship Id="rId1" Type="http://schemas.openxmlformats.org/officeDocument/2006/relationships/image" Target="../media/image4.jp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jpeg"/><Relationship Id="rId1" Type="http://schemas.openxmlformats.org/officeDocument/2006/relationships/image" Target="../media/image6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47625</xdr:rowOff>
    </xdr:from>
    <xdr:to>
      <xdr:col>3</xdr:col>
      <xdr:colOff>160565</xdr:colOff>
      <xdr:row>0</xdr:row>
      <xdr:rowOff>609600</xdr:rowOff>
    </xdr:to>
    <xdr:sp macro="[0]!Macro20" textlink="">
      <xdr:nvSpPr>
        <xdr:cNvPr id="2" name="Rounded Rectangle 1"/>
        <xdr:cNvSpPr/>
      </xdr:nvSpPr>
      <xdr:spPr>
        <a:xfrm>
          <a:off x="3619500" y="47625"/>
          <a:ext cx="1551215" cy="561975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1</xdr:row>
      <xdr:rowOff>78581</xdr:rowOff>
    </xdr:from>
    <xdr:to>
      <xdr:col>3</xdr:col>
      <xdr:colOff>523875</xdr:colOff>
      <xdr:row>4</xdr:row>
      <xdr:rowOff>10547</xdr:rowOff>
    </xdr:to>
    <xdr:sp macro="[0]!Macro4" textlink="">
      <xdr:nvSpPr>
        <xdr:cNvPr id="2" name="Rounded Rectangle 1"/>
        <xdr:cNvSpPr/>
      </xdr:nvSpPr>
      <xdr:spPr>
        <a:xfrm>
          <a:off x="600075" y="269081"/>
          <a:ext cx="175260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SHEET1</a:t>
          </a:r>
        </a:p>
      </xdr:txBody>
    </xdr:sp>
    <xdr:clientData/>
  </xdr:twoCellAnchor>
  <xdr:twoCellAnchor>
    <xdr:from>
      <xdr:col>4</xdr:col>
      <xdr:colOff>138793</xdr:colOff>
      <xdr:row>1</xdr:row>
      <xdr:rowOff>78581</xdr:rowOff>
    </xdr:from>
    <xdr:to>
      <xdr:col>6</xdr:col>
      <xdr:colOff>576943</xdr:colOff>
      <xdr:row>4</xdr:row>
      <xdr:rowOff>10547</xdr:rowOff>
    </xdr:to>
    <xdr:sp macro="[0]!Macro5" textlink="">
      <xdr:nvSpPr>
        <xdr:cNvPr id="3" name="Rounded Rectangle 2"/>
        <xdr:cNvSpPr/>
      </xdr:nvSpPr>
      <xdr:spPr>
        <a:xfrm>
          <a:off x="2577193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SHEET2</a:t>
          </a:r>
        </a:p>
      </xdr:txBody>
    </xdr:sp>
    <xdr:clientData/>
  </xdr:twoCellAnchor>
  <xdr:twoCellAnchor>
    <xdr:from>
      <xdr:col>7</xdr:col>
      <xdr:colOff>191861</xdr:colOff>
      <xdr:row>1</xdr:row>
      <xdr:rowOff>78581</xdr:rowOff>
    </xdr:from>
    <xdr:to>
      <xdr:col>10</xdr:col>
      <xdr:colOff>20411</xdr:colOff>
      <xdr:row>4</xdr:row>
      <xdr:rowOff>10547</xdr:rowOff>
    </xdr:to>
    <xdr:sp macro="[0]!Macro7" textlink="">
      <xdr:nvSpPr>
        <xdr:cNvPr id="4" name="Rounded Rectangle 3"/>
        <xdr:cNvSpPr/>
      </xdr:nvSpPr>
      <xdr:spPr>
        <a:xfrm>
          <a:off x="4459061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SHEET3</a:t>
          </a:r>
        </a:p>
      </xdr:txBody>
    </xdr:sp>
    <xdr:clientData/>
  </xdr:twoCellAnchor>
  <xdr:twoCellAnchor>
    <xdr:from>
      <xdr:col>10</xdr:col>
      <xdr:colOff>244929</xdr:colOff>
      <xdr:row>1</xdr:row>
      <xdr:rowOff>78581</xdr:rowOff>
    </xdr:from>
    <xdr:to>
      <xdr:col>13</xdr:col>
      <xdr:colOff>73479</xdr:colOff>
      <xdr:row>4</xdr:row>
      <xdr:rowOff>10547</xdr:rowOff>
    </xdr:to>
    <xdr:sp macro="[0]!Macro8" textlink="">
      <xdr:nvSpPr>
        <xdr:cNvPr id="5" name="Rounded Rectangle 4"/>
        <xdr:cNvSpPr/>
      </xdr:nvSpPr>
      <xdr:spPr>
        <a:xfrm>
          <a:off x="6340929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PTK</a:t>
          </a:r>
        </a:p>
      </xdr:txBody>
    </xdr:sp>
    <xdr:clientData/>
  </xdr:twoCellAnchor>
  <xdr:twoCellAnchor>
    <xdr:from>
      <xdr:col>13</xdr:col>
      <xdr:colOff>297997</xdr:colOff>
      <xdr:row>1</xdr:row>
      <xdr:rowOff>78581</xdr:rowOff>
    </xdr:from>
    <xdr:to>
      <xdr:col>16</xdr:col>
      <xdr:colOff>126547</xdr:colOff>
      <xdr:row>4</xdr:row>
      <xdr:rowOff>10547</xdr:rowOff>
    </xdr:to>
    <xdr:sp macro="[0]!Macro9" textlink="">
      <xdr:nvSpPr>
        <xdr:cNvPr id="6" name="Rounded Rectangle 5"/>
        <xdr:cNvSpPr/>
      </xdr:nvSpPr>
      <xdr:spPr>
        <a:xfrm>
          <a:off x="8222797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HDKT</a:t>
          </a:r>
        </a:p>
      </xdr:txBody>
    </xdr:sp>
    <xdr:clientData/>
  </xdr:twoCellAnchor>
  <xdr:twoCellAnchor>
    <xdr:from>
      <xdr:col>16</xdr:col>
      <xdr:colOff>351065</xdr:colOff>
      <xdr:row>1</xdr:row>
      <xdr:rowOff>78581</xdr:rowOff>
    </xdr:from>
    <xdr:to>
      <xdr:col>19</xdr:col>
      <xdr:colOff>179615</xdr:colOff>
      <xdr:row>4</xdr:row>
      <xdr:rowOff>10547</xdr:rowOff>
    </xdr:to>
    <xdr:sp macro="[0]!Macro10" textlink="">
      <xdr:nvSpPr>
        <xdr:cNvPr id="7" name="Rounded Rectangle 6"/>
        <xdr:cNvSpPr/>
      </xdr:nvSpPr>
      <xdr:spPr>
        <a:xfrm>
          <a:off x="10104665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DMBV</a:t>
          </a:r>
        </a:p>
      </xdr:txBody>
    </xdr:sp>
    <xdr:clientData/>
  </xdr:twoCellAnchor>
  <xdr:twoCellAnchor>
    <xdr:from>
      <xdr:col>19</xdr:col>
      <xdr:colOff>404133</xdr:colOff>
      <xdr:row>1</xdr:row>
      <xdr:rowOff>78581</xdr:rowOff>
    </xdr:from>
    <xdr:to>
      <xdr:col>22</xdr:col>
      <xdr:colOff>232683</xdr:colOff>
      <xdr:row>4</xdr:row>
      <xdr:rowOff>10547</xdr:rowOff>
    </xdr:to>
    <xdr:sp macro="[0]!Macro11" textlink="">
      <xdr:nvSpPr>
        <xdr:cNvPr id="8" name="Rounded Rectangle 7"/>
        <xdr:cNvSpPr/>
      </xdr:nvSpPr>
      <xdr:spPr>
        <a:xfrm>
          <a:off x="11986533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PDH</a:t>
          </a:r>
        </a:p>
      </xdr:txBody>
    </xdr:sp>
    <xdr:clientData/>
  </xdr:twoCellAnchor>
  <xdr:twoCellAnchor>
    <xdr:from>
      <xdr:col>0</xdr:col>
      <xdr:colOff>600075</xdr:colOff>
      <xdr:row>11</xdr:row>
      <xdr:rowOff>128587</xdr:rowOff>
    </xdr:from>
    <xdr:to>
      <xdr:col>5</xdr:col>
      <xdr:colOff>361950</xdr:colOff>
      <xdr:row>14</xdr:row>
      <xdr:rowOff>60553</xdr:rowOff>
    </xdr:to>
    <xdr:sp macro="[0]!Macro19" textlink="">
      <xdr:nvSpPr>
        <xdr:cNvPr id="9" name="Rounded Rectangle 8"/>
        <xdr:cNvSpPr/>
      </xdr:nvSpPr>
      <xdr:spPr>
        <a:xfrm>
          <a:off x="600075" y="2224087"/>
          <a:ext cx="280987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TRA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CỨU MÃ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19</xdr:col>
      <xdr:colOff>388620</xdr:colOff>
      <xdr:row>6</xdr:row>
      <xdr:rowOff>171450</xdr:rowOff>
    </xdr:from>
    <xdr:to>
      <xdr:col>22</xdr:col>
      <xdr:colOff>217170</xdr:colOff>
      <xdr:row>9</xdr:row>
      <xdr:rowOff>103416</xdr:rowOff>
    </xdr:to>
    <xdr:sp macro="[0]!Macro17" textlink="">
      <xdr:nvSpPr>
        <xdr:cNvPr id="10" name="Rounded Rectangle 9"/>
        <xdr:cNvSpPr/>
      </xdr:nvSpPr>
      <xdr:spPr>
        <a:xfrm>
          <a:off x="11971020" y="1314450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VẬT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TƯ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600075</xdr:colOff>
      <xdr:row>6</xdr:row>
      <xdr:rowOff>171450</xdr:rowOff>
    </xdr:from>
    <xdr:to>
      <xdr:col>6</xdr:col>
      <xdr:colOff>390525</xdr:colOff>
      <xdr:row>9</xdr:row>
      <xdr:rowOff>103416</xdr:rowOff>
    </xdr:to>
    <xdr:sp macro="[0]!Macro13" textlink="">
      <xdr:nvSpPr>
        <xdr:cNvPr id="11" name="Rounded Rectangle 10"/>
        <xdr:cNvSpPr/>
      </xdr:nvSpPr>
      <xdr:spPr>
        <a:xfrm>
          <a:off x="600075" y="1314450"/>
          <a:ext cx="34480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UNICORE+AMOR</a:t>
          </a:r>
        </a:p>
      </xdr:txBody>
    </xdr:sp>
    <xdr:clientData/>
  </xdr:twoCellAnchor>
  <xdr:twoCellAnchor>
    <xdr:from>
      <xdr:col>22</xdr:col>
      <xdr:colOff>457200</xdr:colOff>
      <xdr:row>1</xdr:row>
      <xdr:rowOff>78581</xdr:rowOff>
    </xdr:from>
    <xdr:to>
      <xdr:col>25</xdr:col>
      <xdr:colOff>285750</xdr:colOff>
      <xdr:row>4</xdr:row>
      <xdr:rowOff>10547</xdr:rowOff>
    </xdr:to>
    <xdr:sp macro="[0]!Macro12" textlink="">
      <xdr:nvSpPr>
        <xdr:cNvPr id="12" name="Rounded Rectangle 11"/>
        <xdr:cNvSpPr/>
      </xdr:nvSpPr>
      <xdr:spPr>
        <a:xfrm>
          <a:off x="13868400" y="269081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SỬA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40005</xdr:colOff>
      <xdr:row>5</xdr:row>
      <xdr:rowOff>175533</xdr:rowOff>
    </xdr:from>
    <xdr:to>
      <xdr:col>10</xdr:col>
      <xdr:colOff>382905</xdr:colOff>
      <xdr:row>10</xdr:row>
      <xdr:rowOff>99333</xdr:rowOff>
    </xdr:to>
    <xdr:sp macro="[0]!Macro14" textlink="">
      <xdr:nvSpPr>
        <xdr:cNvPr id="13" name="Rounded Rectangle 12"/>
        <xdr:cNvSpPr/>
      </xdr:nvSpPr>
      <xdr:spPr>
        <a:xfrm>
          <a:off x="4307205" y="1128033"/>
          <a:ext cx="2171700" cy="876300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DCHT(đổi</a:t>
          </a:r>
          <a:r>
            <a:rPr lang="en-GB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bản vẽ loại đầu cốt)</a:t>
          </a:r>
          <a:endParaRPr lang="en-GB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32385</xdr:colOff>
      <xdr:row>6</xdr:row>
      <xdr:rowOff>171450</xdr:rowOff>
    </xdr:from>
    <xdr:to>
      <xdr:col>14</xdr:col>
      <xdr:colOff>546735</xdr:colOff>
      <xdr:row>9</xdr:row>
      <xdr:rowOff>103416</xdr:rowOff>
    </xdr:to>
    <xdr:sp macro="[0]!Macro15" textlink="">
      <xdr:nvSpPr>
        <xdr:cNvPr id="14" name="Rounded Rectangle 13"/>
        <xdr:cNvSpPr/>
      </xdr:nvSpPr>
      <xdr:spPr>
        <a:xfrm>
          <a:off x="6737985" y="1314450"/>
          <a:ext cx="23431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Tính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vật tư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476249</xdr:colOff>
      <xdr:row>6</xdr:row>
      <xdr:rowOff>171450</xdr:rowOff>
    </xdr:from>
    <xdr:to>
      <xdr:col>26</xdr:col>
      <xdr:colOff>161924</xdr:colOff>
      <xdr:row>9</xdr:row>
      <xdr:rowOff>103416</xdr:rowOff>
    </xdr:to>
    <xdr:sp macro="[0]!Macro18" textlink="">
      <xdr:nvSpPr>
        <xdr:cNvPr id="15" name="Rounded Rectangle 14"/>
        <xdr:cNvSpPr/>
      </xdr:nvSpPr>
      <xdr:spPr>
        <a:xfrm>
          <a:off x="13887449" y="1314450"/>
          <a:ext cx="212407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Cánh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máy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15</xdr:col>
      <xdr:colOff>196215</xdr:colOff>
      <xdr:row>6</xdr:row>
      <xdr:rowOff>171450</xdr:rowOff>
    </xdr:from>
    <xdr:to>
      <xdr:col>19</xdr:col>
      <xdr:colOff>129540</xdr:colOff>
      <xdr:row>9</xdr:row>
      <xdr:rowOff>103416</xdr:rowOff>
    </xdr:to>
    <xdr:sp macro="[0]!Macro16" textlink="">
      <xdr:nvSpPr>
        <xdr:cNvPr id="16" name="Rounded Rectangle 15"/>
        <xdr:cNvSpPr/>
      </xdr:nvSpPr>
      <xdr:spPr>
        <a:xfrm>
          <a:off x="9340215" y="1314450"/>
          <a:ext cx="237172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Lỗ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mặt nắp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309563</xdr:colOff>
      <xdr:row>11</xdr:row>
      <xdr:rowOff>128587</xdr:rowOff>
    </xdr:from>
    <xdr:to>
      <xdr:col>11</xdr:col>
      <xdr:colOff>71438</xdr:colOff>
      <xdr:row>14</xdr:row>
      <xdr:rowOff>60553</xdr:rowOff>
    </xdr:to>
    <xdr:sp macro="[0]!Macro1" textlink="">
      <xdr:nvSpPr>
        <xdr:cNvPr id="40" name="Rounded Rectangle 39"/>
        <xdr:cNvSpPr/>
      </xdr:nvSpPr>
      <xdr:spPr>
        <a:xfrm>
          <a:off x="3967163" y="2224087"/>
          <a:ext cx="280987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XUẤT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PDF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9525</xdr:colOff>
      <xdr:row>11</xdr:row>
      <xdr:rowOff>128587</xdr:rowOff>
    </xdr:from>
    <xdr:to>
      <xdr:col>14</xdr:col>
      <xdr:colOff>447675</xdr:colOff>
      <xdr:row>14</xdr:row>
      <xdr:rowOff>60553</xdr:rowOff>
    </xdr:to>
    <xdr:sp macro="[0]!Macro21" textlink="">
      <xdr:nvSpPr>
        <xdr:cNvPr id="41" name="Rounded Rectangle 40"/>
        <xdr:cNvSpPr/>
      </xdr:nvSpPr>
      <xdr:spPr>
        <a:xfrm>
          <a:off x="7324725" y="2224087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SHEET5</a:t>
          </a:r>
        </a:p>
      </xdr:txBody>
    </xdr:sp>
    <xdr:clientData/>
  </xdr:twoCellAnchor>
  <xdr:twoCellAnchor>
    <xdr:from>
      <xdr:col>15</xdr:col>
      <xdr:colOff>161925</xdr:colOff>
      <xdr:row>11</xdr:row>
      <xdr:rowOff>133350</xdr:rowOff>
    </xdr:from>
    <xdr:to>
      <xdr:col>17</xdr:col>
      <xdr:colOff>600075</xdr:colOff>
      <xdr:row>14</xdr:row>
      <xdr:rowOff>65316</xdr:rowOff>
    </xdr:to>
    <xdr:sp macro="[0]!Macro2" textlink="">
      <xdr:nvSpPr>
        <xdr:cNvPr id="19" name="Rounded Rectangle 18"/>
        <xdr:cNvSpPr/>
      </xdr:nvSpPr>
      <xdr:spPr>
        <a:xfrm>
          <a:off x="9305925" y="2228850"/>
          <a:ext cx="1657350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1pha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81643</xdr:colOff>
      <xdr:row>0</xdr:row>
      <xdr:rowOff>40822</xdr:rowOff>
    </xdr:from>
    <xdr:to>
      <xdr:col>20</xdr:col>
      <xdr:colOff>408215</xdr:colOff>
      <xdr:row>0</xdr:row>
      <xdr:rowOff>544286</xdr:rowOff>
    </xdr:to>
    <xdr:sp macro="[0]!Macro20" textlink="">
      <xdr:nvSpPr>
        <xdr:cNvPr id="2" name="Rounded Rectangle 1"/>
        <xdr:cNvSpPr/>
      </xdr:nvSpPr>
      <xdr:spPr>
        <a:xfrm>
          <a:off x="21295179" y="40822"/>
          <a:ext cx="1551215" cy="503464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  <xdr:twoCellAnchor>
    <xdr:from>
      <xdr:col>18</xdr:col>
      <xdr:colOff>81643</xdr:colOff>
      <xdr:row>0</xdr:row>
      <xdr:rowOff>40822</xdr:rowOff>
    </xdr:from>
    <xdr:to>
      <xdr:col>20</xdr:col>
      <xdr:colOff>408215</xdr:colOff>
      <xdr:row>0</xdr:row>
      <xdr:rowOff>544286</xdr:rowOff>
    </xdr:to>
    <xdr:sp macro="[0]!Macro20" textlink="">
      <xdr:nvSpPr>
        <xdr:cNvPr id="3" name="Rounded Rectangle 2"/>
        <xdr:cNvSpPr/>
      </xdr:nvSpPr>
      <xdr:spPr>
        <a:xfrm>
          <a:off x="21160468" y="40822"/>
          <a:ext cx="1545772" cy="351064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560294</xdr:colOff>
      <xdr:row>0</xdr:row>
      <xdr:rowOff>134471</xdr:rowOff>
    </xdr:from>
    <xdr:to>
      <xdr:col>11</xdr:col>
      <xdr:colOff>296156</xdr:colOff>
      <xdr:row>0</xdr:row>
      <xdr:rowOff>549089</xdr:rowOff>
    </xdr:to>
    <xdr:sp macro="[0]!Macro20" textlink="">
      <xdr:nvSpPr>
        <xdr:cNvPr id="2" name="Rounded Rectangle 1"/>
        <xdr:cNvSpPr/>
      </xdr:nvSpPr>
      <xdr:spPr>
        <a:xfrm>
          <a:off x="10746441" y="134471"/>
          <a:ext cx="1551215" cy="414618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11206</xdr:colOff>
      <xdr:row>40</xdr:row>
      <xdr:rowOff>22412</xdr:rowOff>
    </xdr:from>
    <xdr:to>
      <xdr:col>4</xdr:col>
      <xdr:colOff>396628</xdr:colOff>
      <xdr:row>51</xdr:row>
      <xdr:rowOff>123266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1206" y="7944971"/>
          <a:ext cx="2693834" cy="2196354"/>
        </a:xfrm>
        <a:prstGeom prst="rect">
          <a:avLst/>
        </a:prstGeom>
      </xdr:spPr>
    </xdr:pic>
    <xdr:clientData/>
  </xdr:twoCellAnchor>
  <xdr:twoCellAnchor editAs="oneCell">
    <xdr:from>
      <xdr:col>4</xdr:col>
      <xdr:colOff>448236</xdr:colOff>
      <xdr:row>40</xdr:row>
      <xdr:rowOff>36279</xdr:rowOff>
    </xdr:from>
    <xdr:to>
      <xdr:col>5</xdr:col>
      <xdr:colOff>179294</xdr:colOff>
      <xdr:row>51</xdr:row>
      <xdr:rowOff>78084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6648" y="7656279"/>
          <a:ext cx="2364440" cy="2137305"/>
        </a:xfrm>
        <a:prstGeom prst="rect">
          <a:avLst/>
        </a:prstGeom>
      </xdr:spPr>
    </xdr:pic>
    <xdr:clientData/>
  </xdr:twoCellAnchor>
  <xdr:twoCellAnchor>
    <xdr:from>
      <xdr:col>7</xdr:col>
      <xdr:colOff>952501</xdr:colOff>
      <xdr:row>0</xdr:row>
      <xdr:rowOff>33617</xdr:rowOff>
    </xdr:from>
    <xdr:to>
      <xdr:col>7</xdr:col>
      <xdr:colOff>2503716</xdr:colOff>
      <xdr:row>0</xdr:row>
      <xdr:rowOff>470646</xdr:rowOff>
    </xdr:to>
    <xdr:sp macro="[0]!Macro20" textlink="">
      <xdr:nvSpPr>
        <xdr:cNvPr id="4" name="Rounded Rectangle 3"/>
        <xdr:cNvSpPr/>
      </xdr:nvSpPr>
      <xdr:spPr>
        <a:xfrm>
          <a:off x="10813677" y="33617"/>
          <a:ext cx="1551215" cy="437029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3283324</xdr:colOff>
      <xdr:row>57</xdr:row>
      <xdr:rowOff>145676</xdr:rowOff>
    </xdr:from>
    <xdr:ext cx="1759323" cy="661146"/>
    <xdr:sp macro="" textlink="">
      <xdr:nvSpPr>
        <xdr:cNvPr id="3" name="TextBox 2">
          <a:hlinkClick xmlns:r="http://schemas.openxmlformats.org/officeDocument/2006/relationships" r:id="rId1"/>
        </xdr:cNvPr>
        <xdr:cNvSpPr txBox="1"/>
      </xdr:nvSpPr>
      <xdr:spPr>
        <a:xfrm>
          <a:off x="9749118" y="12068735"/>
          <a:ext cx="1759323" cy="661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twoCellAnchor>
    <xdr:from>
      <xdr:col>6</xdr:col>
      <xdr:colOff>2354033</xdr:colOff>
      <xdr:row>0</xdr:row>
      <xdr:rowOff>142874</xdr:rowOff>
    </xdr:from>
    <xdr:to>
      <xdr:col>7</xdr:col>
      <xdr:colOff>81641</xdr:colOff>
      <xdr:row>0</xdr:row>
      <xdr:rowOff>646340</xdr:rowOff>
    </xdr:to>
    <xdr:sp macro="[0]!Macro20" textlink="">
      <xdr:nvSpPr>
        <xdr:cNvPr id="2" name="Rounded Rectangle 1"/>
        <xdr:cNvSpPr/>
      </xdr:nvSpPr>
      <xdr:spPr>
        <a:xfrm>
          <a:off x="20029712" y="142874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  <xdr:twoCellAnchor>
    <xdr:from>
      <xdr:col>7</xdr:col>
      <xdr:colOff>424541</xdr:colOff>
      <xdr:row>0</xdr:row>
      <xdr:rowOff>142874</xdr:rowOff>
    </xdr:from>
    <xdr:to>
      <xdr:col>8</xdr:col>
      <xdr:colOff>394606</xdr:colOff>
      <xdr:row>0</xdr:row>
      <xdr:rowOff>646340</xdr:rowOff>
    </xdr:to>
    <xdr:sp macro="[0]!Macro6" textlink="">
      <xdr:nvSpPr>
        <xdr:cNvPr id="4" name="Rounded Rectangle 3"/>
        <xdr:cNvSpPr/>
      </xdr:nvSpPr>
      <xdr:spPr>
        <a:xfrm>
          <a:off x="21923827" y="142874"/>
          <a:ext cx="2310493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DÂY</a:t>
          </a:r>
          <a:r>
            <a:rPr lang="en-GB" sz="3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QUẤN</a:t>
          </a:r>
          <a:endParaRPr lang="en-GB" sz="3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283701</xdr:colOff>
      <xdr:row>30</xdr:row>
      <xdr:rowOff>111499</xdr:rowOff>
    </xdr:from>
    <xdr:to>
      <xdr:col>8</xdr:col>
      <xdr:colOff>1046069</xdr:colOff>
      <xdr:row>31</xdr:row>
      <xdr:rowOff>392206</xdr:rowOff>
    </xdr:to>
    <xdr:pic>
      <xdr:nvPicPr>
        <xdr:cNvPr id="2" name="Picture 1" descr="chua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054" y="8078881"/>
          <a:ext cx="1445927" cy="684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20133</xdr:colOff>
      <xdr:row>4</xdr:row>
      <xdr:rowOff>357620</xdr:rowOff>
    </xdr:from>
    <xdr:to>
      <xdr:col>44</xdr:col>
      <xdr:colOff>180543</xdr:colOff>
      <xdr:row>12</xdr:row>
      <xdr:rowOff>77931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47321" y="1881620"/>
          <a:ext cx="11923785" cy="2911186"/>
        </a:xfrm>
        <a:prstGeom prst="rect">
          <a:avLst/>
        </a:prstGeom>
      </xdr:spPr>
    </xdr:pic>
    <xdr:clientData/>
  </xdr:twoCellAnchor>
  <xdr:twoCellAnchor>
    <xdr:from>
      <xdr:col>11</xdr:col>
      <xdr:colOff>693209</xdr:colOff>
      <xdr:row>37</xdr:row>
      <xdr:rowOff>105901</xdr:rowOff>
    </xdr:from>
    <xdr:to>
      <xdr:col>13</xdr:col>
      <xdr:colOff>909203</xdr:colOff>
      <xdr:row>38</xdr:row>
      <xdr:rowOff>464688</xdr:rowOff>
    </xdr:to>
    <xdr:pic>
      <xdr:nvPicPr>
        <xdr:cNvPr id="5" name="Picture 4" descr="chuan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7459" y="15574501"/>
          <a:ext cx="2501994" cy="9779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774199</xdr:colOff>
      <xdr:row>0</xdr:row>
      <xdr:rowOff>368371</xdr:rowOff>
    </xdr:from>
    <xdr:to>
      <xdr:col>15</xdr:col>
      <xdr:colOff>1520878</xdr:colOff>
      <xdr:row>8</xdr:row>
      <xdr:rowOff>188336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1824" y="368371"/>
          <a:ext cx="13295867" cy="2867965"/>
        </a:xfrm>
        <a:prstGeom prst="rect">
          <a:avLst/>
        </a:prstGeom>
      </xdr:spPr>
    </xdr:pic>
    <xdr:clientData/>
  </xdr:twoCellAnchor>
  <xdr:twoCellAnchor>
    <xdr:from>
      <xdr:col>21</xdr:col>
      <xdr:colOff>357187</xdr:colOff>
      <xdr:row>0</xdr:row>
      <xdr:rowOff>0</xdr:rowOff>
    </xdr:from>
    <xdr:to>
      <xdr:col>28</xdr:col>
      <xdr:colOff>95249</xdr:colOff>
      <xdr:row>2</xdr:row>
      <xdr:rowOff>190500</xdr:rowOff>
    </xdr:to>
    <xdr:sp macro="[0]!Macro20" textlink="">
      <xdr:nvSpPr>
        <xdr:cNvPr id="7" name="Rounded Rectangle 6"/>
        <xdr:cNvSpPr/>
      </xdr:nvSpPr>
      <xdr:spPr>
        <a:xfrm>
          <a:off x="24907875" y="0"/>
          <a:ext cx="4071937" cy="952500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209550</xdr:colOff>
      <xdr:row>0</xdr:row>
      <xdr:rowOff>1</xdr:rowOff>
    </xdr:from>
    <xdr:to>
      <xdr:col>17</xdr:col>
      <xdr:colOff>541565</xdr:colOff>
      <xdr:row>0</xdr:row>
      <xdr:rowOff>419101</xdr:rowOff>
    </xdr:to>
    <xdr:sp macro="[0]!Macro20" textlink="">
      <xdr:nvSpPr>
        <xdr:cNvPr id="2" name="Rounded Rectangle 1"/>
        <xdr:cNvSpPr/>
      </xdr:nvSpPr>
      <xdr:spPr>
        <a:xfrm>
          <a:off x="12458700" y="1"/>
          <a:ext cx="1551215" cy="419100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619126</xdr:colOff>
      <xdr:row>24</xdr:row>
      <xdr:rowOff>23812</xdr:rowOff>
    </xdr:from>
    <xdr:to>
      <xdr:col>7</xdr:col>
      <xdr:colOff>547689</xdr:colOff>
      <xdr:row>28</xdr:row>
      <xdr:rowOff>881061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1" y="17025937"/>
          <a:ext cx="4452938" cy="3714749"/>
        </a:xfrm>
        <a:prstGeom prst="rect">
          <a:avLst/>
        </a:prstGeom>
      </xdr:spPr>
    </xdr:pic>
    <xdr:clientData/>
  </xdr:twoCellAnchor>
  <xdr:twoCellAnchor>
    <xdr:from>
      <xdr:col>19</xdr:col>
      <xdr:colOff>744060</xdr:colOff>
      <xdr:row>31</xdr:row>
      <xdr:rowOff>168851</xdr:rowOff>
    </xdr:from>
    <xdr:to>
      <xdr:col>24</xdr:col>
      <xdr:colOff>333374</xdr:colOff>
      <xdr:row>32</xdr:row>
      <xdr:rowOff>761999</xdr:rowOff>
    </xdr:to>
    <xdr:pic>
      <xdr:nvPicPr>
        <xdr:cNvPr id="6" name="Picture 5" descr="chuan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26935" y="23219351"/>
          <a:ext cx="3970814" cy="1498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47626</xdr:colOff>
      <xdr:row>14</xdr:row>
      <xdr:rowOff>238124</xdr:rowOff>
    </xdr:from>
    <xdr:to>
      <xdr:col>17</xdr:col>
      <xdr:colOff>630824</xdr:colOff>
      <xdr:row>23</xdr:row>
      <xdr:rowOff>694567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1" y="11930062"/>
          <a:ext cx="14299198" cy="52189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295273</xdr:colOff>
      <xdr:row>30</xdr:row>
      <xdr:rowOff>47626</xdr:rowOff>
    </xdr:from>
    <xdr:to>
      <xdr:col>9</xdr:col>
      <xdr:colOff>22411</xdr:colOff>
      <xdr:row>31</xdr:row>
      <xdr:rowOff>347382</xdr:rowOff>
    </xdr:to>
    <xdr:pic>
      <xdr:nvPicPr>
        <xdr:cNvPr id="2" name="Picture 1" descr="chua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302" y="7958979"/>
          <a:ext cx="1553697" cy="66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0</xdr:rowOff>
    </xdr:from>
    <xdr:to>
      <xdr:col>13</xdr:col>
      <xdr:colOff>329774</xdr:colOff>
      <xdr:row>1</xdr:row>
      <xdr:rowOff>189701</xdr:rowOff>
    </xdr:to>
    <xdr:sp macro="[0]!Macro20" textlink="">
      <xdr:nvSpPr>
        <xdr:cNvPr id="2" name="Rounded Rectangle 1"/>
        <xdr:cNvSpPr/>
      </xdr:nvSpPr>
      <xdr:spPr>
        <a:xfrm>
          <a:off x="7967383" y="0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361948</xdr:colOff>
      <xdr:row>1</xdr:row>
      <xdr:rowOff>152400</xdr:rowOff>
    </xdr:from>
    <xdr:to>
      <xdr:col>3</xdr:col>
      <xdr:colOff>257175</xdr:colOff>
      <xdr:row>3</xdr:row>
      <xdr:rowOff>180975</xdr:rowOff>
    </xdr:to>
    <xdr:pic>
      <xdr:nvPicPr>
        <xdr:cNvPr id="2" name="Picture 1" descr="chua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48" y="495300"/>
          <a:ext cx="1724027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38100</xdr:colOff>
      <xdr:row>0</xdr:row>
      <xdr:rowOff>0</xdr:rowOff>
    </xdr:from>
    <xdr:to>
      <xdr:col>19</xdr:col>
      <xdr:colOff>370115</xdr:colOff>
      <xdr:row>1</xdr:row>
      <xdr:rowOff>160566</xdr:rowOff>
    </xdr:to>
    <xdr:sp macro="[0]!Macro20" textlink="">
      <xdr:nvSpPr>
        <xdr:cNvPr id="3" name="Rounded Rectangle 2"/>
        <xdr:cNvSpPr/>
      </xdr:nvSpPr>
      <xdr:spPr>
        <a:xfrm>
          <a:off x="10477500" y="0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333374</xdr:colOff>
      <xdr:row>0</xdr:row>
      <xdr:rowOff>38099</xdr:rowOff>
    </xdr:from>
    <xdr:to>
      <xdr:col>1</xdr:col>
      <xdr:colOff>1352549</xdr:colOff>
      <xdr:row>2</xdr:row>
      <xdr:rowOff>196077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AA43D2-2CBF-43C1-9BD8-A43BC60CD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799" y="38099"/>
          <a:ext cx="1019175" cy="605653"/>
        </a:xfrm>
        <a:prstGeom prst="rect">
          <a:avLst/>
        </a:prstGeom>
      </xdr:spPr>
    </xdr:pic>
    <xdr:clientData/>
  </xdr:twoCellAnchor>
  <xdr:twoCellAnchor>
    <xdr:from>
      <xdr:col>5</xdr:col>
      <xdr:colOff>161925</xdr:colOff>
      <xdr:row>0</xdr:row>
      <xdr:rowOff>47625</xdr:rowOff>
    </xdr:from>
    <xdr:to>
      <xdr:col>7</xdr:col>
      <xdr:colOff>493940</xdr:colOff>
      <xdr:row>2</xdr:row>
      <xdr:rowOff>103416</xdr:rowOff>
    </xdr:to>
    <xdr:sp macro="[0]!Macro20" textlink="">
      <xdr:nvSpPr>
        <xdr:cNvPr id="3" name="Rounded Rectangle 2"/>
        <xdr:cNvSpPr/>
      </xdr:nvSpPr>
      <xdr:spPr>
        <a:xfrm>
          <a:off x="7524750" y="47625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123265</xdr:colOff>
      <xdr:row>0</xdr:row>
      <xdr:rowOff>67236</xdr:rowOff>
    </xdr:from>
    <xdr:to>
      <xdr:col>1</xdr:col>
      <xdr:colOff>1501588</xdr:colOff>
      <xdr:row>2</xdr:row>
      <xdr:rowOff>189007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AA43D2-2CBF-43C1-9BD8-A43BC60CD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647" y="67236"/>
          <a:ext cx="1378323" cy="77171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30479</xdr:rowOff>
    </xdr:from>
    <xdr:to>
      <xdr:col>2</xdr:col>
      <xdr:colOff>19049</xdr:colOff>
      <xdr:row>1</xdr:row>
      <xdr:rowOff>200025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479"/>
          <a:ext cx="962024" cy="5219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30479</xdr:rowOff>
    </xdr:from>
    <xdr:to>
      <xdr:col>2</xdr:col>
      <xdr:colOff>19049</xdr:colOff>
      <xdr:row>1</xdr:row>
      <xdr:rowOff>200025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479"/>
          <a:ext cx="962024" cy="5219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30481</xdr:rowOff>
    </xdr:from>
    <xdr:to>
      <xdr:col>2</xdr:col>
      <xdr:colOff>9524</xdr:colOff>
      <xdr:row>1</xdr:row>
      <xdr:rowOff>191450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481"/>
          <a:ext cx="952499" cy="513394"/>
        </a:xfrm>
        <a:prstGeom prst="rect">
          <a:avLst/>
        </a:prstGeom>
      </xdr:spPr>
    </xdr:pic>
    <xdr:clientData/>
  </xdr:twoCellAnchor>
  <xdr:twoCellAnchor>
    <xdr:from>
      <xdr:col>8</xdr:col>
      <xdr:colOff>342900</xdr:colOff>
      <xdr:row>0</xdr:row>
      <xdr:rowOff>95250</xdr:rowOff>
    </xdr:from>
    <xdr:to>
      <xdr:col>11</xdr:col>
      <xdr:colOff>122465</xdr:colOff>
      <xdr:row>2</xdr:row>
      <xdr:rowOff>8166</xdr:rowOff>
    </xdr:to>
    <xdr:sp macro="[0]!Macro20" textlink="">
      <xdr:nvSpPr>
        <xdr:cNvPr id="5" name="Rounded Rectangle 4"/>
        <xdr:cNvSpPr/>
      </xdr:nvSpPr>
      <xdr:spPr>
        <a:xfrm>
          <a:off x="7762875" y="95250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228600</xdr:rowOff>
    </xdr:from>
    <xdr:to>
      <xdr:col>3</xdr:col>
      <xdr:colOff>114299</xdr:colOff>
      <xdr:row>3</xdr:row>
      <xdr:rowOff>200025</xdr:rowOff>
    </xdr:to>
    <xdr:pic>
      <xdr:nvPicPr>
        <xdr:cNvPr id="2" name="Picture 1" descr="chua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581025"/>
          <a:ext cx="1485899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1771650</xdr:colOff>
      <xdr:row>0</xdr:row>
      <xdr:rowOff>57150</xdr:rowOff>
    </xdr:from>
    <xdr:to>
      <xdr:col>15</xdr:col>
      <xdr:colOff>3322865</xdr:colOff>
      <xdr:row>0</xdr:row>
      <xdr:rowOff>542925</xdr:rowOff>
    </xdr:to>
    <xdr:sp macro="[0]!Macro20" textlink="">
      <xdr:nvSpPr>
        <xdr:cNvPr id="3" name="Rounded Rectangle 2"/>
        <xdr:cNvSpPr/>
      </xdr:nvSpPr>
      <xdr:spPr>
        <a:xfrm>
          <a:off x="11582400" y="57150"/>
          <a:ext cx="1551215" cy="485775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419100</xdr:colOff>
      <xdr:row>0</xdr:row>
      <xdr:rowOff>0</xdr:rowOff>
    </xdr:from>
    <xdr:to>
      <xdr:col>29</xdr:col>
      <xdr:colOff>74840</xdr:colOff>
      <xdr:row>2</xdr:row>
      <xdr:rowOff>122466</xdr:rowOff>
    </xdr:to>
    <xdr:sp macro="[0]!Macro20" textlink="">
      <xdr:nvSpPr>
        <xdr:cNvPr id="2" name="Rounded Rectangle 1"/>
        <xdr:cNvSpPr/>
      </xdr:nvSpPr>
      <xdr:spPr>
        <a:xfrm>
          <a:off x="21050250" y="0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0</xdr:row>
      <xdr:rowOff>0</xdr:rowOff>
    </xdr:from>
    <xdr:to>
      <xdr:col>15</xdr:col>
      <xdr:colOff>93890</xdr:colOff>
      <xdr:row>0</xdr:row>
      <xdr:rowOff>503466</xdr:rowOff>
    </xdr:to>
    <xdr:sp macro="[0]!Macro20" textlink="">
      <xdr:nvSpPr>
        <xdr:cNvPr id="2" name="Rounded Rectangle 1"/>
        <xdr:cNvSpPr/>
      </xdr:nvSpPr>
      <xdr:spPr>
        <a:xfrm>
          <a:off x="11430000" y="0"/>
          <a:ext cx="1551215" cy="503466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1916207</xdr:colOff>
      <xdr:row>0</xdr:row>
      <xdr:rowOff>134471</xdr:rowOff>
    </xdr:from>
    <xdr:to>
      <xdr:col>8</xdr:col>
      <xdr:colOff>453039</xdr:colOff>
      <xdr:row>0</xdr:row>
      <xdr:rowOff>728383</xdr:rowOff>
    </xdr:to>
    <xdr:sp macro="[0]!Macro20" textlink="">
      <xdr:nvSpPr>
        <xdr:cNvPr id="2" name="Rounded Rectangle 1"/>
        <xdr:cNvSpPr/>
      </xdr:nvSpPr>
      <xdr:spPr>
        <a:xfrm>
          <a:off x="9872383" y="134471"/>
          <a:ext cx="1551215" cy="593912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0</xdr:row>
      <xdr:rowOff>76201</xdr:rowOff>
    </xdr:from>
    <xdr:to>
      <xdr:col>12</xdr:col>
      <xdr:colOff>760640</xdr:colOff>
      <xdr:row>0</xdr:row>
      <xdr:rowOff>504825</xdr:rowOff>
    </xdr:to>
    <xdr:sp macro="[0]!Macro20" textlink="">
      <xdr:nvSpPr>
        <xdr:cNvPr id="2" name="Rounded Rectangle 1"/>
        <xdr:cNvSpPr/>
      </xdr:nvSpPr>
      <xdr:spPr>
        <a:xfrm>
          <a:off x="8677275" y="76201"/>
          <a:ext cx="1551215" cy="428624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419100</xdr:colOff>
      <xdr:row>18</xdr:row>
      <xdr:rowOff>95250</xdr:rowOff>
    </xdr:from>
    <xdr:ext cx="65" cy="172227"/>
    <xdr:sp macro="" textlink="">
      <xdr:nvSpPr>
        <xdr:cNvPr id="2" name="TextBox 1"/>
        <xdr:cNvSpPr txBox="1"/>
      </xdr:nvSpPr>
      <xdr:spPr>
        <a:xfrm>
          <a:off x="8286750" y="3543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9</xdr:col>
      <xdr:colOff>57150</xdr:colOff>
      <xdr:row>0</xdr:row>
      <xdr:rowOff>47625</xdr:rowOff>
    </xdr:from>
    <xdr:to>
      <xdr:col>11</xdr:col>
      <xdr:colOff>170090</xdr:colOff>
      <xdr:row>0</xdr:row>
      <xdr:rowOff>476250</xdr:rowOff>
    </xdr:to>
    <xdr:sp macro="[0]!Macro20" textlink="">
      <xdr:nvSpPr>
        <xdr:cNvPr id="3" name="Rounded Rectangle 2"/>
        <xdr:cNvSpPr/>
      </xdr:nvSpPr>
      <xdr:spPr>
        <a:xfrm>
          <a:off x="7086600" y="47625"/>
          <a:ext cx="1551215" cy="428625"/>
        </a:xfrm>
        <a:prstGeom prst="roundRect">
          <a:avLst/>
        </a:prstGeom>
        <a:solidFill>
          <a:srgbClr val="C9A6E4"/>
        </a:solidFill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rsonal/Downloads/FILE%20NH&#7852;P%20S&#788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/Ban%20tinh%20toan%20HAVEC/2020/Ha%20dong/Cao%20dong/Ovan/Phuong%20an%20trien%20khai/1250/35/BD/1250%203504%20Dyn11%20(ovan74)(12503504H101D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Siemens\NX%2012.0\ugii\ug.xl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ythuat3\Documents\Zalo%20Received%20Files\21D02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/Ban%20tinh%20toan%20HAVEC/2024/Ha%20dong/Cao%20dong/Chao%20thau/303kVA%2035kV%20ZN%20140A%2010A(ovan78)(Chao%20thau)f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6"/>
      <sheetName val="Sheet4"/>
      <sheetName val="TÍNH TOÁN SỐ LỖ VÀNH VS NẮP"/>
      <sheetName val="Lưu ý"/>
      <sheetName val="Sheet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4">
          <cell r="E14">
            <v>370</v>
          </cell>
          <cell r="H14">
            <v>17</v>
          </cell>
        </row>
        <row r="15">
          <cell r="H15">
            <v>0.6</v>
          </cell>
          <cell r="I15">
            <v>350</v>
          </cell>
        </row>
        <row r="16">
          <cell r="H16">
            <v>0.20499999999999999</v>
          </cell>
        </row>
        <row r="17">
          <cell r="H17">
            <v>2</v>
          </cell>
          <cell r="I17">
            <v>1</v>
          </cell>
        </row>
        <row r="19">
          <cell r="H19">
            <v>152.63884206998929</v>
          </cell>
        </row>
        <row r="23">
          <cell r="E23">
            <v>370</v>
          </cell>
          <cell r="H23">
            <v>17</v>
          </cell>
          <cell r="I23">
            <v>1</v>
          </cell>
        </row>
        <row r="24">
          <cell r="H24">
            <v>1.65</v>
          </cell>
          <cell r="I24">
            <v>1.65</v>
          </cell>
        </row>
        <row r="25">
          <cell r="H25">
            <v>0.1875</v>
          </cell>
        </row>
        <row r="26">
          <cell r="H26">
            <v>1</v>
          </cell>
        </row>
        <row r="27">
          <cell r="H27">
            <v>2</v>
          </cell>
        </row>
        <row r="28">
          <cell r="H28">
            <v>980.89187959999992</v>
          </cell>
          <cell r="I28">
            <v>1217.9587434800001</v>
          </cell>
        </row>
        <row r="29">
          <cell r="F29">
            <v>1698.1571893878979</v>
          </cell>
          <cell r="H29">
            <v>193.09298371751706</v>
          </cell>
        </row>
        <row r="30">
          <cell r="E30">
            <v>40</v>
          </cell>
        </row>
        <row r="38">
          <cell r="E38">
            <v>10</v>
          </cell>
        </row>
        <row r="40">
          <cell r="E40">
            <v>0</v>
          </cell>
        </row>
        <row r="41">
          <cell r="E4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ố 1"/>
      <sheetName val="Quy doi ton"/>
      <sheetName val="Ban tinh"/>
      <sheetName val="Thong so"/>
      <sheetName val="TON HAO"/>
      <sheetName val="Gia vat tu"/>
      <sheetName val="Bang ke vat tu theo bo phan"/>
      <sheetName val="Bang ke vat tu"/>
      <sheetName val="Bang tinh gia vat tu 1"/>
      <sheetName val="Bang tinh gia vat tu"/>
      <sheetName val="Bang BW"/>
      <sheetName val="file so lieu"/>
      <sheetName val="Sheet11"/>
      <sheetName val="Sheet12"/>
      <sheetName val="Sheet13"/>
      <sheetName val="Sheet14"/>
      <sheetName val="Sheet15"/>
      <sheetName val="Sheet16"/>
    </sheetNames>
    <sheetDataSet>
      <sheetData sheetId="0" refreshError="1"/>
      <sheetData sheetId="1" refreshError="1"/>
      <sheetData sheetId="2" refreshError="1">
        <row r="3">
          <cell r="B3">
            <v>1250</v>
          </cell>
        </row>
        <row r="10">
          <cell r="G10" t="str">
            <v>Step 1</v>
          </cell>
        </row>
        <row r="11">
          <cell r="G11" t="str">
            <v>Step 2</v>
          </cell>
        </row>
        <row r="12">
          <cell r="G12" t="str">
            <v>Step 3</v>
          </cell>
        </row>
        <row r="13">
          <cell r="G13" t="str">
            <v>Step 4</v>
          </cell>
        </row>
        <row r="14">
          <cell r="G14" t="str">
            <v>Step 5</v>
          </cell>
        </row>
        <row r="15">
          <cell r="G15" t="str">
            <v>Step 6</v>
          </cell>
        </row>
        <row r="16">
          <cell r="G16" t="str">
            <v>Step 7</v>
          </cell>
        </row>
        <row r="17">
          <cell r="G17" t="str">
            <v>Step 8</v>
          </cell>
        </row>
        <row r="18">
          <cell r="G18" t="str">
            <v>Step 9</v>
          </cell>
        </row>
        <row r="19">
          <cell r="G19" t="str">
            <v>Step 10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COSD"/>
    </defined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Unicore"/>
      <sheetName val="Caoha"/>
      <sheetName val="Sheet2"/>
      <sheetName val="Sheet5"/>
      <sheetName val="Bìa"/>
      <sheetName val="Dây cáp hạ thế"/>
      <sheetName val="Sửa R"/>
      <sheetName val="Tôn"/>
      <sheetName val="Ty"/>
      <sheetName val="vật tư"/>
      <sheetName val="HDKT"/>
      <sheetName val="Phiếu triển khai"/>
      <sheetName val="Phiếu ktra"/>
      <sheetName val="ListBV"/>
      <sheetName val="Tra_cuu"/>
      <sheetName val="Mã"/>
      <sheetName val="Tính vật tư"/>
      <sheetName val="Tên vật tư"/>
      <sheetName val="Phiết đặt hàng"/>
      <sheetName val="Sheet3"/>
      <sheetName val="Sheet6"/>
      <sheetName val="Sheet4"/>
      <sheetName val="TÍNH TOÁN SỐ LỖ VÀNH VS NẮP"/>
      <sheetName val="Lưu ý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">
          <cell r="A7" t="str">
            <v>(Số order)</v>
          </cell>
        </row>
        <row r="8">
          <cell r="A8" t="str">
            <v>(Thông số sản phẩm)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ố 1"/>
      <sheetName val="Quy doi ton"/>
      <sheetName val="Ban tinh"/>
      <sheetName val="Po"/>
      <sheetName val="Thong so"/>
      <sheetName val="TON HAO"/>
      <sheetName val="Gia vat tu"/>
      <sheetName val="Bang ke vat tu theo bo phan"/>
      <sheetName val="Bang ke vat tu"/>
      <sheetName val="Bang tinh gia vat tu 1"/>
      <sheetName val="Bang tinh gia vat tu"/>
      <sheetName val="Bang BW"/>
      <sheetName val="file so lieu"/>
      <sheetName val="Sheet11"/>
      <sheetName val="Sheet12"/>
      <sheetName val="Sheet13"/>
      <sheetName val="Sheet14"/>
      <sheetName val="Sheet15"/>
      <sheetName val="Sheet16"/>
    </sheetNames>
    <sheetDataSet>
      <sheetData sheetId="0" refreshError="1"/>
      <sheetData sheetId="1" refreshError="1"/>
      <sheetData sheetId="2" refreshError="1">
        <row r="3">
          <cell r="B3">
            <v>303</v>
          </cell>
          <cell r="E3" t="str">
            <v>Yyn0</v>
          </cell>
        </row>
        <row r="4">
          <cell r="B4">
            <v>17500</v>
          </cell>
          <cell r="K4">
            <v>9.9967007588254688</v>
          </cell>
        </row>
        <row r="5">
          <cell r="A5" t="str">
            <v>LV</v>
          </cell>
          <cell r="K5">
            <v>9.9967007588254688</v>
          </cell>
        </row>
        <row r="10">
          <cell r="H10">
            <v>120</v>
          </cell>
          <cell r="I10">
            <v>52.5</v>
          </cell>
          <cell r="L10">
            <v>154.16043531328125</v>
          </cell>
        </row>
        <row r="11">
          <cell r="B11">
            <v>390</v>
          </cell>
          <cell r="H11">
            <v>110</v>
          </cell>
          <cell r="I11">
            <v>9</v>
          </cell>
          <cell r="J11">
            <v>9</v>
          </cell>
          <cell r="L11">
            <v>48.009790918125006</v>
          </cell>
        </row>
        <row r="12">
          <cell r="B12">
            <v>443</v>
          </cell>
          <cell r="H12">
            <v>100</v>
          </cell>
          <cell r="I12">
            <v>8.5</v>
          </cell>
          <cell r="J12">
            <v>8.5</v>
          </cell>
          <cell r="L12">
            <v>40.8422325740625</v>
          </cell>
        </row>
        <row r="13">
          <cell r="H13">
            <v>90</v>
          </cell>
          <cell r="I13">
            <v>6.5</v>
          </cell>
          <cell r="J13">
            <v>6.5</v>
          </cell>
          <cell r="L13">
            <v>27.848733010312497</v>
          </cell>
        </row>
        <row r="14">
          <cell r="H14">
            <v>60</v>
          </cell>
          <cell r="I14">
            <v>12</v>
          </cell>
          <cell r="J14">
            <v>12</v>
          </cell>
          <cell r="L14">
            <v>33.3144460575</v>
          </cell>
        </row>
        <row r="15">
          <cell r="H15">
            <v>0</v>
          </cell>
          <cell r="I15">
            <v>0</v>
          </cell>
          <cell r="J15">
            <v>0</v>
          </cell>
          <cell r="L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  <cell r="L16">
            <v>0</v>
          </cell>
          <cell r="P16" t="str">
            <v>T</v>
          </cell>
          <cell r="Q16">
            <v>4</v>
          </cell>
        </row>
        <row r="17">
          <cell r="H17">
            <v>0</v>
          </cell>
          <cell r="I17">
            <v>0</v>
          </cell>
          <cell r="J17">
            <v>0</v>
          </cell>
          <cell r="L17">
            <v>0</v>
          </cell>
        </row>
        <row r="18">
          <cell r="H18">
            <v>0</v>
          </cell>
          <cell r="I18">
            <v>0</v>
          </cell>
          <cell r="J18">
            <v>0</v>
          </cell>
        </row>
        <row r="19">
          <cell r="H19">
            <v>0</v>
          </cell>
          <cell r="I19">
            <v>0</v>
          </cell>
          <cell r="J19">
            <v>0</v>
          </cell>
        </row>
        <row r="21">
          <cell r="E21">
            <v>39.255871100000007</v>
          </cell>
          <cell r="G21">
            <v>15</v>
          </cell>
          <cell r="I21">
            <v>120</v>
          </cell>
        </row>
        <row r="22">
          <cell r="B22">
            <v>0</v>
          </cell>
          <cell r="C22">
            <v>0.06</v>
          </cell>
          <cell r="E22">
            <v>43.5</v>
          </cell>
          <cell r="G22">
            <v>31</v>
          </cell>
        </row>
        <row r="24">
          <cell r="G24">
            <v>350</v>
          </cell>
        </row>
        <row r="25">
          <cell r="C25">
            <v>2860</v>
          </cell>
          <cell r="D25">
            <v>136.19</v>
          </cell>
          <cell r="F25">
            <v>152</v>
          </cell>
          <cell r="G25">
            <v>186.21713368932572</v>
          </cell>
        </row>
        <row r="26">
          <cell r="F26">
            <v>260.96960000000001</v>
          </cell>
          <cell r="G26">
            <v>295.18673368932571</v>
          </cell>
          <cell r="I26" t="str">
            <v>Cu</v>
          </cell>
        </row>
        <row r="27">
          <cell r="F27">
            <v>54.4848</v>
          </cell>
          <cell r="G27">
            <v>54.4848</v>
          </cell>
          <cell r="J27">
            <v>0.15</v>
          </cell>
          <cell r="L27">
            <v>0.06</v>
          </cell>
        </row>
        <row r="28">
          <cell r="B28">
            <v>2</v>
          </cell>
          <cell r="C28">
            <v>2</v>
          </cell>
          <cell r="D28">
            <v>2</v>
          </cell>
          <cell r="F28">
            <v>545.95746737865147</v>
          </cell>
          <cell r="G28">
            <v>888.2963627386514</v>
          </cell>
        </row>
        <row r="29">
          <cell r="C29">
            <v>4.5</v>
          </cell>
        </row>
        <row r="33">
          <cell r="B33">
            <v>22</v>
          </cell>
          <cell r="C33">
            <v>0</v>
          </cell>
          <cell r="G33">
            <v>350</v>
          </cell>
        </row>
        <row r="34">
          <cell r="C34">
            <v>131.21544184176136</v>
          </cell>
          <cell r="G34">
            <v>290.96960000000001</v>
          </cell>
          <cell r="H34">
            <v>325.18673368932571</v>
          </cell>
          <cell r="J34">
            <v>1.9</v>
          </cell>
          <cell r="L34">
            <v>1.9</v>
          </cell>
        </row>
        <row r="35">
          <cell r="B35">
            <v>2860</v>
          </cell>
          <cell r="I35" t="str">
            <v>Cu</v>
          </cell>
        </row>
        <row r="36">
          <cell r="B36">
            <v>0</v>
          </cell>
          <cell r="D36">
            <v>2860</v>
          </cell>
          <cell r="G36">
            <v>412.97679999999997</v>
          </cell>
          <cell r="H36">
            <v>442.69393368932566</v>
          </cell>
          <cell r="J36">
            <v>1.9</v>
          </cell>
          <cell r="L36">
            <v>1.9</v>
          </cell>
        </row>
        <row r="37">
          <cell r="G37">
            <v>61.158099999999997</v>
          </cell>
          <cell r="H37">
            <v>58.908099999999997</v>
          </cell>
          <cell r="I37" t="str">
            <v>cu</v>
          </cell>
        </row>
        <row r="38">
          <cell r="H38">
            <v>-0.1545</v>
          </cell>
          <cell r="J38">
            <v>0.15</v>
          </cell>
          <cell r="L38">
            <v>0.06</v>
          </cell>
        </row>
        <row r="39">
          <cell r="G39">
            <v>982.54436273865144</v>
          </cell>
          <cell r="J39">
            <v>0.15</v>
          </cell>
        </row>
        <row r="40">
          <cell r="H40">
            <v>1356.8421822586513</v>
          </cell>
          <cell r="J40">
            <v>1</v>
          </cell>
          <cell r="K40">
            <v>1</v>
          </cell>
        </row>
        <row r="41">
          <cell r="B41">
            <v>3</v>
          </cell>
          <cell r="C41">
            <v>3</v>
          </cell>
          <cell r="D41">
            <v>2</v>
          </cell>
          <cell r="H41">
            <v>0</v>
          </cell>
          <cell r="J41">
            <v>1</v>
          </cell>
          <cell r="K41">
            <v>1</v>
          </cell>
          <cell r="L41">
            <v>0</v>
          </cell>
        </row>
        <row r="42">
          <cell r="C42">
            <v>4.5</v>
          </cell>
          <cell r="G42">
            <v>258.42095976078826</v>
          </cell>
          <cell r="K42">
            <v>927.0994662311823</v>
          </cell>
          <cell r="L42">
            <v>927.0994662311823</v>
          </cell>
        </row>
        <row r="47">
          <cell r="F47">
            <v>1390</v>
          </cell>
        </row>
        <row r="48">
          <cell r="C48">
            <v>623.75332822086784</v>
          </cell>
          <cell r="F48">
            <v>509</v>
          </cell>
        </row>
        <row r="49">
          <cell r="C49">
            <v>2052.8193444504759</v>
          </cell>
          <cell r="F49">
            <v>785</v>
          </cell>
        </row>
        <row r="57">
          <cell r="G57">
            <v>700.84643620322231</v>
          </cell>
          <cell r="J57" t="str">
            <v>Hermetically, Without gap</v>
          </cell>
        </row>
        <row r="60">
          <cell r="K60" t="str">
            <v>YES</v>
          </cell>
        </row>
        <row r="61">
          <cell r="L61">
            <v>45</v>
          </cell>
        </row>
        <row r="62">
          <cell r="I62">
            <v>0.89</v>
          </cell>
          <cell r="L62">
            <v>45</v>
          </cell>
        </row>
        <row r="64">
          <cell r="I64">
            <v>30</v>
          </cell>
          <cell r="J64">
            <v>3</v>
          </cell>
        </row>
        <row r="65">
          <cell r="B65">
            <v>1.9</v>
          </cell>
          <cell r="C65">
            <v>1.9</v>
          </cell>
          <cell r="D65">
            <v>1</v>
          </cell>
          <cell r="E65">
            <v>1</v>
          </cell>
          <cell r="F65">
            <v>167.68536922493391</v>
          </cell>
          <cell r="G65" t="str">
            <v>Cấp 1-0.8,Cấp 2-0.8,Cấp 3-1Cấp 4-1,Cấp 5-1,Cấp 6-1,Cấp 7-1,Cấp 8-1,Cấp 9-1,Cấp 10-1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</row>
        <row r="71">
          <cell r="B71">
            <v>380</v>
          </cell>
          <cell r="C71">
            <v>380</v>
          </cell>
          <cell r="D71">
            <v>380</v>
          </cell>
          <cell r="E71">
            <v>380</v>
          </cell>
        </row>
        <row r="72">
          <cell r="B72">
            <v>600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3">
          <cell r="G33">
            <v>573.07706849983992</v>
          </cell>
        </row>
        <row r="34">
          <cell r="G34">
            <v>50.579374740479999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88"/>
  <sheetViews>
    <sheetView zoomScaleNormal="100" workbookViewId="0">
      <pane ySplit="1" topLeftCell="A2" activePane="bottomLeft" state="frozen"/>
      <selection pane="bottomLeft" sqref="A1:A1048576"/>
    </sheetView>
  </sheetViews>
  <sheetFormatPr defaultColWidth="8.85546875" defaultRowHeight="15" x14ac:dyDescent="0.25"/>
  <cols>
    <col min="1" max="1" width="26.28515625" style="605" customWidth="1"/>
    <col min="2" max="2" width="24.42578125" customWidth="1"/>
    <col min="3" max="4" width="24.42578125" style="1" customWidth="1"/>
    <col min="5" max="5" width="25" style="1" customWidth="1"/>
    <col min="6" max="6" width="11.140625" style="1" customWidth="1"/>
    <col min="7" max="16384" width="8.85546875" style="1"/>
  </cols>
  <sheetData>
    <row r="1" spans="1:2" ht="52.5" customHeight="1" x14ac:dyDescent="0.25">
      <c r="A1" s="605" t="str">
        <f>Sheet2!C91</f>
        <v>(STRING)TEXT1="2860"</v>
      </c>
    </row>
    <row r="2" spans="1:2" x14ac:dyDescent="0.25">
      <c r="A2" s="605" t="str">
        <f>Sheet2!C92</f>
        <v>(STRING)TEXT2="0"</v>
      </c>
    </row>
    <row r="3" spans="1:2" x14ac:dyDescent="0.25">
      <c r="A3" s="605" t="str">
        <f>Sheet2!G263</f>
        <v>(STRING)TEXT3="Cu1"</v>
      </c>
    </row>
    <row r="4" spans="1:2" x14ac:dyDescent="0.25">
      <c r="A4" s="605" t="str">
        <f>Sheet2!G264</f>
        <v>(STRING)TEXT4="1.9"</v>
      </c>
    </row>
    <row r="5" spans="1:2" x14ac:dyDescent="0.25">
      <c r="A5" s="605" t="str">
        <f>Sheet2!G265</f>
        <v>(STRING)TEXT5="1.9"</v>
      </c>
    </row>
    <row r="6" spans="1:2" x14ac:dyDescent="0.25">
      <c r="A6" s="605" t="str">
        <f>Sheet2!C93</f>
        <v>(STRING)TEXT6=""</v>
      </c>
    </row>
    <row r="7" spans="1:2" x14ac:dyDescent="0.25">
      <c r="A7" s="605" t="str">
        <f>Sheet2!E267</f>
        <v>(STRING)TEXT7="cu1"</v>
      </c>
    </row>
    <row r="8" spans="1:2" x14ac:dyDescent="0.25">
      <c r="A8" s="605" t="str">
        <f>Sheet2!J270</f>
        <v>(STRING)TEXT8="Cu1Ø1.9"</v>
      </c>
      <c r="B8" s="1109"/>
    </row>
    <row r="9" spans="1:2" x14ac:dyDescent="0.25">
      <c r="A9" s="605" t="str">
        <f>Sheet2!J271</f>
        <v>(STRING)TEXT9="10.5000367134151+10.5000367134151"</v>
      </c>
      <c r="B9" s="1109"/>
    </row>
    <row r="10" spans="1:2" x14ac:dyDescent="0.25">
      <c r="B10" s="1109"/>
    </row>
    <row r="11" spans="1:2" x14ac:dyDescent="0.25">
      <c r="B11" s="1109"/>
    </row>
    <row r="12" spans="1:2" x14ac:dyDescent="0.25">
      <c r="A12" s="605" t="str">
        <f>CONCATENATE("[degrees]SK17=",Sheet2!O168)</f>
        <v>[degrees]SK17=45</v>
      </c>
    </row>
    <row r="13" spans="1:2" x14ac:dyDescent="0.25">
      <c r="A13" s="605" t="str">
        <f>CONCATENATE("[mm]a=",Sheet2!B3)</f>
        <v>[mm]a=20</v>
      </c>
    </row>
    <row r="14" spans="1:2" x14ac:dyDescent="0.25">
      <c r="A14" s="605" t="str">
        <f>CONCATENATE("[mm]a1=",Sheet2!B48)</f>
        <v>[mm]a1=54.4848</v>
      </c>
    </row>
    <row r="15" spans="1:2" x14ac:dyDescent="0.25">
      <c r="A15" s="605" t="str">
        <f>CONCATENATE("[mm]a12=",Sheet2!B50)</f>
        <v>[mm]a12=15</v>
      </c>
    </row>
    <row r="16" spans="1:2" x14ac:dyDescent="0.25">
      <c r="A16" s="605" t="str">
        <f>CONCATENATE("[mm]a21=",Sheet2!B49)</f>
        <v>[mm]a21=61.0036</v>
      </c>
    </row>
    <row r="17" spans="1:2" x14ac:dyDescent="0.25">
      <c r="A17" s="605" t="str">
        <f>CONCATENATE("[mm]b=",Sheet2!B4)</f>
        <v>[mm]b=1.2</v>
      </c>
    </row>
    <row r="18" spans="1:2" x14ac:dyDescent="0.25">
      <c r="A18" s="605" t="str">
        <f>CONCATENATE("[mm]BD1=",Sheet2!G60)</f>
        <v>[mm]BD1=41</v>
      </c>
    </row>
    <row r="19" spans="1:2" x14ac:dyDescent="0.25">
      <c r="A19" s="605" t="str">
        <f>CONCATENATE("[mm]BD10=",Sheet2!P60)</f>
        <v>[mm]BD10=0</v>
      </c>
    </row>
    <row r="20" spans="1:2" x14ac:dyDescent="0.25">
      <c r="A20" s="605" t="str">
        <f>CONCATENATE("[mm]BD11=",Sheet2!Q60)</f>
        <v>[mm]BD11=0</v>
      </c>
    </row>
    <row r="21" spans="1:2" x14ac:dyDescent="0.25">
      <c r="A21" s="605" t="str">
        <f>CONCATENATE("[mm]BD12=",Sheet2!R60)</f>
        <v>[mm]BD12=0</v>
      </c>
    </row>
    <row r="22" spans="1:2" x14ac:dyDescent="0.25">
      <c r="A22" s="605" t="str">
        <f>CONCATENATE("[mm]BD13=",Sheet2!S60)</f>
        <v>[mm]BD13=0</v>
      </c>
    </row>
    <row r="23" spans="1:2" x14ac:dyDescent="0.25">
      <c r="A23" s="605" t="str">
        <f>CONCATENATE("[mm]BD14=",Sheet2!T60)</f>
        <v>[mm]BD14=0</v>
      </c>
    </row>
    <row r="24" spans="1:2" x14ac:dyDescent="0.25">
      <c r="A24" s="605" t="str">
        <f>CONCATENATE("[mm]BD15=",Sheet2!U60)</f>
        <v>[mm]BD15=480.5</v>
      </c>
    </row>
    <row r="25" spans="1:2" x14ac:dyDescent="0.25">
      <c r="A25" s="605" t="str">
        <f>CONCATENATE("[mm]BD16=",Sheet2!H68)</f>
        <v>[mm]BD16=282.5</v>
      </c>
      <c r="B25" s="545"/>
    </row>
    <row r="26" spans="1:2" x14ac:dyDescent="0.25">
      <c r="A26" s="605" t="str">
        <f>CONCATENATE("[mm]BD17=",Sheet2!V60)</f>
        <v>[mm]BD17=260</v>
      </c>
    </row>
    <row r="27" spans="1:2" x14ac:dyDescent="0.25">
      <c r="A27" s="605" t="str">
        <f>CONCATENATE("[mm]BD18=",Sheet2!W60)</f>
        <v>[mm]BD18=510</v>
      </c>
    </row>
    <row r="28" spans="1:2" x14ac:dyDescent="0.25">
      <c r="A28" s="605" t="str">
        <f>CONCATENATE("[mm]BD19=",Sheet2!X60)</f>
        <v>[mm]BD19=376</v>
      </c>
    </row>
    <row r="29" spans="1:2" x14ac:dyDescent="0.25">
      <c r="A29" s="605" t="str">
        <f>CONCATENATE("[mm]BD2=",Sheet2!H60)</f>
        <v>[mm]BD2=660</v>
      </c>
    </row>
    <row r="30" spans="1:2" x14ac:dyDescent="0.25">
      <c r="A30" s="605" t="str">
        <f>CONCATENATE("[mm]BD3=",Sheet2!I60)</f>
        <v>[mm]BD3=219.5</v>
      </c>
    </row>
    <row r="31" spans="1:2" x14ac:dyDescent="0.25">
      <c r="A31" s="605" t="str">
        <f>CONCATENATE("[mm]BD4=",Sheet2!J60)</f>
        <v>[mm]BD4=90</v>
      </c>
    </row>
    <row r="32" spans="1:2" x14ac:dyDescent="0.25">
      <c r="A32" s="605" t="str">
        <f>CONCATENATE("[mm]BD5=",Sheet2!K60)</f>
        <v>[mm]BD5=100</v>
      </c>
    </row>
    <row r="33" spans="1:2" x14ac:dyDescent="0.25">
      <c r="A33" s="605" t="str">
        <f>CONCATENATE("[mm]BD6=",Sheet2!L60)</f>
        <v>[mm]BD6=0</v>
      </c>
    </row>
    <row r="34" spans="1:2" x14ac:dyDescent="0.25">
      <c r="A34" s="605" t="str">
        <f>CONCATENATE("[mm]BD7=",Sheet2!M60)</f>
        <v>[mm]BD7=0</v>
      </c>
    </row>
    <row r="35" spans="1:2" x14ac:dyDescent="0.25">
      <c r="A35" s="605" t="str">
        <f>CONCATENATE("[mm]BD8=",Sheet2!N60)</f>
        <v>[mm]BD8=400</v>
      </c>
    </row>
    <row r="36" spans="1:2" x14ac:dyDescent="0.25">
      <c r="A36" s="605" t="str">
        <f>CONCATENATE("[mm]BD9=",Sheet2!O60)</f>
        <v>[mm]BD9=900</v>
      </c>
    </row>
    <row r="37" spans="1:2" x14ac:dyDescent="0.25">
      <c r="A37" s="605" t="str">
        <f>CONCATENATE("[mm]BK=",Sheet2!E296)</f>
        <v>[mm]BK=80</v>
      </c>
    </row>
    <row r="38" spans="1:2" x14ac:dyDescent="0.25">
      <c r="A38" s="605" t="str">
        <f>CONCATENATE("[mm]BK1=",Sheet2!F296)</f>
        <v>[mm]BK1=0</v>
      </c>
    </row>
    <row r="39" spans="1:2" x14ac:dyDescent="0.25">
      <c r="A39" s="605" t="e">
        <f>CONCATENATE("[mm]BK10=",Sheet2!L296)</f>
        <v>#N/A</v>
      </c>
    </row>
    <row r="40" spans="1:2" x14ac:dyDescent="0.25">
      <c r="A40" s="605" t="str">
        <f>CONCATENATE("[mm]BK2=",Sheet2!G296)</f>
        <v>[mm]BK2=0</v>
      </c>
    </row>
    <row r="41" spans="1:2" x14ac:dyDescent="0.25">
      <c r="A41" s="605" t="e">
        <f>CONCATENATE("[mm]BK3=",Sheet2!H296)</f>
        <v>#N/A</v>
      </c>
    </row>
    <row r="42" spans="1:2" x14ac:dyDescent="0.25">
      <c r="A42" s="605" t="str">
        <f>CONCATENATE("[mm]BK4=",Sheet2!F298)</f>
        <v>[mm]BK4=3</v>
      </c>
    </row>
    <row r="43" spans="1:2" x14ac:dyDescent="0.25">
      <c r="A43" s="605" t="str">
        <f>CONCATENATE("[mm]BK5=",Sheet2!G298)</f>
        <v>[mm]BK5=4</v>
      </c>
    </row>
    <row r="44" spans="1:2" x14ac:dyDescent="0.25">
      <c r="A44" s="605" t="e">
        <f>CONCATENATE("[mm]BK6=",Sheet2!H298)</f>
        <v>#N/A</v>
      </c>
    </row>
    <row r="45" spans="1:2" x14ac:dyDescent="0.25">
      <c r="A45" s="605" t="str">
        <f>CONCATENATE("[mm]BK7=",Sheet2!I296)</f>
        <v>[mm]BK7=0</v>
      </c>
    </row>
    <row r="46" spans="1:2" x14ac:dyDescent="0.25">
      <c r="A46" s="605" t="str">
        <f>CONCATENATE("[mm]BK8=",Sheet2!I298)</f>
        <v>[mm]BK8=20</v>
      </c>
    </row>
    <row r="47" spans="1:2" x14ac:dyDescent="0.25">
      <c r="A47" s="605" t="str">
        <f>CONCATENATE("[mm]BK9=",Sheet2!J296)</f>
        <v>[mm]BK9=5</v>
      </c>
    </row>
    <row r="48" spans="1:2" x14ac:dyDescent="0.25">
      <c r="A48" s="605" t="str">
        <f>CONCATENATE("[mm]BK11=",Sheet2!M296)</f>
        <v>[mm]BK11=20</v>
      </c>
      <c r="B48" s="1109"/>
    </row>
    <row r="49" spans="1:2" x14ac:dyDescent="0.25">
      <c r="A49" s="605" t="e">
        <f>CONCATENATE("[mm]BK12=",Sheet2!N296)</f>
        <v>#N/A</v>
      </c>
      <c r="B49" s="1109"/>
    </row>
    <row r="50" spans="1:2" x14ac:dyDescent="0.25">
      <c r="A50" s="605" t="str">
        <f>CONCATENATE("[mm]C1=",Sheet2!T79)</f>
        <v>[mm]C1=50.5</v>
      </c>
    </row>
    <row r="51" spans="1:2" x14ac:dyDescent="0.25">
      <c r="A51" s="605" t="str">
        <f>CONCATENATE("[mm]C2=",Sheet2!T80)</f>
        <v>[mm]C2=52</v>
      </c>
    </row>
    <row r="52" spans="1:2" x14ac:dyDescent="0.25">
      <c r="A52" s="605" t="str">
        <f>CONCATENATE(CONCATENATE("[mm]C3=",Sheet2!D11))</f>
        <v>[mm]C3=45</v>
      </c>
    </row>
    <row r="53" spans="1:2" x14ac:dyDescent="0.25">
      <c r="A53" s="605" t="str">
        <f>CONCATENATE(CONCATENATE("[mm]C4=",Sheet2!D12))</f>
        <v>[mm]C4=460</v>
      </c>
    </row>
    <row r="54" spans="1:2" x14ac:dyDescent="0.25">
      <c r="A54" s="605" t="str">
        <f>CONCATENATE(CONCATENATE("[mm]C5=",Sheet2!D13))</f>
        <v>[mm]C5=1315</v>
      </c>
    </row>
    <row r="55" spans="1:2" x14ac:dyDescent="0.25">
      <c r="A55" s="605" t="str">
        <f>CONCATENATE("[mm]C6=",Sheet2!D14)</f>
        <v>[mm]C6=35</v>
      </c>
    </row>
    <row r="56" spans="1:2" x14ac:dyDescent="0.25">
      <c r="A56" s="605" t="str">
        <f>CONCATENATE("[mm]C7=",Sheet2!D15)</f>
        <v>[mm]C7=48</v>
      </c>
    </row>
    <row r="57" spans="1:2" x14ac:dyDescent="0.25">
      <c r="A57" s="605" t="str">
        <f>CONCATENATE("[mm]C8=",Sheet2!E11)</f>
        <v>[mm]C8=45</v>
      </c>
    </row>
    <row r="58" spans="1:2" x14ac:dyDescent="0.25">
      <c r="A58" s="605" t="str">
        <f>CONCATENATE("[mm]Cd=",Sheet2!B12)</f>
        <v>[mm]Cd=10</v>
      </c>
    </row>
    <row r="59" spans="1:2" x14ac:dyDescent="0.25">
      <c r="A59" s="365" t="str">
        <f>CONCATENATE("[mm]CK1=",Sheet2!F164)</f>
        <v>[mm]CK1=379</v>
      </c>
    </row>
    <row r="60" spans="1:2" x14ac:dyDescent="0.25">
      <c r="A60" s="365" t="str">
        <f>CONCATENATE("[mm]CK2=",Sheet2!G164)</f>
        <v>[mm]CK2=6</v>
      </c>
    </row>
    <row r="61" spans="1:2" x14ac:dyDescent="0.25">
      <c r="A61" s="365" t="str">
        <f>CONCATENATE("[mm]CK3=",Sheet2!H164)</f>
        <v>[mm]CK3=60</v>
      </c>
    </row>
    <row r="62" spans="1:2" x14ac:dyDescent="0.25">
      <c r="A62" s="365" t="str">
        <f>CONCATENATE("[mm]CP1=",Sheet2!F176)</f>
        <v>[mm]CP1=380</v>
      </c>
    </row>
    <row r="63" spans="1:2" x14ac:dyDescent="0.25">
      <c r="A63" s="365" t="str">
        <f>CONCATENATE("[mm]CP2=",Sheet2!G176)</f>
        <v>[mm]CP2=222.5</v>
      </c>
    </row>
    <row r="64" spans="1:2" x14ac:dyDescent="0.25">
      <c r="A64" s="365" t="str">
        <f>CONCATENATE("[mm]CP3=",Sheet2!H176)</f>
        <v>[mm]CP3=2</v>
      </c>
    </row>
    <row r="65" spans="1:1" x14ac:dyDescent="0.25">
      <c r="A65" s="605" t="str">
        <f>CONCATENATE("[mm]CT1=",Sheet2!H31)</f>
        <v>[mm]CT1=78</v>
      </c>
    </row>
    <row r="66" spans="1:1" x14ac:dyDescent="0.25">
      <c r="A66" s="605" t="str">
        <f>CONCATENATE("[mm]CT2=",Sheet2!J31)</f>
        <v>[mm]CT2=270</v>
      </c>
    </row>
    <row r="67" spans="1:1" x14ac:dyDescent="0.25">
      <c r="A67" s="605" t="str">
        <f>CONCATENATE("[mm]CT3=",Sheet2!I31)</f>
        <v>[mm]CT3=123</v>
      </c>
    </row>
    <row r="68" spans="1:1" x14ac:dyDescent="0.25">
      <c r="A68" s="605" t="str">
        <f>CONCATENATE("[mm]CT4=",Sheet2!L31)</f>
        <v>[mm]CT4=4</v>
      </c>
    </row>
    <row r="69" spans="1:1" x14ac:dyDescent="0.25">
      <c r="A69" s="605" t="str">
        <f>CONCATENATE("[mm]CT5=",Sheet2!M31)</f>
        <v>[mm]CT5=43.4870670429727</v>
      </c>
    </row>
    <row r="70" spans="1:1" x14ac:dyDescent="0.25">
      <c r="A70" s="365" t="str">
        <f>CONCATENATE("[mm]CTC1=",Sheet2!F175)</f>
        <v>[mm]CTC1=485</v>
      </c>
    </row>
    <row r="71" spans="1:1" x14ac:dyDescent="0.25">
      <c r="A71" s="365" t="str">
        <f>CONCATENATE("[mm]CTC2=",Sheet2!G175)</f>
        <v>[mm]CTC2=50</v>
      </c>
    </row>
    <row r="72" spans="1:1" x14ac:dyDescent="0.25">
      <c r="A72" s="365" t="str">
        <f>CONCATENATE("[mm]CTC3=",Sheet2!H175)</f>
        <v>[mm]CTC3=2</v>
      </c>
    </row>
    <row r="73" spans="1:1" x14ac:dyDescent="0.25">
      <c r="A73" s="605" t="str">
        <f>CONCATENATE("[mm]CX1=",Sheet2!F174)</f>
        <v>[mm]CX1=82.5</v>
      </c>
    </row>
    <row r="74" spans="1:1" x14ac:dyDescent="0.25">
      <c r="A74" s="605" t="str">
        <f>CONCATENATE("[mm]CX2=",Sheet2!G174)</f>
        <v>[mm]CX2=50</v>
      </c>
    </row>
    <row r="75" spans="1:1" x14ac:dyDescent="0.25">
      <c r="A75" s="605" t="str">
        <f>CONCATENATE("[mm]CX3=",Sheet2!H174)</f>
        <v>[mm]CX3=10</v>
      </c>
    </row>
    <row r="76" spans="1:1" x14ac:dyDescent="0.25">
      <c r="A76" s="605" t="str">
        <f>CONCATENATE("[mm]Cy1=",Sheet2!B9)</f>
        <v>[mm]Cy1=380</v>
      </c>
    </row>
    <row r="77" spans="1:1" x14ac:dyDescent="0.25">
      <c r="A77" s="605" t="str">
        <f>CONCATENATE("[mm]Cy2=",Sheet2!B10)</f>
        <v>[mm]Cy2=380</v>
      </c>
    </row>
    <row r="78" spans="1:1" x14ac:dyDescent="0.25">
      <c r="A78" s="605" t="str">
        <f>CONCATENATE("[mm]Cy3=",Sheet2!U92)</f>
        <v>[mm]Cy3=380</v>
      </c>
    </row>
    <row r="79" spans="1:1" x14ac:dyDescent="0.25">
      <c r="A79" s="605" t="str">
        <f>CONCATENATE("[mm]Cy4=",Sheet2!U93)</f>
        <v>[mm]Cy4=380</v>
      </c>
    </row>
    <row r="80" spans="1:1" x14ac:dyDescent="0.25">
      <c r="A80" s="605" t="str">
        <f>CONCATENATE("[mm]Cy5=",Sheet2!B15)</f>
        <v>[mm]Cy5=380</v>
      </c>
    </row>
    <row r="81" spans="1:1" x14ac:dyDescent="0.25">
      <c r="A81" s="605" t="str">
        <f>CONCATENATE("[mm]Cy6=",Sheet2!B16)</f>
        <v>[mm]Cy6=380</v>
      </c>
    </row>
    <row r="82" spans="1:1" x14ac:dyDescent="0.25">
      <c r="A82" s="605" t="str">
        <f>CONCATENATE("[mm]Cy7=",Sheet2!D9)</f>
        <v>[mm]Cy7=380</v>
      </c>
    </row>
    <row r="83" spans="1:1" x14ac:dyDescent="0.25">
      <c r="A83" s="605" t="str">
        <f>CONCATENATE(CONCATENATE("[mm]Cy8=",Sheet2!D10))</f>
        <v>[mm]Cy8=380</v>
      </c>
    </row>
    <row r="84" spans="1:1" x14ac:dyDescent="0.25">
      <c r="A84" s="605" t="str">
        <f>CONCATENATE("[mm]Cz=",Sheet2!B11)</f>
        <v>[mm]Cz=600</v>
      </c>
    </row>
    <row r="85" spans="1:1" x14ac:dyDescent="0.25">
      <c r="A85" s="605" t="str">
        <f>CONCATENATE("[mm]DC1=",Sheet3!E252)</f>
        <v>[mm]DC1=65</v>
      </c>
    </row>
    <row r="86" spans="1:1" x14ac:dyDescent="0.25">
      <c r="A86" s="605" t="str">
        <f>CONCATENATE("[mm]DC10=",Sheet3!E261)</f>
        <v>[mm]DC10=0</v>
      </c>
    </row>
    <row r="87" spans="1:1" x14ac:dyDescent="0.25">
      <c r="A87" s="605" t="str">
        <f>CONCATENATE("[mm]DC11=",Sheet3!E262)</f>
        <v>[mm]DC11=0</v>
      </c>
    </row>
    <row r="88" spans="1:1" x14ac:dyDescent="0.25">
      <c r="A88" s="605" t="str">
        <f>CONCATENATE("[mm]DC12=",Sheet3!H252)</f>
        <v>[mm]DC12=0</v>
      </c>
    </row>
    <row r="89" spans="1:1" x14ac:dyDescent="0.25">
      <c r="A89" s="605" t="str">
        <f>CONCATENATE("[mm]DC13=",Sheet3!H253)</f>
        <v>[mm]DC13=0</v>
      </c>
    </row>
    <row r="90" spans="1:1" x14ac:dyDescent="0.25">
      <c r="A90" s="605" t="str">
        <f>CONCATENATE("[mm]DC2=",Sheet3!E253)</f>
        <v>[mm]DC2=12</v>
      </c>
    </row>
    <row r="91" spans="1:1" x14ac:dyDescent="0.25">
      <c r="A91" s="605" t="str">
        <f>CONCATENATE("[mm]DC3=",Sheet3!E254)</f>
        <v>[mm]DC3=6</v>
      </c>
    </row>
    <row r="92" spans="1:1" x14ac:dyDescent="0.25">
      <c r="A92" s="605" t="str">
        <f>CONCATENATE("[mm]DC4=",Sheet3!E255)</f>
        <v>[mm]DC4=0</v>
      </c>
    </row>
    <row r="93" spans="1:1" x14ac:dyDescent="0.25">
      <c r="A93" s="605" t="str">
        <f>CONCATENATE("[mm]DC5=",Sheet3!E256)</f>
        <v>[mm]DC5=0</v>
      </c>
    </row>
    <row r="94" spans="1:1" x14ac:dyDescent="0.25">
      <c r="A94" s="605" t="str">
        <f>CONCATENATE("[mm]DC6=",Sheet3!E257)</f>
        <v>[mm]DC6=0</v>
      </c>
    </row>
    <row r="95" spans="1:1" x14ac:dyDescent="0.25">
      <c r="A95" s="605" t="str">
        <f>CONCATENATE("[mm]DC7=",Sheet3!E258)</f>
        <v>[mm]DC7=6</v>
      </c>
    </row>
    <row r="96" spans="1:1" x14ac:dyDescent="0.25">
      <c r="A96" s="605" t="str">
        <f>CONCATENATE("[mm]DC8=",Sheet3!E259)</f>
        <v>[mm]DC8=5</v>
      </c>
    </row>
    <row r="97" spans="1:4" x14ac:dyDescent="0.25">
      <c r="A97" s="605" t="str">
        <f>CONCATENATE("[mm]DC9=",Sheet3!E260)</f>
        <v>[mm]DC9=0</v>
      </c>
    </row>
    <row r="98" spans="1:4" x14ac:dyDescent="0.25">
      <c r="A98" s="605" t="str">
        <f>CONCATENATE("[mm]Dd=",Sheet2!G16)</f>
        <v>[mm]Dd=6</v>
      </c>
    </row>
    <row r="99" spans="1:4" x14ac:dyDescent="0.25">
      <c r="A99" s="605" t="str">
        <f>CONCATENATE("[mm]DQ1=",Sheet2!C77)</f>
        <v>[mm]DQ1=54.4848</v>
      </c>
    </row>
    <row r="100" spans="1:4" x14ac:dyDescent="0.25">
      <c r="A100" s="605" t="str">
        <f>CONCATENATE("[mm]DQ10=",Sheet2!G301)</f>
        <v>[mm]DQ10=1.9</v>
      </c>
    </row>
    <row r="101" spans="1:4" x14ac:dyDescent="0.25">
      <c r="A101" s="605" t="str">
        <f>CONCATENATE("[mm]DQ11=",Sheet2!F302)</f>
        <v>[mm]DQ11=0</v>
      </c>
    </row>
    <row r="102" spans="1:4" x14ac:dyDescent="0.25">
      <c r="A102" s="605" t="str">
        <f>CONCATENATE("[mm]DQ12=",Sheet2!F303)</f>
        <v>[mm]DQ12=0</v>
      </c>
    </row>
    <row r="103" spans="1:4" x14ac:dyDescent="0.25">
      <c r="A103" s="605" t="str">
        <f>CONCATENATE("[mm]DQ16=",Sheet2!F304)</f>
        <v>[mm]DQ16=0</v>
      </c>
      <c r="B103" s="1"/>
    </row>
    <row r="104" spans="1:4" x14ac:dyDescent="0.25">
      <c r="A104" s="605" t="str">
        <f>CONCATENATE("[mm]DQ17=",Sheet5!E40)</f>
        <v>[mm]DQ17=0.06</v>
      </c>
      <c r="B104" s="1"/>
      <c r="C104" s="605"/>
      <c r="D104" s="605"/>
    </row>
    <row r="105" spans="1:4" x14ac:dyDescent="0.25">
      <c r="A105" s="605" t="str">
        <f>CONCATENATE("[mm]DQ18=",Sheet2!B35)</f>
        <v>[mm]DQ18=260.9696</v>
      </c>
      <c r="B105" s="1"/>
      <c r="C105" s="605"/>
      <c r="D105" s="605"/>
    </row>
    <row r="106" spans="1:4" x14ac:dyDescent="0.25">
      <c r="A106" s="605" t="str">
        <f>CONCATENATE("[mm]DQ2=",Sheet2!C78)</f>
        <v>[mm]DQ2=54.4848</v>
      </c>
    </row>
    <row r="107" spans="1:4" x14ac:dyDescent="0.25">
      <c r="A107" s="605" t="str">
        <f>CONCATENATE("[mm]DQ3=",Sheet2!C79)</f>
        <v>[mm]DQ3=54.4848</v>
      </c>
    </row>
    <row r="108" spans="1:4" x14ac:dyDescent="0.25">
      <c r="A108" s="605" t="str">
        <f>CONCATENATE("[mm]DQ4=",Sheet2!C80)</f>
        <v>[mm]DQ4=54.4848</v>
      </c>
    </row>
    <row r="109" spans="1:4" x14ac:dyDescent="0.25">
      <c r="A109" s="605" t="e">
        <f>CONCATENATE("[mm]DQ5=",Sheet2!C81)</f>
        <v>#N/A</v>
      </c>
    </row>
    <row r="110" spans="1:4" x14ac:dyDescent="0.25">
      <c r="A110" s="605" t="e">
        <f>CONCATENATE("[mm]DQ6=",Sheet2!C82)</f>
        <v>#N/A</v>
      </c>
    </row>
    <row r="111" spans="1:4" x14ac:dyDescent="0.25">
      <c r="A111" s="605" t="e">
        <f>CONCATENATE("[mm]DQ7=",Sheet2!C83)</f>
        <v>#N/A</v>
      </c>
    </row>
    <row r="112" spans="1:4" x14ac:dyDescent="0.25">
      <c r="A112" s="605" t="e">
        <f>CONCATENATE("[mm]DQ8=",Sheet2!C84)</f>
        <v>#N/A</v>
      </c>
    </row>
    <row r="113" spans="1:6" x14ac:dyDescent="0.25">
      <c r="A113" s="605" t="str">
        <f>CONCATENATE("[mm]DQ9=",Sheet2!F301)</f>
        <v>[mm]DQ9=1.9</v>
      </c>
    </row>
    <row r="114" spans="1:6" x14ac:dyDescent="0.25">
      <c r="A114" s="605" t="str">
        <f>CONCATENATE("[mm]Dx=",Sheet2!B20)</f>
        <v>[mm]Dx=1390</v>
      </c>
    </row>
    <row r="115" spans="1:6" x14ac:dyDescent="0.25">
      <c r="A115" s="605" t="str">
        <f>CONCATENATE("[mm]Dy=",Sheet2!B21)</f>
        <v>[mm]Dy=509</v>
      </c>
    </row>
    <row r="116" spans="1:6" x14ac:dyDescent="0.25">
      <c r="A116" s="605" t="str">
        <f>CONCATENATE("[mm]Dz=",Sheet2!B22)</f>
        <v>[mm]Dz=785</v>
      </c>
    </row>
    <row r="117" spans="1:6" x14ac:dyDescent="0.25">
      <c r="A117" s="605" t="str">
        <f>CONCATENATE("[mm]E1=",Sheet2!G25)</f>
        <v>[mm]E1=50</v>
      </c>
    </row>
    <row r="118" spans="1:6" x14ac:dyDescent="0.25">
      <c r="A118" s="605" t="str">
        <f>CONCATENATE("[mm]E10=",Sheet2!P25)</f>
        <v>[mm]E10=20</v>
      </c>
    </row>
    <row r="119" spans="1:6" x14ac:dyDescent="0.25">
      <c r="A119" s="605" t="str">
        <f>CONCATENATE("[mm]E2=",Sheet2!H25)</f>
        <v>[mm]E2=6</v>
      </c>
    </row>
    <row r="120" spans="1:6" x14ac:dyDescent="0.25">
      <c r="A120" s="605" t="str">
        <f>CONCATENATE("[mm]E3=",Sheet2!I25)</f>
        <v>[mm]E3=210</v>
      </c>
    </row>
    <row r="121" spans="1:6" x14ac:dyDescent="0.25">
      <c r="A121" s="605" t="str">
        <f>CONCATENATE("[mm]E4=",Sheet2!N25)</f>
        <v>[mm]E4=73</v>
      </c>
    </row>
    <row r="122" spans="1:6" x14ac:dyDescent="0.25">
      <c r="A122" s="605" t="str">
        <f>CONCATENATE("[mm]E5=",Sheet2!O25)</f>
        <v>[mm]E5=73</v>
      </c>
    </row>
    <row r="123" spans="1:6" x14ac:dyDescent="0.25">
      <c r="A123" s="605" t="str">
        <f>CONCATENATE("[mm]E6=",Sheet2!L25)</f>
        <v>[mm]E6=12</v>
      </c>
    </row>
    <row r="124" spans="1:6" x14ac:dyDescent="0.25">
      <c r="A124" s="605" t="str">
        <f>CONCATENATE("[mm]E7=",Sheet2!K25)</f>
        <v>[mm]E7=80</v>
      </c>
    </row>
    <row r="125" spans="1:6" x14ac:dyDescent="0.25">
      <c r="A125" s="605" t="str">
        <f>CONCATENATE("[mm]E8=",Sheet2!M25)</f>
        <v>[mm]E8=16</v>
      </c>
    </row>
    <row r="126" spans="1:6" x14ac:dyDescent="0.25">
      <c r="A126" s="605" t="str">
        <f>CONCATENATE("[mm]E9=",Sheet2!J25)</f>
        <v>[mm]E9=170</v>
      </c>
    </row>
    <row r="127" spans="1:6" x14ac:dyDescent="0.25">
      <c r="A127" s="605" t="str">
        <f>CONCATENATE("[mm]F1=",Sheet2!F41)</f>
        <v>[mm]F1=12</v>
      </c>
      <c r="F127" s="2"/>
    </row>
    <row r="128" spans="1:6" x14ac:dyDescent="0.25">
      <c r="A128" s="605" t="str">
        <f>CONCATENATE("[mm]F2=",Sheet2!G41)</f>
        <v>[mm]F2=45</v>
      </c>
    </row>
    <row r="129" spans="1:2" x14ac:dyDescent="0.25">
      <c r="A129" s="605" t="str">
        <f>CONCATENATE("[mm]F3=",Sheet2!H41)</f>
        <v>[mm]F3=260</v>
      </c>
    </row>
    <row r="130" spans="1:2" x14ac:dyDescent="0.25">
      <c r="A130" s="605" t="str">
        <f>CONCATENATE("[mm]F4=",Sheet2!I41)</f>
        <v>[mm]F4=204.5</v>
      </c>
    </row>
    <row r="131" spans="1:2" x14ac:dyDescent="0.25">
      <c r="A131" s="605" t="str">
        <f>CONCATENATE("[mm]G=",Sheet2!B5)</f>
        <v>[mm]G=20</v>
      </c>
    </row>
    <row r="132" spans="1:2" x14ac:dyDescent="0.25">
      <c r="A132" s="605" t="str">
        <f>CONCATENATE("[mm]H1=",Sheet2!G22)</f>
        <v>[mm]H1=60</v>
      </c>
    </row>
    <row r="133" spans="1:2" x14ac:dyDescent="0.25">
      <c r="A133" s="605" t="str">
        <f>CONCATENATE("[mm]H10=",'Lo vanh vs nap'!C3)</f>
        <v>[mm]H10=6</v>
      </c>
    </row>
    <row r="134" spans="1:2" x14ac:dyDescent="0.25">
      <c r="A134" s="605" t="str">
        <f>CONCATENATE("[mm]H11=",'Lo vanh vs nap'!C5)</f>
        <v>[mm]H11=81</v>
      </c>
      <c r="B134" s="545"/>
    </row>
    <row r="135" spans="1:2" x14ac:dyDescent="0.25">
      <c r="A135" s="605" t="str">
        <f>CONCATENATE("[mm]H12=",Sheet2!B137)</f>
        <v>[mm]H12=1054.50376647624</v>
      </c>
    </row>
    <row r="136" spans="1:2" x14ac:dyDescent="0.25">
      <c r="A136" s="605" t="str">
        <f>CONCATENATE("[mm]H13=",Sheet2!C137)</f>
        <v>[mm]H13=316.503766476243</v>
      </c>
    </row>
    <row r="137" spans="1:2" x14ac:dyDescent="0.25">
      <c r="A137" s="605" t="str">
        <f>CONCATENATE("[mm]H14=",Sheet2!D137)</f>
        <v>[mm]H14=136.358427161827</v>
      </c>
    </row>
    <row r="138" spans="1:2" x14ac:dyDescent="0.25">
      <c r="A138" s="605" t="str">
        <f>CONCATENATE("[mm]H15=",Sheet2!B139)</f>
        <v>[mm]H15=13</v>
      </c>
    </row>
    <row r="139" spans="1:2" x14ac:dyDescent="0.25">
      <c r="A139" s="605" t="str">
        <f>CONCATENATE("[mm]H16=",Sheet2!C139)</f>
        <v>[mm]H16=3</v>
      </c>
    </row>
    <row r="140" spans="1:2" x14ac:dyDescent="0.25">
      <c r="A140" s="605" t="str">
        <f>CONCATENATE("[mm]H17=",Sheet2!D139)</f>
        <v>[mm]H17=1</v>
      </c>
    </row>
    <row r="141" spans="1:2" x14ac:dyDescent="0.25">
      <c r="A141" s="605" t="str">
        <f>CONCATENATE("[mm]H18=",Sheet2!B140)</f>
        <v>[mm]H18=47.2518832381215</v>
      </c>
    </row>
    <row r="142" spans="1:2" x14ac:dyDescent="0.25">
      <c r="A142" s="605" t="str">
        <f>CONCATENATE("[mm]H19=",Sheet2!C140)</f>
        <v>[mm]H19=78.2518832381216</v>
      </c>
    </row>
    <row r="143" spans="1:2" x14ac:dyDescent="0.25">
      <c r="A143" s="605" t="str">
        <f>CONCATENATE("[mm]H2=",Sheet2!H22)</f>
        <v>[mm]H2=8</v>
      </c>
    </row>
    <row r="144" spans="1:2" x14ac:dyDescent="0.25">
      <c r="A144" s="605" t="str">
        <f>CONCATENATE("[mm]H20=",Sheet2!D140)</f>
        <v>[mm]H20=68.1792135809134</v>
      </c>
    </row>
    <row r="145" spans="1:1" x14ac:dyDescent="0.25">
      <c r="A145" s="605" t="str">
        <f>CONCATENATE("[mm]H21=",Sheet2!B141)</f>
        <v>[mm]H21=80</v>
      </c>
    </row>
    <row r="146" spans="1:1" x14ac:dyDescent="0.25">
      <c r="A146" s="605" t="str">
        <f>CONCATENATE("[mm]H22=",'Lo vanh vs nap'!D5)</f>
        <v>[mm]H22=80</v>
      </c>
    </row>
    <row r="147" spans="1:1" x14ac:dyDescent="0.25">
      <c r="A147" s="605" t="str">
        <f>CONCATENATE("[mm]H23=",Sheet2!L22)</f>
        <v>[mm]H23=4</v>
      </c>
    </row>
    <row r="148" spans="1:1" x14ac:dyDescent="0.25">
      <c r="A148" s="605" t="str">
        <f>CONCATENATE("[mm]H3=",Sheet2!I22)</f>
        <v>[mm]H3=35</v>
      </c>
    </row>
    <row r="149" spans="1:1" x14ac:dyDescent="0.25">
      <c r="A149" s="605" t="str">
        <f>CONCATENATE("[mm]H4=",Sheet2!J22)</f>
        <v>[mm]H4=12</v>
      </c>
    </row>
    <row r="150" spans="1:1" x14ac:dyDescent="0.25">
      <c r="A150" s="605" t="str">
        <f>CONCATENATE("[mm]H6=",Sheet2!K22)</f>
        <v>[mm]H6=15</v>
      </c>
    </row>
    <row r="151" spans="1:1" x14ac:dyDescent="0.25">
      <c r="A151" s="605" t="str">
        <f>CONCATENATE("[mm]H7=",'Lo vanh vs nap'!D4)</f>
        <v>[mm]H7=50</v>
      </c>
    </row>
    <row r="152" spans="1:1" x14ac:dyDescent="0.25">
      <c r="A152" s="605" t="str">
        <f>CONCATENATE("[mm]H8=",'Lo vanh vs nap'!C4)</f>
        <v>[mm]H8=85</v>
      </c>
    </row>
    <row r="153" spans="1:1" x14ac:dyDescent="0.25">
      <c r="A153" s="605" t="str">
        <f>CONCATENATE("[mm]H9=",'Lo vanh vs nap'!D3)</f>
        <v>[mm]H9=18</v>
      </c>
    </row>
    <row r="154" spans="1:1" x14ac:dyDescent="0.25">
      <c r="A154" s="605" t="str">
        <f>CONCATENATE("[mm]HT1=",Sheet2!H28)</f>
        <v>[mm]HT1=29</v>
      </c>
    </row>
    <row r="155" spans="1:1" x14ac:dyDescent="0.25">
      <c r="A155" s="605" t="str">
        <f>CONCATENATE("[mm]HT2=",Sheet2!K28)</f>
        <v>[mm]HT2=50</v>
      </c>
    </row>
    <row r="156" spans="1:1" x14ac:dyDescent="0.25">
      <c r="A156" s="605" t="str">
        <f>CONCATENATE("[mm]HT3=",Sheet2!I28)</f>
        <v>[mm]HT3=100</v>
      </c>
    </row>
    <row r="157" spans="1:1" x14ac:dyDescent="0.25">
      <c r="A157" s="605" t="str">
        <f>CONCATENATE("[mm]HW=",Sheet2!B86)</f>
        <v>[mm]HW=350</v>
      </c>
    </row>
    <row r="158" spans="1:1" x14ac:dyDescent="0.25">
      <c r="A158" s="605" t="str">
        <f>CONCATENATE("[mm]I1=",Sheet2!G44)</f>
        <v>[mm]I1=400</v>
      </c>
    </row>
    <row r="159" spans="1:1" x14ac:dyDescent="0.25">
      <c r="A159" s="605" t="str">
        <f>CONCATENATE("[mm]I10=",Sheet2!P44)</f>
        <v>[mm]I10=28</v>
      </c>
    </row>
    <row r="160" spans="1:1" x14ac:dyDescent="0.25">
      <c r="A160" s="605" t="str">
        <f>CONCATENATE("[mm]I2=",Sheet2!H44)</f>
        <v>[mm]I2=66</v>
      </c>
    </row>
    <row r="161" spans="1:1" x14ac:dyDescent="0.25">
      <c r="A161" s="605" t="str">
        <f>CONCATENATE("[mm]I3=",Sheet2!I44)</f>
        <v>[mm]I3=4</v>
      </c>
    </row>
    <row r="162" spans="1:1" x14ac:dyDescent="0.25">
      <c r="A162" s="605" t="str">
        <f>CONCATENATE("[mm]I4=",Sheet2!J44)</f>
        <v>[mm]I4=390</v>
      </c>
    </row>
    <row r="163" spans="1:1" x14ac:dyDescent="0.25">
      <c r="A163" s="605" t="str">
        <f>CONCATENATE("[mm]I5=",Sheet2!K44)</f>
        <v>[mm]I5=56</v>
      </c>
    </row>
    <row r="164" spans="1:1" x14ac:dyDescent="0.25">
      <c r="A164" s="605" t="str">
        <f>CONCATENATE("[mm]I6=",Sheet2!L44)</f>
        <v>[mm]I6=0</v>
      </c>
    </row>
    <row r="165" spans="1:1" x14ac:dyDescent="0.25">
      <c r="A165" s="605" t="str">
        <f>CONCATENATE("[mm]I7=",Sheet2!M44)</f>
        <v>[mm]I7=0</v>
      </c>
    </row>
    <row r="166" spans="1:1" x14ac:dyDescent="0.25">
      <c r="A166" s="605" t="str">
        <f>CONCATENATE("[mm]I8=",Sheet2!N44)</f>
        <v>[mm]I8=0</v>
      </c>
    </row>
    <row r="167" spans="1:1" x14ac:dyDescent="0.25">
      <c r="A167" s="605" t="str">
        <f>CONCATENATE("[mm]I9=",Sheet2!O44)</f>
        <v>[mm]I9=33</v>
      </c>
    </row>
    <row r="168" spans="1:1" x14ac:dyDescent="0.25">
      <c r="A168" s="605" t="str">
        <f>CONCATENATE("[mm]Id1=",Sheet2!B33)</f>
        <v>[mm]Id1=152</v>
      </c>
    </row>
    <row r="169" spans="1:1" x14ac:dyDescent="0.25">
      <c r="A169" s="605" t="str">
        <f>CONCATENATE("[mm]Id2=",Sheet2!B34)</f>
        <v>[mm]Id2=186</v>
      </c>
    </row>
    <row r="170" spans="1:1" x14ac:dyDescent="0.25">
      <c r="A170" s="605" t="str">
        <f>CONCATENATE("[mm]K1=",Sheet2!F48)</f>
        <v>[mm]K1=35</v>
      </c>
    </row>
    <row r="171" spans="1:1" x14ac:dyDescent="0.25">
      <c r="A171" s="605" t="str">
        <f>CONCATENATE("[mm]K2=",Sheet2!G48)</f>
        <v>[mm]K2=660</v>
      </c>
    </row>
    <row r="172" spans="1:1" x14ac:dyDescent="0.25">
      <c r="A172" s="605" t="str">
        <f>CONCATENATE("[mm]KTC1=",Sheet2!F75)</f>
        <v>[mm]KTC1=30</v>
      </c>
    </row>
    <row r="173" spans="1:1" x14ac:dyDescent="0.25">
      <c r="A173" s="605" t="str">
        <f>CONCATENATE("[mm]KTC2=",Sheet2!G75)</f>
        <v>[mm]KTC2=3</v>
      </c>
    </row>
    <row r="174" spans="1:1" x14ac:dyDescent="0.25">
      <c r="A174" s="605" t="str">
        <f>CONCATENATE("[mm]L1=",Sheet2!F54)</f>
        <v>[mm]L1=43</v>
      </c>
    </row>
    <row r="175" spans="1:1" x14ac:dyDescent="0.25">
      <c r="A175" s="605" t="str">
        <f>CONCATENATE("[mm]L2=",Sheet2!G54)</f>
        <v>[mm]L2=575</v>
      </c>
    </row>
    <row r="176" spans="1:1" x14ac:dyDescent="0.25">
      <c r="A176" s="605" t="str">
        <f>CONCATENATE("[mm]L3=",Sheet2!H54)</f>
        <v>[mm]L3=219.5</v>
      </c>
    </row>
    <row r="177" spans="1:1" x14ac:dyDescent="0.25">
      <c r="A177" s="605" t="str">
        <f>CONCATENATE("[mm]LV=",Sheet2!B87)</f>
        <v>[mm]LV=39</v>
      </c>
    </row>
    <row r="178" spans="1:1" x14ac:dyDescent="0.25">
      <c r="A178" s="605" t="str">
        <f>CONCATENATE("[mm]LV1=",Sheet2!B88)</f>
        <v>[mm]LV1=43.5</v>
      </c>
    </row>
    <row r="179" spans="1:1" x14ac:dyDescent="0.25">
      <c r="A179" s="605" t="str">
        <f>CONCATENATE("[mm]LV2=",Sheet2!B91)</f>
        <v>[mm]LV2=0.06</v>
      </c>
    </row>
    <row r="180" spans="1:1" x14ac:dyDescent="0.25">
      <c r="A180" s="605" t="str">
        <f>CONCATENATE("[mm]LV3=",Sheet2!B92)</f>
        <v>[mm]LV3=0</v>
      </c>
    </row>
    <row r="181" spans="1:1" x14ac:dyDescent="0.25">
      <c r="A181" s="605" t="str">
        <f>CONCATENATE("[mm]M1=",Sheet2!J37)</f>
        <v>[mm]M1=120</v>
      </c>
    </row>
    <row r="182" spans="1:1" x14ac:dyDescent="0.25">
      <c r="A182" s="605" t="str">
        <f>CONCATENATE("[mm]M10=",Sheet2!I39)</f>
        <v>[mm]M10=0</v>
      </c>
    </row>
    <row r="183" spans="1:1" x14ac:dyDescent="0.25">
      <c r="A183" s="605" t="str">
        <f>CONCATENATE("[mm]M11=",Sheet2!J39)</f>
        <v>[mm]M11=0</v>
      </c>
    </row>
    <row r="184" spans="1:1" x14ac:dyDescent="0.25">
      <c r="A184" s="605" t="str">
        <f>CONCATENATE("[mm]M12=",Sheet2!K39)</f>
        <v>[mm]M12=0</v>
      </c>
    </row>
    <row r="185" spans="1:1" x14ac:dyDescent="0.25">
      <c r="A185" s="605" t="str">
        <f>CONCATENATE("[mm]M13=",Sheet2!L39)</f>
        <v>[mm]M13=0</v>
      </c>
    </row>
    <row r="186" spans="1:1" x14ac:dyDescent="0.25">
      <c r="A186" s="605" t="str">
        <f>CONCATENATE("[mm]M2=",Sheet2!L37)</f>
        <v>[mm]M2=20</v>
      </c>
    </row>
    <row r="187" spans="1:1" x14ac:dyDescent="0.25">
      <c r="A187" s="605" t="str">
        <f>CONCATENATE("[mm]M3=",Sheet2!K37)</f>
        <v>[mm]M3=100</v>
      </c>
    </row>
    <row r="188" spans="1:1" x14ac:dyDescent="0.25">
      <c r="A188" s="605" t="str">
        <f>CONCATENATE("[mm]M4=",Sheet2!I37)</f>
        <v>[mm]M4=50</v>
      </c>
    </row>
    <row r="189" spans="1:1" x14ac:dyDescent="0.25">
      <c r="A189" s="605" t="str">
        <f>CONCATENATE("[mm]M5=",Sheet2!M37)</f>
        <v>[mm]M5=565</v>
      </c>
    </row>
    <row r="190" spans="1:1" x14ac:dyDescent="0.25">
      <c r="A190" s="605" t="str">
        <f>CONCATENATE("[mm]M6=",Sheet2!I38)</f>
        <v>[mm]M6=0</v>
      </c>
    </row>
    <row r="191" spans="1:1" x14ac:dyDescent="0.25">
      <c r="A191" s="605" t="str">
        <f>CONCATENATE("[mm]M7=",Sheet2!J38)</f>
        <v>[mm]M7=0</v>
      </c>
    </row>
    <row r="192" spans="1:1" x14ac:dyDescent="0.25">
      <c r="A192" s="605" t="str">
        <f>CONCATENATE("[mm]M8=",Sheet2!K38)</f>
        <v>[mm]M8=0</v>
      </c>
    </row>
    <row r="193" spans="1:1" x14ac:dyDescent="0.25">
      <c r="A193" s="605" t="str">
        <f>CONCATENATE("[mm]M9=",Sheet2!L38)</f>
        <v>[mm]M9=0</v>
      </c>
    </row>
    <row r="194" spans="1:1" x14ac:dyDescent="0.25">
      <c r="A194" s="605" t="str">
        <f>CONCATENATE("[mm]mh1=",Sheet2!G13)</f>
        <v>[mm]mh1=10</v>
      </c>
    </row>
    <row r="195" spans="1:1" x14ac:dyDescent="0.25">
      <c r="A195" s="605" t="s">
        <v>222</v>
      </c>
    </row>
    <row r="196" spans="1:1" x14ac:dyDescent="0.25">
      <c r="A196" s="605" t="str">
        <f>CONCATENATE("[mm]Mo=",Sheet2!B37)</f>
        <v>[mm]Mo=443</v>
      </c>
    </row>
    <row r="197" spans="1:1" x14ac:dyDescent="0.25">
      <c r="A197" s="605" t="str">
        <f>CONCATENATE("[mm]MTC1=",Sheet2!F72)</f>
        <v>[mm]MTC1=50</v>
      </c>
    </row>
    <row r="198" spans="1:1" x14ac:dyDescent="0.25">
      <c r="A198" s="605" t="str">
        <f>CONCATENATE("[mm]MTC2=",Sheet2!G72)</f>
        <v>[mm]MTC2=3</v>
      </c>
    </row>
    <row r="199" spans="1:1" x14ac:dyDescent="0.25">
      <c r="A199" s="605" t="str">
        <f>CONCATENATE("[mm]MTD1=",Sheet2!Q235)</f>
        <v>[mm]MTD1=0</v>
      </c>
    </row>
    <row r="200" spans="1:1" x14ac:dyDescent="0.25">
      <c r="A200" s="605" t="str">
        <f>CONCATENATE("[mm]MTD2=",Sheet2!R235)</f>
        <v>[mm]MTD2=0</v>
      </c>
    </row>
    <row r="201" spans="1:1" x14ac:dyDescent="0.25">
      <c r="A201" s="605" t="str">
        <f>CONCATENATE("[mm]MTD3=",Sheet2!Q236)</f>
        <v>[mm]MTD3=0</v>
      </c>
    </row>
    <row r="202" spans="1:1" x14ac:dyDescent="0.25">
      <c r="A202" s="605" t="str">
        <f>CONCATENATE("[mm]MTD4=",Sheet2!R236)</f>
        <v>[mm]MTD4=0</v>
      </c>
    </row>
    <row r="203" spans="1:1" x14ac:dyDescent="0.25">
      <c r="A203" s="605" t="str">
        <f>CONCATENATE("[mm]MTD5=",Sheet2!S235)</f>
        <v>[mm]MTD5=0</v>
      </c>
    </row>
    <row r="204" spans="1:1" x14ac:dyDescent="0.25">
      <c r="A204" s="605" t="str">
        <f>CONCATENATE("[mm]MTD6=",Sheet2!S236)</f>
        <v>[mm]MTD6=0</v>
      </c>
    </row>
    <row r="205" spans="1:1" x14ac:dyDescent="0.25">
      <c r="A205" s="605" t="str">
        <f>CONCATENATE("[mm]Nd=",Sheet2!F19)</f>
        <v>[mm]Nd=8</v>
      </c>
    </row>
    <row r="206" spans="1:1" x14ac:dyDescent="0.25">
      <c r="A206" s="605" t="str">
        <f>CONCATENATE("[mm]Nm1=",Sheet2!H19)</f>
        <v>[mm]Nm1=25</v>
      </c>
    </row>
    <row r="207" spans="1:1" x14ac:dyDescent="0.25">
      <c r="A207" s="605" t="str">
        <f>CONCATENATE("[mm]O1=",Sheet2!F57)</f>
        <v>[mm]O1=20.5</v>
      </c>
    </row>
    <row r="208" spans="1:1" x14ac:dyDescent="0.25">
      <c r="A208" s="605" t="str">
        <f>CONCATENATE("[mm]O2=",Sheet2!G57)</f>
        <v>[mm]O2=-90</v>
      </c>
    </row>
    <row r="209" spans="1:1" x14ac:dyDescent="0.25">
      <c r="A209" s="605" t="str">
        <f>CONCATENATE("[mm]O3=",Sheet2!H57)</f>
        <v>[mm]O3=-20</v>
      </c>
    </row>
    <row r="210" spans="1:1" x14ac:dyDescent="0.25">
      <c r="A210" s="605" t="str">
        <f>CONCATENATE("[mm]O4=",Sheet2!J57)</f>
        <v>[mm]O4=0</v>
      </c>
    </row>
    <row r="211" spans="1:1" x14ac:dyDescent="0.25">
      <c r="A211" s="605" t="str">
        <f>CONCATENATE("[mm]O5=",Sheet2!K57)</f>
        <v>[mm]O5=0</v>
      </c>
    </row>
    <row r="212" spans="1:1" x14ac:dyDescent="0.25">
      <c r="A212" s="605" t="str">
        <f>CONCATENATE("[mm]pvm1=",Sheet2!F77)</f>
        <v>[mm]pvm1=40</v>
      </c>
    </row>
    <row r="213" spans="1:1" x14ac:dyDescent="0.25">
      <c r="A213" s="605" t="str">
        <f>CONCATENATE("[mm]pvm2=",Sheet2!G77)</f>
        <v>[mm]pvm2=58</v>
      </c>
    </row>
    <row r="214" spans="1:1" x14ac:dyDescent="0.25">
      <c r="A214" s="605" t="str">
        <f>CONCATENATE("[mm]R1=",Sheet2!F51)</f>
        <v>[mm]R1=55</v>
      </c>
    </row>
    <row r="215" spans="1:1" x14ac:dyDescent="0.25">
      <c r="A215" s="605" t="str">
        <f>CONCATENATE("[mm]R2=",Sheet2!G51)</f>
        <v>[mm]R2=90</v>
      </c>
    </row>
    <row r="216" spans="1:1" x14ac:dyDescent="0.25">
      <c r="A216" s="605" t="str">
        <f>CONCATENATE("[mm]R3=",Sheet2!L51)</f>
        <v>[mm]R3=10</v>
      </c>
    </row>
    <row r="217" spans="1:1" x14ac:dyDescent="0.25">
      <c r="A217" s="605" t="str">
        <f>CONCATENATE("[mm]S1=",Sheet2!H63)</f>
        <v>[mm]S1=32</v>
      </c>
    </row>
    <row r="218" spans="1:1" x14ac:dyDescent="0.25">
      <c r="A218" s="605" t="str">
        <f>CONCATENATE("[mm]S2=",Sheet2!G63)</f>
        <v>[mm]S2=30</v>
      </c>
    </row>
    <row r="219" spans="1:1" x14ac:dyDescent="0.25">
      <c r="A219" s="605" t="str">
        <f>CONCATENATE("[mm]SK1=",Sheet2!H66)</f>
        <v>[mm]SK1=4</v>
      </c>
    </row>
    <row r="220" spans="1:1" x14ac:dyDescent="0.25">
      <c r="A220" s="605" t="str">
        <f>CONCATENATE("[mm]SK10=",Sheet2!K169)</f>
        <v>[mm]SK10=45</v>
      </c>
    </row>
    <row r="221" spans="1:1" x14ac:dyDescent="0.25">
      <c r="A221" s="605" t="str">
        <f>CONCATENATE("[mm]SK11=",Sheet2!F171)</f>
        <v>[mm]SK11=40</v>
      </c>
    </row>
    <row r="222" spans="1:1" x14ac:dyDescent="0.25">
      <c r="A222" s="605" t="str">
        <f>CONCATENATE("[mm]SK12=",Sheet2!J170)</f>
        <v>[mm]SK12=50</v>
      </c>
    </row>
    <row r="223" spans="1:1" x14ac:dyDescent="0.25">
      <c r="A223" s="605" t="str">
        <f>CONCATENATE("[mm]SK13=",Sheet2!L168)</f>
        <v>[mm]SK13=14</v>
      </c>
    </row>
    <row r="224" spans="1:1" x14ac:dyDescent="0.25">
      <c r="A224" s="605" t="str">
        <f>CONCATENATE("[mm]SK14=",Sheet2!M168)</f>
        <v>[mm]SK14=50</v>
      </c>
    </row>
    <row r="225" spans="1:1" x14ac:dyDescent="0.25">
      <c r="A225" s="605" t="str">
        <f>CONCATENATE("[mm]SK15=",Sheet2!M169)</f>
        <v>[mm]SK15=650</v>
      </c>
    </row>
    <row r="226" spans="1:1" x14ac:dyDescent="0.25">
      <c r="A226" s="605" t="str">
        <f>CONCATENATE("[mm]SK16=",Sheet2!N168)</f>
        <v>[mm]SK16=5</v>
      </c>
    </row>
    <row r="227" spans="1:1" x14ac:dyDescent="0.25">
      <c r="A227" s="605" t="str">
        <f>CONCATENATE("[mm]SK18=",Sheet2!P168)</f>
        <v>[mm]SK18=10</v>
      </c>
    </row>
    <row r="228" spans="1:1" x14ac:dyDescent="0.25">
      <c r="A228" s="605" t="str">
        <f>CONCATENATE("[mm]SK19=",Sheet2!Q168)</f>
        <v>[mm]SK19=40</v>
      </c>
    </row>
    <row r="229" spans="1:1" x14ac:dyDescent="0.25">
      <c r="A229" s="605" t="str">
        <f>CONCATENATE("[mm]SK2=",Sheet2!G66)</f>
        <v>[mm]SK2=6</v>
      </c>
    </row>
    <row r="230" spans="1:1" x14ac:dyDescent="0.25">
      <c r="A230" s="605" t="str">
        <f>CONCATENATE("[mm]SK3=",Sheet2!F66)</f>
        <v>[mm]SK3=46</v>
      </c>
    </row>
    <row r="231" spans="1:1" x14ac:dyDescent="0.25">
      <c r="A231" s="605" t="str">
        <f>CONCATENATE("[mm]SK4=",Sheet2!I66)</f>
        <v>[mm]SK4=45</v>
      </c>
    </row>
    <row r="232" spans="1:1" x14ac:dyDescent="0.25">
      <c r="A232" s="605" t="str">
        <f>CONCATENATE("[mm]SK5=",Sheet2!J66)</f>
        <v>[mm]SK5=75</v>
      </c>
    </row>
    <row r="233" spans="1:1" x14ac:dyDescent="0.25">
      <c r="A233" s="605" t="str">
        <f>CONCATENATE("[mm]SK6=",Sheet2!K66)</f>
        <v>[mm]SK6=30</v>
      </c>
    </row>
    <row r="234" spans="1:1" x14ac:dyDescent="0.25">
      <c r="A234" s="605" t="str">
        <f>CONCATENATE(CONCATENATE("[mm]SK7=",Sheet2!L66))</f>
        <v>[mm]SK7=35</v>
      </c>
    </row>
    <row r="235" spans="1:1" x14ac:dyDescent="0.25">
      <c r="A235" s="605" t="str">
        <f>CONCATENATE("[mm]SK8=",Sheet2!M66)</f>
        <v>[mm]SK8=307</v>
      </c>
    </row>
    <row r="236" spans="1:1" x14ac:dyDescent="0.25">
      <c r="A236" s="605" t="str">
        <f>CONCATENATE("[mm]SK9=",Sheet2!K168)</f>
        <v>[mm]SK9=22.5</v>
      </c>
    </row>
    <row r="237" spans="1:1" x14ac:dyDescent="0.25">
      <c r="A237" s="605" t="str">
        <f>CONCATENATE(CONCATENATE("[mm]St1=",Sheet2!AB73))</f>
        <v>[mm]St1=120</v>
      </c>
    </row>
    <row r="238" spans="1:1" x14ac:dyDescent="0.25">
      <c r="A238" s="605" t="str">
        <f>CONCATENATE(CONCATENATE("[mm]St10=",Sheet2!AB82))</f>
        <v>[mm]St10=0</v>
      </c>
    </row>
    <row r="239" spans="1:1" x14ac:dyDescent="0.25">
      <c r="A239" s="605" t="str">
        <f>CONCATENATE(CONCATENATE("[mm]St2=",Sheet2!AB74))</f>
        <v>[mm]St2=110</v>
      </c>
    </row>
    <row r="240" spans="1:1" x14ac:dyDescent="0.25">
      <c r="A240" s="605" t="str">
        <f>CONCATENATE(CONCATENATE("[mm]St3=",Sheet2!AB75))</f>
        <v>[mm]St3=100</v>
      </c>
    </row>
    <row r="241" spans="1:16" x14ac:dyDescent="0.25">
      <c r="A241" s="605" t="str">
        <f>CONCATENATE(CONCATENATE("[mm]St4=",Sheet2!AB76))</f>
        <v>[mm]St4=90</v>
      </c>
    </row>
    <row r="242" spans="1:16" x14ac:dyDescent="0.25">
      <c r="A242" s="605" t="str">
        <f>CONCATENATE(CONCATENATE("[mm]St5=",Sheet2!AB77))</f>
        <v>[mm]St5=60</v>
      </c>
    </row>
    <row r="243" spans="1:16" x14ac:dyDescent="0.25">
      <c r="A243" s="605" t="str">
        <f>CONCATENATE(CONCATENATE("[mm]St6=",Sheet2!AB78))</f>
        <v>[mm]St6=0</v>
      </c>
    </row>
    <row r="244" spans="1:16" x14ac:dyDescent="0.25">
      <c r="A244" s="605" t="str">
        <f>CONCATENATE(CONCATENATE("[mm]St7=",Sheet2!AB79))</f>
        <v>[mm]St7=0</v>
      </c>
    </row>
    <row r="245" spans="1:16" x14ac:dyDescent="0.25">
      <c r="A245" s="605" t="str">
        <f>CONCATENATE(CONCATENATE("[mm]St8=",Sheet2!AB80))</f>
        <v>[mm]St8=0</v>
      </c>
    </row>
    <row r="246" spans="1:16" x14ac:dyDescent="0.25">
      <c r="A246" s="605" t="str">
        <f>CONCATENATE(CONCATENATE("[mm]St9=",Sheet2!AB81))</f>
        <v>[mm]St9=0</v>
      </c>
    </row>
    <row r="247" spans="1:16" x14ac:dyDescent="0.25">
      <c r="A247" s="605" t="str">
        <f>CONCATENATE("[mm]T1=",Sheet2!H51)</f>
        <v>[mm]T1=12</v>
      </c>
    </row>
    <row r="248" spans="1:16" x14ac:dyDescent="0.25">
      <c r="A248" s="605" t="str">
        <f>CONCATENATE("[mm]T2=",Sheet2!I51)</f>
        <v>[mm]T2=45</v>
      </c>
    </row>
    <row r="249" spans="1:16" x14ac:dyDescent="0.25">
      <c r="A249" s="605" t="str">
        <f>CONCATENATE("[mm]T3=",Sheet2!J51)</f>
        <v>[mm]T3=60</v>
      </c>
    </row>
    <row r="250" spans="1:16" x14ac:dyDescent="0.25">
      <c r="A250" s="605" t="str">
        <f>CONCATENATE("[mm]T4=",Sheet2!K51)</f>
        <v>[mm]T4=30</v>
      </c>
    </row>
    <row r="251" spans="1:16" x14ac:dyDescent="0.25">
      <c r="A251" s="605" t="str">
        <f>CONCATENATE("[mm]TBK2=",Sheet2!M95)</f>
        <v>[mm]TBK2=50</v>
      </c>
    </row>
    <row r="252" spans="1:16" x14ac:dyDescent="0.25">
      <c r="A252" s="605" t="str">
        <f>CONCATENATE("[mm]TBK3=",Sheet2!M96)</f>
        <v>[mm]TBK3=0</v>
      </c>
    </row>
    <row r="253" spans="1:16" x14ac:dyDescent="0.25">
      <c r="A253" s="605" t="str">
        <f>CONCATENATE("[mm]TBK4=",Sheet2!M97)</f>
        <v>[mm]TBK4=0</v>
      </c>
    </row>
    <row r="254" spans="1:16" x14ac:dyDescent="0.25">
      <c r="A254" s="605" t="str">
        <f>CONCATENATE("[mm]TBK5=",Sheet2!M98)</f>
        <v>[mm]TBK5=0</v>
      </c>
    </row>
    <row r="255" spans="1:16" x14ac:dyDescent="0.25">
      <c r="A255" s="605" t="str">
        <f>CONCATENATE("[mm]TBK6=",Sheet2!M99)</f>
        <v>[mm]TBK6=0</v>
      </c>
    </row>
    <row r="256" spans="1:16" x14ac:dyDescent="0.25">
      <c r="A256" s="605" t="str">
        <f>CONCATENATE("[mm]TBK7=",Sheet2!M100)</f>
        <v>[mm]TBK7=0</v>
      </c>
      <c r="J256" s="2"/>
      <c r="K256" s="2"/>
      <c r="L256" s="2"/>
      <c r="M256" s="2"/>
      <c r="N256" s="2"/>
      <c r="O256" s="2"/>
      <c r="P256" s="2"/>
    </row>
    <row r="257" spans="1:1" x14ac:dyDescent="0.25">
      <c r="A257" s="605" t="str">
        <f>CONCATENATE("[mm]TBK8=",Sheet2!M101)</f>
        <v>[mm]TBK8=0</v>
      </c>
    </row>
    <row r="258" spans="1:1" x14ac:dyDescent="0.25">
      <c r="A258" s="605" t="str">
        <f>CONCATENATE("[mm]tctt1=",Sheet2!F79)</f>
        <v>[mm]tctt1=0</v>
      </c>
    </row>
    <row r="259" spans="1:1" x14ac:dyDescent="0.25">
      <c r="A259" s="605" t="str">
        <f>CONCATENATE("[mm]tctt2=",Sheet2!G79)</f>
        <v>[mm]tctt2=0</v>
      </c>
    </row>
    <row r="260" spans="1:1" x14ac:dyDescent="0.25">
      <c r="A260" s="605" t="str">
        <f>CONCATENATE("[mm]TD1=",Sheet2!B31)</f>
        <v>[mm]TD1=30</v>
      </c>
    </row>
    <row r="261" spans="1:1" x14ac:dyDescent="0.25">
      <c r="A261" s="605" t="str">
        <f>CONCATENATE("[mm]TD10=",Sheet2!I149)</f>
        <v>[mm]TD10=10</v>
      </c>
    </row>
    <row r="262" spans="1:1" x14ac:dyDescent="0.25">
      <c r="A262" s="605" t="str">
        <f>CONCATENATE("[mm]TD11=",Sheet2!J149)</f>
        <v>[mm]TD11=0</v>
      </c>
    </row>
    <row r="263" spans="1:1" x14ac:dyDescent="0.25">
      <c r="A263" s="605" t="str">
        <f>CONCATENATE("[mm]TD12=",Sheet2!K149)</f>
        <v>[mm]TD12=30</v>
      </c>
    </row>
    <row r="264" spans="1:1" x14ac:dyDescent="0.25">
      <c r="A264" s="605" t="str">
        <f>CONCATENATE("[mm]TD13=",Sheet2!L149)</f>
        <v>[mm]TD13=2</v>
      </c>
    </row>
    <row r="265" spans="1:1" x14ac:dyDescent="0.25">
      <c r="A265" s="605" t="str">
        <f>CONCATENATE("[mm]TD14=",Sheet2!H150)</f>
        <v>[mm]TD14=90</v>
      </c>
    </row>
    <row r="266" spans="1:1" x14ac:dyDescent="0.25">
      <c r="A266" s="605" t="str">
        <f>CONCATENATE("[mm]TD15=",Sheet2!K150)</f>
        <v>[mm]TD15=45</v>
      </c>
    </row>
    <row r="267" spans="1:1" x14ac:dyDescent="0.25">
      <c r="A267" s="605" t="str">
        <f>CONCATENATE("[mm]TD16=",Sheet2!M149)</f>
        <v>[mm]TD16=35</v>
      </c>
    </row>
    <row r="268" spans="1:1" x14ac:dyDescent="0.25">
      <c r="A268" s="605" t="str">
        <f>CONCATENATE("[mm]TD17=",Sheet2!N148)</f>
        <v>[mm]TD17=35</v>
      </c>
    </row>
    <row r="269" spans="1:1" x14ac:dyDescent="0.25">
      <c r="A269" s="605" t="str">
        <f>CONCATENATE("[mm]TD18=",Sheet2!J150)</f>
        <v>[mm]TD18=0</v>
      </c>
    </row>
    <row r="270" spans="1:1" x14ac:dyDescent="0.25">
      <c r="A270" s="605" t="str">
        <f>CONCATENATE("[mm]TD19=",Sheet2!J150)</f>
        <v>[mm]TD19=0</v>
      </c>
    </row>
    <row r="271" spans="1:1" x14ac:dyDescent="0.25">
      <c r="A271" s="605" t="str">
        <f>CONCATENATE("[mm]TD2=",Sheet2!B32)</f>
        <v>[mm]TD2=3</v>
      </c>
    </row>
    <row r="272" spans="1:1" x14ac:dyDescent="0.25">
      <c r="A272" s="605" t="str">
        <f>CONCATENATE("[mm]TD20=",Sheet2!F316)</f>
        <v>[mm]TD20=321</v>
      </c>
    </row>
    <row r="273" spans="1:1" x14ac:dyDescent="0.25">
      <c r="A273" s="605" t="str">
        <f>CONCATENATE("[mm]TD21=",Sheet2!O148)</f>
        <v>[mm]TD21=40</v>
      </c>
    </row>
    <row r="274" spans="1:1" x14ac:dyDescent="0.25">
      <c r="A274" s="605" t="str">
        <f>CONCATENATE("[mm]TD22=",Sheet2!G316)</f>
        <v>[mm]TD22=80</v>
      </c>
    </row>
    <row r="275" spans="1:1" x14ac:dyDescent="0.25">
      <c r="A275" s="605" t="str">
        <f>CONCATENATE("[mm]TD23=",Sheet2!G143)</f>
        <v>[mm]TD23=2</v>
      </c>
    </row>
    <row r="276" spans="1:1" x14ac:dyDescent="0.25">
      <c r="A276" s="605" t="str">
        <f>CONCATENATE("[mm]TD24=",Sheet2!H143)</f>
        <v>[mm]TD24=0</v>
      </c>
    </row>
    <row r="277" spans="1:1" x14ac:dyDescent="0.25">
      <c r="A277" s="605" t="str">
        <f>CONCATENATE("[mm]TD25=",Sheet2!P148)</f>
        <v>[mm]TD25=30</v>
      </c>
    </row>
    <row r="278" spans="1:1" x14ac:dyDescent="0.25">
      <c r="A278" s="605" t="str">
        <f>CONCATENATE("[mm]TD3=",Sheet2!G148)</f>
        <v>[mm]TD3=15</v>
      </c>
    </row>
    <row r="279" spans="1:1" x14ac:dyDescent="0.25">
      <c r="A279" s="605" t="str">
        <f>CONCATENATE("[mm]TD4=",Sheet2!H148)</f>
        <v>[mm]TD4=15</v>
      </c>
    </row>
    <row r="280" spans="1:1" x14ac:dyDescent="0.25">
      <c r="A280" s="605" t="str">
        <f>CONCATENATE("[mm]TD5=",Sheet2!I148)</f>
        <v>[mm]TD5=10</v>
      </c>
    </row>
    <row r="281" spans="1:1" x14ac:dyDescent="0.25">
      <c r="A281" s="605" t="str">
        <f>CONCATENATE("[mm]TD6=",Sheet2!J148)</f>
        <v>[mm]TD6=0</v>
      </c>
    </row>
    <row r="282" spans="1:1" x14ac:dyDescent="0.25">
      <c r="A282" s="605" t="str">
        <f>CONCATENATE("[mm]TD7=",Sheet2!K148)</f>
        <v>[mm]TD7=0</v>
      </c>
    </row>
    <row r="283" spans="1:1" x14ac:dyDescent="0.25">
      <c r="A283" s="605" t="str">
        <f>CONCATENATE("[mm]TD8=",Sheet2!L148)</f>
        <v>[mm]TD8=0</v>
      </c>
    </row>
    <row r="284" spans="1:1" x14ac:dyDescent="0.25">
      <c r="A284" s="605" t="str">
        <f>CONCATENATE("[mm]TD9=",Sheet2!G149)</f>
        <v>[mm]TD9=20</v>
      </c>
    </row>
    <row r="285" spans="1:1" x14ac:dyDescent="0.25">
      <c r="A285" s="605" t="str">
        <f>CONCATENATE("[mm]TDCD1=",Sheet2!AA43)</f>
        <v>[mm]TDCD1=1235</v>
      </c>
    </row>
    <row r="286" spans="1:1" x14ac:dyDescent="0.25">
      <c r="A286" s="605" t="str">
        <f>CONCATENATE("[mm]TDCD3=",Sheet2!AC44)</f>
        <v>[mm]TDCD3=54.9999999999999</v>
      </c>
    </row>
    <row r="287" spans="1:1" x14ac:dyDescent="0.25">
      <c r="A287" s="605" t="str">
        <f>CONCATENATE("[mm]TDCN1=",Sheet2!AA49)</f>
        <v>[mm]TDCN1=521</v>
      </c>
    </row>
    <row r="288" spans="1:1" x14ac:dyDescent="0.25">
      <c r="A288" s="605" t="str">
        <f>CONCATENATE("[mm]TDCN3=",Sheet2!AC50)</f>
        <v>[mm]TDCN3=73</v>
      </c>
    </row>
    <row r="289" spans="1:1" x14ac:dyDescent="0.25">
      <c r="A289" s="605" t="str">
        <f>CONCATENATE("[mm]thanhchan=",Sheet2!J28)</f>
        <v>[mm]thanhchan=28</v>
      </c>
    </row>
    <row r="290" spans="1:1" x14ac:dyDescent="0.25">
      <c r="A290" s="605" t="str">
        <f>CONCATENATE("[mm]thanhchan2=",Sheet2!H16)</f>
        <v>[mm]thanhchan2=0</v>
      </c>
    </row>
    <row r="291" spans="1:1" x14ac:dyDescent="0.25">
      <c r="A291" s="605" t="str">
        <f>CONCATENATE(Sheet6!I26,Sheet6!J26)</f>
        <v>[mm]TRUC1=405</v>
      </c>
    </row>
    <row r="292" spans="1:1" x14ac:dyDescent="0.25">
      <c r="A292" s="605" t="str">
        <f>CONCATENATE(Sheet6!I35,Sheet6!J35)</f>
        <v>[mm]TRUC10=15</v>
      </c>
    </row>
    <row r="293" spans="1:1" x14ac:dyDescent="0.25">
      <c r="A293" s="605" t="str">
        <f>CONCATENATE(Sheet6!I27,Sheet6!J27)</f>
        <v>[mm]TRUC2=405</v>
      </c>
    </row>
    <row r="294" spans="1:1" x14ac:dyDescent="0.25">
      <c r="A294" s="605" t="str">
        <f>CONCATENATE(Sheet6!I28,Sheet6!J28)</f>
        <v>[mm]TRUC3=415</v>
      </c>
    </row>
    <row r="295" spans="1:1" x14ac:dyDescent="0.25">
      <c r="A295" s="605" t="str">
        <f>CONCATENATE(Sheet6!I29,Sheet6!J29)</f>
        <v>[mm]TRUC4=425</v>
      </c>
    </row>
    <row r="296" spans="1:1" x14ac:dyDescent="0.25">
      <c r="A296" s="605" t="str">
        <f>CONCATENATE(Sheet6!I30,Sheet6!J30)</f>
        <v>[mm]TRUC5=455</v>
      </c>
    </row>
    <row r="297" spans="1:1" x14ac:dyDescent="0.25">
      <c r="A297" s="605" t="str">
        <f>CONCATENATE(Sheet6!I31,Sheet6!J31)</f>
        <v>[mm]TRUC6=15</v>
      </c>
    </row>
    <row r="298" spans="1:1" x14ac:dyDescent="0.25">
      <c r="A298" s="605" t="str">
        <f>CONCATENATE(Sheet6!I32,Sheet6!J32)</f>
        <v>[mm]TRUC7=15</v>
      </c>
    </row>
    <row r="299" spans="1:1" x14ac:dyDescent="0.25">
      <c r="A299" s="605" t="str">
        <f>CONCATENATE(Sheet6!I33,Sheet6!J33)</f>
        <v>[mm]TRUC8=15</v>
      </c>
    </row>
    <row r="300" spans="1:1" x14ac:dyDescent="0.25">
      <c r="A300" s="605" t="str">
        <f>CONCATENATE(Sheet6!I34,Sheet6!J34)</f>
        <v>[mm]TRUC9=15</v>
      </c>
    </row>
    <row r="301" spans="1:1" x14ac:dyDescent="0.25">
      <c r="A301" s="605" t="str">
        <f>CONCATENATE(Sheet6!X26,Sheet6!Y26)</f>
        <v>[mm]TRUGL1=510</v>
      </c>
    </row>
    <row r="302" spans="1:1" x14ac:dyDescent="0.25">
      <c r="A302" s="605" t="str">
        <f>CONCATENATE(Sheet6!X35,Sheet6!Y35)</f>
        <v>[mm]TRUGL10=0</v>
      </c>
    </row>
    <row r="303" spans="1:1" x14ac:dyDescent="0.25">
      <c r="A303" s="605" t="str">
        <f>CONCATENATE(Sheet6!X27,Sheet6!Y27)</f>
        <v>[mm]TRUGL2=500</v>
      </c>
    </row>
    <row r="304" spans="1:1" x14ac:dyDescent="0.25">
      <c r="A304" s="605" t="str">
        <f>CONCATENATE(Sheet6!X28,Sheet6!Y28)</f>
        <v>[mm]TRUGL3=500</v>
      </c>
    </row>
    <row r="305" spans="1:1" x14ac:dyDescent="0.25">
      <c r="A305" s="605" t="str">
        <f>CONCATENATE(Sheet6!X29,Sheet6!Y29)</f>
        <v>[mm]TRUGL4=500</v>
      </c>
    </row>
    <row r="306" spans="1:1" x14ac:dyDescent="0.25">
      <c r="A306" s="605" t="str">
        <f>CONCATENATE(Sheet6!X30,Sheet6!Y30)</f>
        <v>[mm]TRUGL5=500</v>
      </c>
    </row>
    <row r="307" spans="1:1" x14ac:dyDescent="0.25">
      <c r="A307" s="605" t="str">
        <f>CONCATENATE(Sheet6!X31,Sheet6!Y31)</f>
        <v>[mm]TRUGL6=0</v>
      </c>
    </row>
    <row r="308" spans="1:1" x14ac:dyDescent="0.25">
      <c r="A308" s="605" t="str">
        <f>CONCATENATE(Sheet6!X32,Sheet6!Y32)</f>
        <v>[mm]TRUGL7=0</v>
      </c>
    </row>
    <row r="309" spans="1:1" x14ac:dyDescent="0.25">
      <c r="A309" s="605" t="str">
        <f>CONCATENATE(Sheet6!X33,Sheet6!Y33)</f>
        <v>[mm]TRUGL8=0</v>
      </c>
    </row>
    <row r="310" spans="1:1" x14ac:dyDescent="0.25">
      <c r="A310" s="605" t="str">
        <f>CONCATENATE(Sheet6!X34,Sheet6!Y34)</f>
        <v>[mm]TRUGL9=0</v>
      </c>
    </row>
    <row r="311" spans="1:1" x14ac:dyDescent="0.25">
      <c r="A311" s="605" t="str">
        <f>CONCATENATE(Sheet6!L26,Sheet6!M26)</f>
        <v>[mm]TRUL1=645</v>
      </c>
    </row>
    <row r="312" spans="1:1" x14ac:dyDescent="0.25">
      <c r="A312" s="605" t="str">
        <f>CONCATENATE(Sheet6!L35,Sheet6!M35)</f>
        <v>[mm]TRUL10=15</v>
      </c>
    </row>
    <row r="313" spans="1:1" x14ac:dyDescent="0.25">
      <c r="A313" s="605" t="str">
        <f>CONCATENATE(Sheet6!L27,Sheet6!M27)</f>
        <v>[mm]TRUL2=625</v>
      </c>
    </row>
    <row r="314" spans="1:1" x14ac:dyDescent="0.25">
      <c r="A314" s="605" t="str">
        <f>CONCATENATE(Sheet6!L28,Sheet6!M28)</f>
        <v>[mm]TRUL3=615</v>
      </c>
    </row>
    <row r="315" spans="1:1" x14ac:dyDescent="0.25">
      <c r="A315" s="605" t="str">
        <f>CONCATENATE(Sheet6!L29,Sheet6!M29)</f>
        <v>[mm]TRUL4=605</v>
      </c>
    </row>
    <row r="316" spans="1:1" x14ac:dyDescent="0.25">
      <c r="A316" s="605" t="str">
        <f>CONCATENATE(Sheet6!L30,Sheet6!M30)</f>
        <v>[mm]TRUL5=575</v>
      </c>
    </row>
    <row r="317" spans="1:1" x14ac:dyDescent="0.25">
      <c r="A317" s="605" t="str">
        <f>CONCATENATE(Sheet6!L31,Sheet6!M31)</f>
        <v>[mm]TRUL6=15</v>
      </c>
    </row>
    <row r="318" spans="1:1" x14ac:dyDescent="0.25">
      <c r="A318" s="605" t="str">
        <f>CONCATENATE(Sheet6!L32,Sheet6!M32)</f>
        <v>[mm]TRUL7=15</v>
      </c>
    </row>
    <row r="319" spans="1:1" x14ac:dyDescent="0.25">
      <c r="A319" s="605" t="str">
        <f>CONCATENATE(Sheet6!L33,Sheet6!M33)</f>
        <v>[mm]TRUL8=15</v>
      </c>
    </row>
    <row r="320" spans="1:1" x14ac:dyDescent="0.25">
      <c r="A320" s="605" t="str">
        <f>CONCATENATE(Sheet6!L34,Sheet6!M34)</f>
        <v>[mm]TRUL9=15</v>
      </c>
    </row>
    <row r="321" spans="1:1" x14ac:dyDescent="0.25">
      <c r="A321" s="605" t="str">
        <f>CONCATENATE("[mm]TTCT=",Sheet2!G93)</f>
        <v>[mm]TTCT=62.25</v>
      </c>
    </row>
    <row r="322" spans="1:1" x14ac:dyDescent="0.25">
      <c r="A322" s="605" t="str">
        <f>CONCATENATE("[mm]TTHT=",Sheet2!F93)</f>
        <v>[mm]TTHT=62.25</v>
      </c>
    </row>
    <row r="323" spans="1:1" x14ac:dyDescent="0.25">
      <c r="A323" s="605" t="str">
        <f>CONCATENATE("[mm]TYDUNG1=",Sheet2!F160)</f>
        <v>[mm]TYDUNG1=12</v>
      </c>
    </row>
    <row r="324" spans="1:1" x14ac:dyDescent="0.25">
      <c r="A324" s="605" t="str">
        <f>CONCATENATE("[mm]TYDUNG2=",Sheet2!G160)</f>
        <v>[mm]TYDUNG2=498</v>
      </c>
    </row>
    <row r="325" spans="1:1" x14ac:dyDescent="0.25">
      <c r="A325" s="605" t="str">
        <f>CONCATENATE("[mm]TYEP1=",Sheet2!F161)</f>
        <v>[mm]TYEP1=12</v>
      </c>
    </row>
    <row r="326" spans="1:1" x14ac:dyDescent="0.25">
      <c r="A326" s="605" t="str">
        <f>CONCATENATE("[mm]TYEP2=",Sheet2!G161)</f>
        <v>[mm]TYEP2=196.5</v>
      </c>
    </row>
    <row r="327" spans="1:1" x14ac:dyDescent="0.25">
      <c r="A327" s="605" t="str">
        <f>CONCATENATE("[mm]U1=",Sheet2!G34)</f>
        <v>[mm]U1=520</v>
      </c>
    </row>
    <row r="328" spans="1:1" x14ac:dyDescent="0.25">
      <c r="A328" s="605" t="str">
        <f>CONCATENATE("[mm]U2=",Sheet2!H34)</f>
        <v>[mm]U2=100</v>
      </c>
    </row>
    <row r="329" spans="1:1" x14ac:dyDescent="0.25">
      <c r="A329" s="605" t="str">
        <f>CONCATENATE("[mm]U3=",Sheet2!I34)</f>
        <v>[mm]U3=50</v>
      </c>
    </row>
    <row r="330" spans="1:1" x14ac:dyDescent="0.25">
      <c r="A330" s="605" t="str">
        <f>CONCATENATE("[mm]U4=",Sheet2!J34)</f>
        <v>[mm]U4=6</v>
      </c>
    </row>
    <row r="331" spans="1:1" x14ac:dyDescent="0.25">
      <c r="A331" s="605" t="str">
        <f>CONCATENATE("[mm]U5=",Sheet2!K34)</f>
        <v>[mm]U5=220</v>
      </c>
    </row>
    <row r="332" spans="1:1" x14ac:dyDescent="0.25">
      <c r="A332" s="605" t="str">
        <f>CONCATENATE("[mm]U6=",Sheet2!L34)</f>
        <v>[mm]U6=120</v>
      </c>
    </row>
    <row r="333" spans="1:1" x14ac:dyDescent="0.25">
      <c r="A333" s="605" t="str">
        <f>CONCATENATE("[mm]U7=",Sheet2!M34)</f>
        <v>[mm]U7=53</v>
      </c>
    </row>
    <row r="334" spans="1:1" x14ac:dyDescent="0.25">
      <c r="A334" s="605" t="e">
        <f>CONCATENATE(Sheet2!D290,Sheet2!D289)</f>
        <v>#N/A</v>
      </c>
    </row>
    <row r="335" spans="1:1" x14ac:dyDescent="0.25">
      <c r="A335" s="605" t="e">
        <f>CONCATENATE(Sheet2!E290,Sheet2!E289)</f>
        <v>#N/A</v>
      </c>
    </row>
    <row r="336" spans="1:1" x14ac:dyDescent="0.25">
      <c r="A336" s="605" t="e">
        <f>CONCATENATE(Sheet2!J290,Sheet2!J289)</f>
        <v>#N/A</v>
      </c>
    </row>
    <row r="337" spans="1:1" x14ac:dyDescent="0.25">
      <c r="A337" s="605" t="e">
        <f>CONCATENATE(Sheet2!H290,Sheet2!H289)</f>
        <v>#N/A</v>
      </c>
    </row>
    <row r="338" spans="1:1" x14ac:dyDescent="0.25">
      <c r="A338" s="605" t="e">
        <f>CONCATENATE(Sheet2!F290,Sheet2!F289)</f>
        <v>#N/A</v>
      </c>
    </row>
    <row r="339" spans="1:1" x14ac:dyDescent="0.25">
      <c r="A339" s="605" t="e">
        <f>CONCATENATE(Sheet2!K290,Sheet2!K289)</f>
        <v>#N/A</v>
      </c>
    </row>
    <row r="340" spans="1:1" x14ac:dyDescent="0.25">
      <c r="A340" s="605" t="e">
        <f>CONCATENATE(Sheet2!I290,Sheet2!I289)</f>
        <v>#N/A</v>
      </c>
    </row>
    <row r="341" spans="1:1" x14ac:dyDescent="0.25">
      <c r="A341" s="605" t="e">
        <f>CONCATENATE(Sheet2!G290,Sheet2!G289)</f>
        <v>#N/A</v>
      </c>
    </row>
    <row r="342" spans="1:1" x14ac:dyDescent="0.25">
      <c r="A342" s="605" t="e">
        <f>CONCATENATE(Sheet2!L290,Sheet2!L289)</f>
        <v>#N/A</v>
      </c>
    </row>
    <row r="343" spans="1:1" x14ac:dyDescent="0.25">
      <c r="A343" s="605" t="str">
        <f>CONCATENATE("[mm]Wd1=",Sheet2!G83)</f>
        <v>[mm]Wd1=26.25</v>
      </c>
    </row>
    <row r="344" spans="1:1" x14ac:dyDescent="0.25">
      <c r="A344" s="605" t="str">
        <f>CONCATENATE(Sheet6!C43,Sheet2!H84)</f>
        <v>[mm]WD10=9</v>
      </c>
    </row>
    <row r="345" spans="1:1" x14ac:dyDescent="0.25">
      <c r="A345" s="605" t="str">
        <f>CONCATENATE(Sheet6!C44,Sheet2!H85)</f>
        <v>[mm]Wd11=8.5</v>
      </c>
    </row>
    <row r="346" spans="1:1" x14ac:dyDescent="0.25">
      <c r="A346" s="605" t="str">
        <f>CONCATENATE(Sheet6!C45,Sheet2!H86)</f>
        <v>[mm]Wd12=6.5</v>
      </c>
    </row>
    <row r="347" spans="1:1" x14ac:dyDescent="0.25">
      <c r="A347" s="605" t="str">
        <f>CONCATENATE(Sheet6!C46,Sheet2!H87)</f>
        <v>[mm]Wd13=12</v>
      </c>
    </row>
    <row r="348" spans="1:1" x14ac:dyDescent="0.25">
      <c r="A348" s="605" t="str">
        <f>CONCATENATE(Sheet6!C47,Sheet2!H88)</f>
        <v>[mm]Wd14=0</v>
      </c>
    </row>
    <row r="349" spans="1:1" x14ac:dyDescent="0.25">
      <c r="A349" s="605" t="str">
        <f>CONCATENATE(Sheet6!C48,Sheet2!H89)</f>
        <v>[mm]Wd15=0</v>
      </c>
    </row>
    <row r="350" spans="1:1" x14ac:dyDescent="0.25">
      <c r="A350" s="605" t="str">
        <f>CONCATENATE(Sheet6!C49,Sheet2!H90)</f>
        <v>[mm]Wd16=0</v>
      </c>
    </row>
    <row r="351" spans="1:1" x14ac:dyDescent="0.25">
      <c r="A351" s="605" t="str">
        <f>CONCATENATE(Sheet6!C34,Sheet2!G91)</f>
        <v>[mm]WD17=0</v>
      </c>
    </row>
    <row r="352" spans="1:1" x14ac:dyDescent="0.25">
      <c r="A352" s="605" t="str">
        <f>CONCATENATE(Sheet6!C35,Sheet2!G92)</f>
        <v>[mm]WD18=0</v>
      </c>
    </row>
    <row r="353" spans="1:1" x14ac:dyDescent="0.25">
      <c r="A353" s="605" t="str">
        <f>CONCATENATE(Sheet6!C50,Sheet2!H91)</f>
        <v>[mm]Wd19=0</v>
      </c>
    </row>
    <row r="354" spans="1:1" x14ac:dyDescent="0.25">
      <c r="A354" s="605" t="str">
        <f>CONCATENATE("[mm]Wd2=",Sheet2!G84)</f>
        <v>[mm]Wd2=9</v>
      </c>
    </row>
    <row r="355" spans="1:1" x14ac:dyDescent="0.25">
      <c r="A355" s="605" t="str">
        <f>CONCATENATE(Sheet6!C51,Sheet2!H92)</f>
        <v>[mm]Wd20=0</v>
      </c>
    </row>
    <row r="356" spans="1:1" x14ac:dyDescent="0.25">
      <c r="A356" s="605" t="str">
        <f>CONCATENATE("[mm]Wd3=",Sheet2!G85)</f>
        <v>[mm]Wd3=8.5</v>
      </c>
    </row>
    <row r="357" spans="1:1" x14ac:dyDescent="0.25">
      <c r="A357" s="605" t="str">
        <f>CONCATENATE("[mm]Wd4=",Sheet2!G86)</f>
        <v>[mm]Wd4=6.5</v>
      </c>
    </row>
    <row r="358" spans="1:1" x14ac:dyDescent="0.25">
      <c r="A358" s="605" t="str">
        <f>CONCATENATE("[mm]Wd5=",Sheet2!G87)</f>
        <v>[mm]Wd5=12</v>
      </c>
    </row>
    <row r="359" spans="1:1" x14ac:dyDescent="0.25">
      <c r="A359" s="605" t="str">
        <f>CONCATENATE("[mm]Wd6=",Sheet2!G88)</f>
        <v>[mm]Wd6=0</v>
      </c>
    </row>
    <row r="360" spans="1:1" x14ac:dyDescent="0.25">
      <c r="A360" s="605" t="str">
        <f>CONCATENATE("[mm]Wd7=",Sheet2!G89)</f>
        <v>[mm]Wd7=0</v>
      </c>
    </row>
    <row r="361" spans="1:1" x14ac:dyDescent="0.25">
      <c r="A361" s="605" t="str">
        <f>CONCATENATE("[mm]Wd8=",Sheet2!G90)</f>
        <v>[mm]Wd8=0</v>
      </c>
    </row>
    <row r="362" spans="1:1" x14ac:dyDescent="0.25">
      <c r="A362" s="605" t="str">
        <f>CONCATENATE(Sheet6!C42,Sheet2!H83)</f>
        <v>[mm]WD9=26.25</v>
      </c>
    </row>
    <row r="363" spans="1:1" x14ac:dyDescent="0.25">
      <c r="A363" s="605" t="str">
        <f>CONCATENATE("[mm]WH=",Sheet6!D15)</f>
        <v>[mm]WH=390</v>
      </c>
    </row>
    <row r="364" spans="1:1" x14ac:dyDescent="0.25">
      <c r="A364" s="605" t="str">
        <f>CONCATENATE(Sheet6!U26,Sheet6!V26)</f>
        <v>[mm]XA=901</v>
      </c>
    </row>
    <row r="365" spans="1:1" x14ac:dyDescent="0.25">
      <c r="A365" s="605" t="str">
        <f>CONCATENATE(Sheet6!R26,Sheet6!S26)</f>
        <v>[mm]XAC1=330.5</v>
      </c>
    </row>
    <row r="366" spans="1:1" x14ac:dyDescent="0.25">
      <c r="A366" s="605" t="str">
        <f>CONCATENATE(Sheet6!R35,Sheet6!S35)</f>
        <v>[mm]XAC10=7.5</v>
      </c>
    </row>
    <row r="367" spans="1:1" x14ac:dyDescent="0.25">
      <c r="A367" s="605" t="str">
        <f>CONCATENATE(Sheet6!R27,Sheet6!S27)</f>
        <v>[mm]XAC2=340.5</v>
      </c>
    </row>
    <row r="368" spans="1:1" x14ac:dyDescent="0.25">
      <c r="A368" s="605" t="str">
        <f>CONCATENATE(Sheet6!R28,Sheet6!S28)</f>
        <v>[mm]XAC3=350.5</v>
      </c>
    </row>
    <row r="369" spans="1:1" x14ac:dyDescent="0.25">
      <c r="A369" s="605" t="str">
        <f>CONCATENATE(Sheet6!R29,Sheet6!S29)</f>
        <v>[mm]XAC4=360.5</v>
      </c>
    </row>
    <row r="370" spans="1:1" x14ac:dyDescent="0.25">
      <c r="A370" s="605" t="str">
        <f>CONCATENATE(Sheet6!R30,Sheet6!S30)</f>
        <v>[mm]XAC5=390.5</v>
      </c>
    </row>
    <row r="371" spans="1:1" x14ac:dyDescent="0.25">
      <c r="A371" s="605" t="str">
        <f>CONCATENATE(Sheet6!R31,Sheet6!S31)</f>
        <v>[mm]XAC6=7.5</v>
      </c>
    </row>
    <row r="372" spans="1:1" x14ac:dyDescent="0.25">
      <c r="A372" s="605" t="str">
        <f>CONCATENATE(Sheet6!R32,Sheet6!S32)</f>
        <v>[mm]XAC7=7.5</v>
      </c>
    </row>
    <row r="373" spans="1:1" x14ac:dyDescent="0.25">
      <c r="A373" s="605" t="str">
        <f>CONCATENATE(Sheet6!R33,Sheet6!S33)</f>
        <v>[mm]XAC8=7.5</v>
      </c>
    </row>
    <row r="374" spans="1:1" x14ac:dyDescent="0.25">
      <c r="A374" s="605" t="str">
        <f>CONCATENATE(Sheet6!R34,Sheet6!S34)</f>
        <v>[mm]XAC9=7.5</v>
      </c>
    </row>
    <row r="375" spans="1:1" x14ac:dyDescent="0.25">
      <c r="A375" s="605" t="str">
        <f>CONCATENATE(Sheet6!O26,Sheet6!P26)</f>
        <v>[mm]XAL1=1021</v>
      </c>
    </row>
    <row r="376" spans="1:1" x14ac:dyDescent="0.25">
      <c r="A376" s="605" t="str">
        <f>CONCATENATE(Sheet6!O35,Sheet6!P35)</f>
        <v>[mm]XAL10=15</v>
      </c>
    </row>
    <row r="377" spans="1:1" x14ac:dyDescent="0.25">
      <c r="A377" s="605" t="str">
        <f>CONCATENATE(Sheet6!O27,Sheet6!P27)</f>
        <v>[mm]XAL2=1011</v>
      </c>
    </row>
    <row r="378" spans="1:1" x14ac:dyDescent="0.25">
      <c r="A378" s="605" t="str">
        <f>CONCATENATE(Sheet6!O28,Sheet6!P28)</f>
        <v>[mm]XAL3=1001</v>
      </c>
    </row>
    <row r="379" spans="1:1" x14ac:dyDescent="0.25">
      <c r="A379" s="605" t="str">
        <f>CONCATENATE(Sheet6!O29,Sheet6!P29)</f>
        <v>[mm]XAL4=991</v>
      </c>
    </row>
    <row r="380" spans="1:1" x14ac:dyDescent="0.25">
      <c r="A380" s="605" t="str">
        <f>CONCATENATE(Sheet6!O30,Sheet6!P30)</f>
        <v>[mm]XAL5=961</v>
      </c>
    </row>
    <row r="381" spans="1:1" x14ac:dyDescent="0.25">
      <c r="A381" s="605" t="str">
        <f>CONCATENATE(Sheet6!O31,Sheet6!P31)</f>
        <v>[mm]XAL6=15</v>
      </c>
    </row>
    <row r="382" spans="1:1" x14ac:dyDescent="0.25">
      <c r="A382" s="605" t="str">
        <f>CONCATENATE(Sheet6!O32,Sheet6!P32)</f>
        <v>[mm]XAL7=15</v>
      </c>
    </row>
    <row r="383" spans="1:1" x14ac:dyDescent="0.25">
      <c r="A383" s="605" t="str">
        <f>CONCATENATE(Sheet6!O33,Sheet6!P33)</f>
        <v>[mm]XAL8=15</v>
      </c>
    </row>
    <row r="384" spans="1:1" x14ac:dyDescent="0.25">
      <c r="A384" s="605" t="str">
        <f>CONCATENATE(Sheet6!O34,Sheet6!P34)</f>
        <v>[mm]XAL9=15</v>
      </c>
    </row>
    <row r="385" spans="1:1" x14ac:dyDescent="0.25">
      <c r="A385" s="605" t="str">
        <f>CONCATENATE("[mm]Yt=",Sheet2!B36)</f>
        <v>[mm]Yt=120</v>
      </c>
    </row>
    <row r="386" spans="1:1" x14ac:dyDescent="0.25">
      <c r="A386" s="605" t="str">
        <f>CONCATENATE("Cn1=",Sheet2!B13)</f>
        <v>Cn1=11</v>
      </c>
    </row>
    <row r="387" spans="1:1" x14ac:dyDescent="0.25">
      <c r="A387" s="605" t="str">
        <f>CONCATENATE("Cn2=",Sheet2!B14)</f>
        <v>Cn2=30</v>
      </c>
    </row>
    <row r="388" spans="1:1" x14ac:dyDescent="0.25">
      <c r="A388" s="605" t="str">
        <f>CONCATENATE("Cn3=",Sheet2!T75)</f>
        <v>Cn3=27</v>
      </c>
    </row>
    <row r="389" spans="1:1" x14ac:dyDescent="0.25">
      <c r="A389" s="605" t="str">
        <f>CONCATENATE("Cn4=",Sheet2!T76)</f>
        <v>Cn4=30</v>
      </c>
    </row>
    <row r="390" spans="1:1" x14ac:dyDescent="0.25">
      <c r="A390" s="605" t="str">
        <f>CONCATENATE("DQ13=",Sheet2!F306)</f>
        <v>DQ13=2</v>
      </c>
    </row>
    <row r="391" spans="1:1" x14ac:dyDescent="0.25">
      <c r="A391" s="605" t="str">
        <f>CONCATENATE("DQ14=",Sheet2!G306)</f>
        <v>DQ14=1</v>
      </c>
    </row>
    <row r="392" spans="1:1" x14ac:dyDescent="0.25">
      <c r="A392" s="605" t="str">
        <f>CONCATENATE("DQ15=",Sheet2!F308)</f>
        <v>DQ15=1</v>
      </c>
    </row>
    <row r="393" spans="1:1" x14ac:dyDescent="0.25">
      <c r="A393" s="605" t="str">
        <f>CONCATENATE("mtcd1=",Sheet2!M51)</f>
        <v>mtcd1=55</v>
      </c>
    </row>
    <row r="394" spans="1:1" x14ac:dyDescent="0.25">
      <c r="A394" s="605" t="str">
        <f>CONCATENATE("mtcd2=",Sheet2!N51)</f>
        <v>mtcd2=100</v>
      </c>
    </row>
    <row r="395" spans="1:1" x14ac:dyDescent="0.25">
      <c r="A395" s="605" t="str">
        <f>CONCATENATE("TDCD2=",Sheet2!AB44)</f>
        <v>TDCD2=16</v>
      </c>
    </row>
    <row r="396" spans="1:1" x14ac:dyDescent="0.25">
      <c r="A396" s="605" t="str">
        <f>CONCATENATE("TDCN2=",Sheet2!AB50)</f>
        <v>TDCN2=6</v>
      </c>
    </row>
    <row r="397" spans="1:1" x14ac:dyDescent="0.25">
      <c r="A397" t="str">
        <f>Unicore!D1</f>
        <v>[mm]UNITon1=390</v>
      </c>
    </row>
    <row r="398" spans="1:1" x14ac:dyDescent="0.25">
      <c r="A398" s="545" t="str">
        <f>Unicore!D2</f>
        <v>[mm]UNITon2=0</v>
      </c>
    </row>
    <row r="399" spans="1:1" x14ac:dyDescent="0.25">
      <c r="A399" s="545" t="str">
        <f>Unicore!D3</f>
        <v>[mm]UNITon3=0</v>
      </c>
    </row>
    <row r="400" spans="1:1" x14ac:dyDescent="0.25">
      <c r="A400" s="545" t="str">
        <f>Unicore!D4</f>
        <v>[mm]UNITon4=0</v>
      </c>
    </row>
    <row r="401" spans="1:9" x14ac:dyDescent="0.25">
      <c r="A401" s="545" t="str">
        <f>Unicore!D5</f>
        <v>[mm]UNITon5=0</v>
      </c>
    </row>
    <row r="402" spans="1:9" x14ac:dyDescent="0.25">
      <c r="A402" s="545" t="str">
        <f>Unicore!D6</f>
        <v>[mm]UNITon6=1.3</v>
      </c>
    </row>
    <row r="403" spans="1:9" x14ac:dyDescent="0.25">
      <c r="A403" s="545" t="str">
        <f>Unicore!J57</f>
        <v>[mm]UNIbia1=607</v>
      </c>
      <c r="F403" s="545"/>
      <c r="G403" s="545"/>
      <c r="H403" s="545"/>
      <c r="I403" s="545"/>
    </row>
    <row r="404" spans="1:9" x14ac:dyDescent="0.25">
      <c r="A404" s="545" t="str">
        <f>Unicore!J58</f>
        <v>[mm]UNIbia2=647</v>
      </c>
    </row>
    <row r="405" spans="1:9" x14ac:dyDescent="0.25">
      <c r="A405" s="545" t="str">
        <f>Unicore!J59</f>
        <v>[mm]UNIbia3=457</v>
      </c>
    </row>
    <row r="406" spans="1:9" x14ac:dyDescent="0.25">
      <c r="A406" s="545" t="str">
        <f>Unicore!J60</f>
        <v>[mm]UNIbia4=390</v>
      </c>
    </row>
    <row r="407" spans="1:9" x14ac:dyDescent="0.25">
      <c r="A407" s="545" t="str">
        <f>Unicore!J61</f>
        <v>[mm]UNIbia5=457</v>
      </c>
    </row>
    <row r="408" spans="1:9" x14ac:dyDescent="0.25">
      <c r="A408" s="545" t="str">
        <f>Unicore!J62</f>
        <v>[mm]UNIbia6=443</v>
      </c>
      <c r="E408" s="545"/>
    </row>
    <row r="409" spans="1:9" x14ac:dyDescent="0.25">
      <c r="A409" s="545" t="str">
        <f>Unicore!J63</f>
        <v>[mm]UNIbia7=386</v>
      </c>
      <c r="E409" s="545"/>
    </row>
    <row r="410" spans="1:9" x14ac:dyDescent="0.25">
      <c r="A410" s="545" t="str">
        <f>Unicore!J64</f>
        <v>[mm]UNIbia8=350</v>
      </c>
      <c r="E410" s="545"/>
    </row>
    <row r="411" spans="1:9" x14ac:dyDescent="0.25">
      <c r="A411" s="545" t="str">
        <f>Unicore!J65</f>
        <v>[mm]UNIbia9=367</v>
      </c>
      <c r="E411" s="545"/>
    </row>
    <row r="412" spans="1:9" x14ac:dyDescent="0.25">
      <c r="A412" s="545" t="str">
        <f>Unicore!J66</f>
        <v>[mm]UNIbia10=390</v>
      </c>
      <c r="E412" s="545"/>
    </row>
    <row r="413" spans="1:9" x14ac:dyDescent="0.25">
      <c r="A413" s="545" t="str">
        <f>Unicore!J67</f>
        <v>[mm]UNIbia11=320</v>
      </c>
      <c r="E413" s="545"/>
    </row>
    <row r="414" spans="1:9" x14ac:dyDescent="0.25">
      <c r="A414" s="545" t="str">
        <f>Unicore!J76</f>
        <v>[mm]UNIsatkepduoi1=3</v>
      </c>
      <c r="D414" s="545"/>
      <c r="E414" s="545"/>
    </row>
    <row r="415" spans="1:9" x14ac:dyDescent="0.25">
      <c r="A415" s="545" t="str">
        <f>Unicore!J77</f>
        <v>[mm]UNIsatkepduoi2=5</v>
      </c>
      <c r="D415" s="545"/>
      <c r="E415" s="545"/>
    </row>
    <row r="416" spans="1:9" x14ac:dyDescent="0.25">
      <c r="A416" s="545" t="str">
        <f>Unicore!J78</f>
        <v>[mm]UNIsatkepduoi3=457</v>
      </c>
      <c r="D416" s="545"/>
      <c r="E416" s="545"/>
    </row>
    <row r="417" spans="1:5" x14ac:dyDescent="0.25">
      <c r="A417" s="545" t="str">
        <f>Unicore!J79</f>
        <v>[mm]UNIsatkepduoi4=488</v>
      </c>
      <c r="D417" s="545"/>
      <c r="E417" s="545"/>
    </row>
    <row r="418" spans="1:5" x14ac:dyDescent="0.25">
      <c r="A418" s="545" t="str">
        <f>Unicore!J80</f>
        <v>[mm]UNIsatkepduoi5=-17</v>
      </c>
      <c r="D418" s="545"/>
      <c r="E418" s="545"/>
    </row>
    <row r="419" spans="1:5" x14ac:dyDescent="0.25">
      <c r="A419" s="545" t="str">
        <f>Unicore!J81</f>
        <v>[mm]UNIsatkepduoi6=26</v>
      </c>
      <c r="E419" s="545"/>
    </row>
    <row r="420" spans="1:5" x14ac:dyDescent="0.25">
      <c r="A420" s="545" t="str">
        <f>Unicore!J82</f>
        <v>[mm]UNIsatkepduoi7=20</v>
      </c>
      <c r="D420" s="545"/>
      <c r="E420" s="545"/>
    </row>
    <row r="421" spans="1:5" x14ac:dyDescent="0.25">
      <c r="A421" s="545" t="str">
        <f>Unicore!J83</f>
        <v>[mm]UNIsatkepduoi8=8</v>
      </c>
    </row>
    <row r="422" spans="1:5" x14ac:dyDescent="0.25">
      <c r="A422" s="545" t="str">
        <f>Unicore!J84</f>
        <v>[mm]UNIsatkepduoi9=150</v>
      </c>
      <c r="D422" s="545"/>
      <c r="E422" s="545"/>
    </row>
    <row r="423" spans="1:5" x14ac:dyDescent="0.25">
      <c r="A423" s="545" t="str">
        <f>Unicore!J88</f>
        <v>[mm]UNIsatkeptren1=455</v>
      </c>
      <c r="E423" s="545"/>
    </row>
    <row r="424" spans="1:5" x14ac:dyDescent="0.25">
      <c r="A424" s="545" t="str">
        <f>Unicore!J89</f>
        <v>[mm]UNIsatkeptren2=5</v>
      </c>
      <c r="D424" s="545"/>
      <c r="E424" s="545"/>
    </row>
    <row r="425" spans="1:5" x14ac:dyDescent="0.25">
      <c r="A425" s="545" t="str">
        <f>Unicore!J90</f>
        <v>[mm]UNIsatkeptren3=3</v>
      </c>
      <c r="D425" s="545"/>
      <c r="E425" s="545"/>
    </row>
    <row r="426" spans="1:5" x14ac:dyDescent="0.25">
      <c r="A426" s="545" t="str">
        <f>Unicore!J91</f>
        <v>[mm]UNIsatkeptren4=3</v>
      </c>
      <c r="D426" s="545"/>
      <c r="E426" s="545"/>
    </row>
    <row r="427" spans="1:5" x14ac:dyDescent="0.25">
      <c r="A427" s="545" t="str">
        <f>Unicore!J92</f>
        <v>[mm]UNIsatkeptren5=-17</v>
      </c>
      <c r="D427" s="545"/>
      <c r="E427" s="545"/>
    </row>
    <row r="428" spans="1:5" x14ac:dyDescent="0.25">
      <c r="A428" s="545" t="str">
        <f>Unicore!J93</f>
        <v>[mm]UNIsatkeptren6=36</v>
      </c>
      <c r="D428" s="545"/>
      <c r="E428" s="545"/>
    </row>
    <row r="429" spans="1:5" x14ac:dyDescent="0.25">
      <c r="A429" s="545" t="str">
        <f>Unicore!J94</f>
        <v>[mm]UNIsatkeptren7=12</v>
      </c>
      <c r="D429" s="545"/>
      <c r="E429" s="545"/>
    </row>
    <row r="430" spans="1:5" x14ac:dyDescent="0.25">
      <c r="A430" s="545" t="str">
        <f>Unicore!J95</f>
        <v>[mm]UNIsatkeptren8=-25</v>
      </c>
      <c r="D430" s="545"/>
      <c r="E430" s="545"/>
    </row>
    <row r="431" spans="1:5" x14ac:dyDescent="0.25">
      <c r="A431" s="545" t="str">
        <f>Unicore!J98</f>
        <v>[mm]UNIchanke1=6</v>
      </c>
      <c r="D431" s="545"/>
      <c r="E431" s="545"/>
    </row>
    <row r="432" spans="1:5" x14ac:dyDescent="0.25">
      <c r="A432" s="545" t="str">
        <f>Unicore!J99</f>
        <v>[mm]UNIchanke2=379</v>
      </c>
      <c r="D432" s="545"/>
      <c r="E432" s="545"/>
    </row>
    <row r="433" spans="1:5" x14ac:dyDescent="0.25">
      <c r="A433" s="545" t="str">
        <f>Unicore!J100</f>
        <v>[mm]UNIchanke3=23.5</v>
      </c>
      <c r="D433" s="545"/>
      <c r="E433" s="545"/>
    </row>
    <row r="434" spans="1:5" x14ac:dyDescent="0.25">
      <c r="A434" s="545" t="str">
        <f>Unicore!J101</f>
        <v>[mm]UNIchanke4=267</v>
      </c>
      <c r="D434" s="545"/>
      <c r="E434" s="545"/>
    </row>
    <row r="435" spans="1:5" x14ac:dyDescent="0.25">
      <c r="A435" s="545" t="str">
        <f>Unicore!J102</f>
        <v>[mm]UNIchanke5=50</v>
      </c>
      <c r="D435" s="545"/>
      <c r="E435" s="545"/>
    </row>
    <row r="436" spans="1:5" x14ac:dyDescent="0.25">
      <c r="A436" s="545" t="str">
        <f>Unicore!L57</f>
        <v>[mm]UNIbia23=1</v>
      </c>
    </row>
    <row r="437" spans="1:5" x14ac:dyDescent="0.25">
      <c r="A437" s="545" t="str">
        <f>Unicore!L58</f>
        <v>[mm]UNIbia24=1</v>
      </c>
    </row>
    <row r="438" spans="1:5" x14ac:dyDescent="0.25">
      <c r="A438" s="545" t="str">
        <f>Unicore!L59</f>
        <v>[mm]UNIbia25=1</v>
      </c>
    </row>
    <row r="439" spans="1:5" x14ac:dyDescent="0.25">
      <c r="A439" s="545" t="str">
        <f>Unicore!L60</f>
        <v>[mm]UNIbia26=1</v>
      </c>
    </row>
    <row r="440" spans="1:5" x14ac:dyDescent="0.25">
      <c r="A440" s="545" t="str">
        <f>Unicore!L61</f>
        <v>[mm]UNIbia27=1</v>
      </c>
    </row>
    <row r="441" spans="1:5" x14ac:dyDescent="0.25">
      <c r="A441" s="545" t="str">
        <f>Unicore!L62</f>
        <v>[mm]UNIbia28=a</v>
      </c>
    </row>
    <row r="442" spans="1:5" x14ac:dyDescent="0.25">
      <c r="A442" s="545" t="str">
        <f>Unicore!L63</f>
        <v>[mm]UNIbia29=150</v>
      </c>
    </row>
    <row r="443" spans="1:5" x14ac:dyDescent="0.25">
      <c r="A443" s="545" t="str">
        <f>Unicore!L64</f>
        <v>[mm]UNIbia30=92</v>
      </c>
    </row>
    <row r="444" spans="1:5" x14ac:dyDescent="0.25">
      <c r="A444" s="545" t="str">
        <f>Unicore!L65</f>
        <v>[mm]UNIbia31=17.5</v>
      </c>
    </row>
    <row r="445" spans="1:5" x14ac:dyDescent="0.25">
      <c r="A445" s="545" t="str">
        <f>Unicore!L66</f>
        <v>[mm]UNIbia32=2</v>
      </c>
    </row>
    <row r="446" spans="1:5" x14ac:dyDescent="0.25">
      <c r="A446" s="545" t="str">
        <f>Unicore!L67</f>
        <v>[mm]UNIbia33=-134.5</v>
      </c>
    </row>
    <row r="447" spans="1:5" x14ac:dyDescent="0.25">
      <c r="A447" s="545" t="str">
        <f>Unicore!K57</f>
        <v>[mm]UNIbia12=377</v>
      </c>
    </row>
    <row r="448" spans="1:5" x14ac:dyDescent="0.25">
      <c r="A448" s="545" t="str">
        <f>Unicore!K58</f>
        <v>[mm]UNIbia13=377</v>
      </c>
    </row>
    <row r="449" spans="1:1" x14ac:dyDescent="0.25">
      <c r="A449" s="545" t="str">
        <f>Unicore!K59</f>
        <v>[mm]UNIbia14=-4</v>
      </c>
    </row>
    <row r="450" spans="1:1" x14ac:dyDescent="0.25">
      <c r="A450" s="545" t="str">
        <f>Unicore!K60</f>
        <v>[mm]UNIbia15=-4</v>
      </c>
    </row>
    <row r="451" spans="1:1" x14ac:dyDescent="0.25">
      <c r="A451" s="545" t="str">
        <f>Unicore!K61</f>
        <v>[mm]UNIbia16=-4</v>
      </c>
    </row>
    <row r="452" spans="1:1" x14ac:dyDescent="0.25">
      <c r="A452" s="545" t="str">
        <f>Unicore!K62</f>
        <v>[mm]UNIbia17=354</v>
      </c>
    </row>
    <row r="453" spans="1:1" x14ac:dyDescent="0.25">
      <c r="A453" s="545" t="str">
        <f>Unicore!K63</f>
        <v>[mm]UNIbia18=5</v>
      </c>
    </row>
    <row r="454" spans="1:1" x14ac:dyDescent="0.25">
      <c r="A454" s="545" t="str">
        <f>Unicore!K64</f>
        <v>[mm]UNIbia19=142</v>
      </c>
    </row>
    <row r="455" spans="1:1" x14ac:dyDescent="0.25">
      <c r="A455" s="545" t="str">
        <f>Unicore!K65</f>
        <v>[mm]UNIbia20=125</v>
      </c>
    </row>
    <row r="456" spans="1:1" x14ac:dyDescent="0.25">
      <c r="A456" s="545" t="str">
        <f>Unicore!K66</f>
        <v>[mm]UNIbia21=132</v>
      </c>
    </row>
    <row r="457" spans="1:1" x14ac:dyDescent="0.25">
      <c r="A457" s="545" t="str">
        <f>Unicore!K67</f>
        <v>[mm]UNIbia22=357</v>
      </c>
    </row>
    <row r="458" spans="1:1" x14ac:dyDescent="0.25">
      <c r="A458" s="545" t="str">
        <f>Unicore!M57</f>
        <v>[mm]UNIbia34=128.5</v>
      </c>
    </row>
    <row r="459" spans="1:1" x14ac:dyDescent="0.25">
      <c r="A459" s="545" t="str">
        <f>Unicore!M58</f>
        <v>[mm]UNIbia35=129.5</v>
      </c>
    </row>
    <row r="460" spans="1:1" x14ac:dyDescent="0.25">
      <c r="A460" s="545" t="str">
        <f>Unicore!M59</f>
        <v>[mm]UNIbia36=-2</v>
      </c>
    </row>
    <row r="461" spans="1:1" x14ac:dyDescent="0.25">
      <c r="A461" s="545" t="str">
        <f>Unicore!M60</f>
        <v>[mm]UNIbia37=-2</v>
      </c>
    </row>
    <row r="462" spans="1:1" x14ac:dyDescent="0.25">
      <c r="A462" s="545" t="str">
        <f>Unicore!M61</f>
        <v>[mm]UNIbia38=-2</v>
      </c>
    </row>
    <row r="463" spans="1:1" x14ac:dyDescent="0.25">
      <c r="A463" s="545" t="str">
        <f>Unicore!K81</f>
        <v>[mm]UNIsatkepduoi10=16</v>
      </c>
    </row>
    <row r="464" spans="1:1" x14ac:dyDescent="0.25">
      <c r="A464" s="545" t="str">
        <f>Unicore!K82</f>
        <v>[mm]UNIsatkepduoi11=10</v>
      </c>
    </row>
    <row r="465" spans="1:1" x14ac:dyDescent="0.25">
      <c r="A465" s="545" t="str">
        <f>Unicore!K83</f>
        <v>[mm]UNIsatkepduoi12=16</v>
      </c>
    </row>
    <row r="466" spans="1:1" x14ac:dyDescent="0.25">
      <c r="A466" s="545" t="str">
        <f>Unicore!L81</f>
        <v>[mm]UNIsatkepduoi13=25</v>
      </c>
    </row>
    <row r="467" spans="1:1" x14ac:dyDescent="0.25">
      <c r="A467" s="545" t="str">
        <f>Unicore!L83</f>
        <v>UNIsatkepduoi14=0</v>
      </c>
    </row>
    <row r="468" spans="1:1" x14ac:dyDescent="0.25">
      <c r="A468" s="545" t="str">
        <f>Unicore!M83</f>
        <v>[mm]UNIsatkepduoi15=10.5</v>
      </c>
    </row>
    <row r="469" spans="1:1" x14ac:dyDescent="0.25">
      <c r="A469" s="545" t="str">
        <f>Unicore!K94</f>
        <v>[mm]UNIsatkeptren9=30</v>
      </c>
    </row>
    <row r="470" spans="1:1" x14ac:dyDescent="0.25">
      <c r="A470" s="545" t="str">
        <f>Unicore!K102</f>
        <v>[mm]UNIchanke6=30</v>
      </c>
    </row>
    <row r="471" spans="1:1" x14ac:dyDescent="0.25">
      <c r="A471" s="545" t="str">
        <f>Unicore!L82</f>
        <v>[mm]UNIsatkepduoi16=413</v>
      </c>
    </row>
    <row r="472" spans="1:1" x14ac:dyDescent="0.25">
      <c r="A472" s="605" t="str">
        <f>Unicore!D8</f>
        <v>[mm]UNITon7=150.7</v>
      </c>
    </row>
    <row r="473" spans="1:1" x14ac:dyDescent="0.25">
      <c r="A473" s="605" t="str">
        <f>Unicore!J85</f>
        <v>[mm]UNIsatkepduoi17=50</v>
      </c>
    </row>
    <row r="474" spans="1:1" x14ac:dyDescent="0.25">
      <c r="A474" s="605" t="str">
        <f>Unicore!K85</f>
        <v>[mm]UNIsatkepduoi18=6</v>
      </c>
    </row>
    <row r="475" spans="1:1" x14ac:dyDescent="0.25">
      <c r="A475" s="605" t="str">
        <f>Unicore!L85</f>
        <v>[mm]UNIsatkepduoi19=36</v>
      </c>
    </row>
    <row r="476" spans="1:1" x14ac:dyDescent="0.25">
      <c r="A476" s="605" t="str">
        <f>Unicore!D11</f>
        <v>[mm]UNIYoketop=120</v>
      </c>
    </row>
    <row r="477" spans="1:1" x14ac:dyDescent="0.25">
      <c r="A477" s="605" t="str">
        <f>Unicore!D12</f>
        <v>[mm]UNIYoketopdaycap=144</v>
      </c>
    </row>
    <row r="478" spans="1:1" x14ac:dyDescent="0.25">
      <c r="A478" s="605" t="str">
        <f>CONCATENATE("[mm]E11=",Sheet2!Q25)</f>
        <v>[mm]E11=25</v>
      </c>
    </row>
    <row r="479" spans="1:1" x14ac:dyDescent="0.25">
      <c r="A479" s="605" t="str">
        <f>Unicore!J68</f>
        <v>[mm]UNIbia39=453</v>
      </c>
    </row>
    <row r="480" spans="1:1" x14ac:dyDescent="0.25">
      <c r="A480" s="605" t="str">
        <f>Unicore!K68</f>
        <v>[mm]UNIbia40=-4</v>
      </c>
    </row>
    <row r="481" spans="1:1" x14ac:dyDescent="0.25">
      <c r="A481" s="605" t="str">
        <f>Unicore!L68</f>
        <v>[mm]UNIbia41=0</v>
      </c>
    </row>
    <row r="482" spans="1:1" x14ac:dyDescent="0.25">
      <c r="A482" s="605" t="str">
        <f>Unicore!J69</f>
        <v>[mm]UNIbia42=10</v>
      </c>
    </row>
    <row r="483" spans="1:1" x14ac:dyDescent="0.25">
      <c r="A483" s="605" t="str">
        <f>Unicore!J70</f>
        <v>[mm]UNIbia43=509</v>
      </c>
    </row>
    <row r="484" spans="1:1" x14ac:dyDescent="0.25">
      <c r="A484" s="605" t="str">
        <f>Unicore!K70</f>
        <v>[mm]UNIbia44=18</v>
      </c>
    </row>
    <row r="485" spans="1:1" x14ac:dyDescent="0.25">
      <c r="A485" s="605" t="str">
        <f>'1pha'!F2</f>
        <v>[mm]mpduongkinhtrong1=450</v>
      </c>
    </row>
    <row r="486" spans="1:1" x14ac:dyDescent="0.25">
      <c r="A486" s="605" t="str">
        <f>'1pha'!F4</f>
        <v>[mm]mpchieucaovo1=680</v>
      </c>
    </row>
    <row r="487" spans="1:1" x14ac:dyDescent="0.25">
      <c r="A487" s="605" t="str">
        <f>'1pha'!F5</f>
        <v>[mm]mpdodayvo1=2.5</v>
      </c>
    </row>
    <row r="488" spans="1:1" x14ac:dyDescent="0.25">
      <c r="A488" s="605" t="str">
        <f>'1pha'!F7</f>
        <v>[mm]mpthanhtreoruot1=24</v>
      </c>
    </row>
    <row r="489" spans="1:1" x14ac:dyDescent="0.25">
      <c r="A489" s="605" t="str">
        <f>'1pha'!F8</f>
        <v>[mm]mpthanhtreoruot2=40</v>
      </c>
    </row>
    <row r="490" spans="1:1" x14ac:dyDescent="0.25">
      <c r="A490" s="605" t="str">
        <f>'1pha'!F9</f>
        <v>[mm]mpthanhtreoruot3=56</v>
      </c>
    </row>
    <row r="491" spans="1:1" x14ac:dyDescent="0.25">
      <c r="A491" s="605" t="str">
        <f>'1pha'!F10</f>
        <v>[mm]mpthanhtreoruot4=52</v>
      </c>
    </row>
    <row r="492" spans="1:1" x14ac:dyDescent="0.25">
      <c r="A492" s="605" t="str">
        <f>'1pha'!F11</f>
        <v>[mm]mpthanhtreoruot5=4</v>
      </c>
    </row>
    <row r="493" spans="1:1" x14ac:dyDescent="0.25">
      <c r="A493" s="605" t="str">
        <f>'1pha'!F12</f>
        <v>[mm]mpthanhtreoruot6=12</v>
      </c>
    </row>
    <row r="494" spans="1:1" x14ac:dyDescent="0.25">
      <c r="A494" s="605" t="str">
        <f>'1pha'!F13</f>
        <v>[mm]mpthanhtreoruot7=30</v>
      </c>
    </row>
    <row r="495" spans="1:1" x14ac:dyDescent="0.25">
      <c r="A495" s="605" t="str">
        <f>'1pha'!F14</f>
        <v>[mm]mpthanhtreoruot8=425</v>
      </c>
    </row>
    <row r="496" spans="1:1" x14ac:dyDescent="0.25">
      <c r="A496" s="605" t="str">
        <f>'1pha'!F16</f>
        <v>[degrees]mpdebienmay1=55</v>
      </c>
    </row>
    <row r="497" spans="1:1" x14ac:dyDescent="0.25">
      <c r="A497" s="605" t="str">
        <f>'1pha'!F17</f>
        <v>[mm]mpdebienmay2=2</v>
      </c>
    </row>
    <row r="498" spans="1:1" x14ac:dyDescent="0.25">
      <c r="A498" s="605" t="str">
        <f>'1pha'!F18</f>
        <v>[mm]mpdebienmay3=104</v>
      </c>
    </row>
    <row r="499" spans="1:1" x14ac:dyDescent="0.25">
      <c r="A499" s="605" t="str">
        <f>'1pha'!F19</f>
        <v>[mm]mpdebienmay4=25</v>
      </c>
    </row>
    <row r="500" spans="1:1" x14ac:dyDescent="0.25">
      <c r="A500" s="605" t="str">
        <f>'1pha'!F20</f>
        <v>[mm]mpdebienmay5=200</v>
      </c>
    </row>
    <row r="501" spans="1:1" x14ac:dyDescent="0.25">
      <c r="A501" s="605" t="str">
        <f>'1pha'!F22</f>
        <v>[degrees]mpdelogo1=90</v>
      </c>
    </row>
    <row r="502" spans="1:1" x14ac:dyDescent="0.25">
      <c r="A502" s="605" t="str">
        <f>'1pha'!F23</f>
        <v>[mm]mpdelogo2=70</v>
      </c>
    </row>
    <row r="503" spans="1:1" x14ac:dyDescent="0.25">
      <c r="A503" s="605" t="str">
        <f>'1pha'!F24</f>
        <v>[mm]mpdelogo3=2</v>
      </c>
    </row>
    <row r="504" spans="1:1" x14ac:dyDescent="0.25">
      <c r="A504" s="605" t="str">
        <f>'1pha'!F25</f>
        <v>[mm]mpdelogo4=185</v>
      </c>
    </row>
    <row r="505" spans="1:1" x14ac:dyDescent="0.25">
      <c r="A505" s="605" t="str">
        <f>'1pha'!F26</f>
        <v>[mm]mpdelogo5=32</v>
      </c>
    </row>
    <row r="506" spans="1:1" x14ac:dyDescent="0.25">
      <c r="A506" s="605" t="str">
        <f>'1pha'!F28</f>
        <v>[degrees]mpnhancongsuat1=90</v>
      </c>
    </row>
    <row r="507" spans="1:1" x14ac:dyDescent="0.25">
      <c r="A507" s="605" t="str">
        <f>'1pha'!F29</f>
        <v>[mm]mpnhancongsuat2=2</v>
      </c>
    </row>
    <row r="508" spans="1:1" x14ac:dyDescent="0.25">
      <c r="A508" s="605" t="str">
        <f>'1pha'!F30</f>
        <v>[mm]mpnhancongsuat3=160</v>
      </c>
    </row>
    <row r="509" spans="1:1" x14ac:dyDescent="0.25">
      <c r="A509" s="605" t="str">
        <f>'1pha'!F31</f>
        <v>[mm]mpnhancongsuat4=31</v>
      </c>
    </row>
    <row r="510" spans="1:1" x14ac:dyDescent="0.25">
      <c r="A510" s="605" t="str">
        <f>'1pha'!F32</f>
        <v>[mm]mpnhancongsuat5=120</v>
      </c>
    </row>
    <row r="511" spans="1:1" x14ac:dyDescent="0.25">
      <c r="A511" s="605" t="str">
        <f>'1pha'!F34</f>
        <v>[degrees]mptiepdia1bentrong1=40</v>
      </c>
    </row>
    <row r="512" spans="1:1" x14ac:dyDescent="0.25">
      <c r="A512" s="605" t="str">
        <f>'1pha'!F35</f>
        <v>[mm]mptiepdia1bentrong2=100</v>
      </c>
    </row>
    <row r="513" spans="1:1" x14ac:dyDescent="0.25">
      <c r="A513" s="605" t="str">
        <f>'1pha'!F37</f>
        <v>[degrees]mptiepdia1benngoai1=30</v>
      </c>
    </row>
    <row r="514" spans="1:1" x14ac:dyDescent="0.25">
      <c r="A514" s="605" t="str">
        <f>'1pha'!F38</f>
        <v>[mm]mptiepdia1benngoai2=80</v>
      </c>
    </row>
    <row r="515" spans="1:1" x14ac:dyDescent="0.25">
      <c r="A515" s="605" t="str">
        <f>'1pha'!F41</f>
        <v>[degrees]mptiepdia2trenlogo1=30</v>
      </c>
    </row>
    <row r="516" spans="1:1" x14ac:dyDescent="0.25">
      <c r="A516" s="605" t="str">
        <f>'1pha'!F42</f>
        <v>[mm]mptiepdia2trenlogo2=270</v>
      </c>
    </row>
    <row r="517" spans="1:1" x14ac:dyDescent="0.25">
      <c r="A517" s="605" t="str">
        <f>'1pha'!F44</f>
        <v>[degrees]mptiepdia2duoiday1=35</v>
      </c>
    </row>
    <row r="518" spans="1:1" x14ac:dyDescent="0.25">
      <c r="A518" s="605" t="str">
        <f>'1pha'!F45</f>
        <v>[mm]mptiepdia2duoiday2=50</v>
      </c>
    </row>
    <row r="519" spans="1:1" x14ac:dyDescent="0.25">
      <c r="A519" s="605" t="str">
        <f>'1pha'!F47</f>
        <v>[degrees]mpmoccauthan1=10</v>
      </c>
    </row>
    <row r="520" spans="1:1" x14ac:dyDescent="0.25">
      <c r="A520" s="605" t="str">
        <f>'1pha'!F48</f>
        <v>[mm]mpmoccauthan2=80</v>
      </c>
    </row>
    <row r="521" spans="1:1" x14ac:dyDescent="0.25">
      <c r="A521" s="605" t="str">
        <f>'1pha'!F50</f>
        <v>[mm]mptaitreomay1=120</v>
      </c>
    </row>
    <row r="522" spans="1:1" x14ac:dyDescent="0.25">
      <c r="A522" s="605" t="str">
        <f>'1pha'!F51</f>
        <v>[mm]mptaitreomay2=300</v>
      </c>
    </row>
    <row r="523" spans="1:1" x14ac:dyDescent="0.25">
      <c r="A523" s="605" t="str">
        <f>'1pha'!F53</f>
        <v>[degrees]mpsuhathe1=43.5</v>
      </c>
    </row>
    <row r="524" spans="1:1" x14ac:dyDescent="0.25">
      <c r="A524" s="605" t="str">
        <f>'1pha'!F54</f>
        <v>mpsuhathe2=4</v>
      </c>
    </row>
    <row r="525" spans="1:1" x14ac:dyDescent="0.25">
      <c r="A525" s="605" t="str">
        <f>'1pha'!F55</f>
        <v>[degrees]mpsuhathe3=29</v>
      </c>
    </row>
    <row r="526" spans="1:1" x14ac:dyDescent="0.25">
      <c r="A526" s="605" t="str">
        <f>'1pha'!F56</f>
        <v>[mm]mpsuhathe4=160</v>
      </c>
    </row>
    <row r="527" spans="1:1" x14ac:dyDescent="0.25">
      <c r="A527" s="605" t="str">
        <f>'1pha'!F57</f>
        <v>[mm]mpsuhathe5=60</v>
      </c>
    </row>
    <row r="528" spans="1:1" x14ac:dyDescent="0.25">
      <c r="A528" s="605" t="str">
        <f>'1pha'!F58</f>
        <v>[mm]mpsuhathe6=41</v>
      </c>
    </row>
    <row r="529" spans="1:1" x14ac:dyDescent="0.25">
      <c r="A529" s="605" t="str">
        <f>'1pha'!F59</f>
        <v>[mm]mpsuhathe7=61</v>
      </c>
    </row>
    <row r="530" spans="1:1" x14ac:dyDescent="0.25">
      <c r="A530" s="605" t="str">
        <f>'1pha'!F60</f>
        <v>[mm]mpsuhathe8=2.5</v>
      </c>
    </row>
    <row r="531" spans="1:1" x14ac:dyDescent="0.25">
      <c r="A531" s="605" t="str">
        <f>'1pha'!F61</f>
        <v>[mm]mpsuhathe9=70</v>
      </c>
    </row>
    <row r="532" spans="1:1" x14ac:dyDescent="0.25">
      <c r="A532" s="605" t="str">
        <f>'1pha'!F64</f>
        <v>[degrees]mplodieuchinh1=38</v>
      </c>
    </row>
    <row r="533" spans="1:1" x14ac:dyDescent="0.25">
      <c r="A533" s="605" t="str">
        <f>'1pha'!F65</f>
        <v>[mm]mplodieuchinh2=180</v>
      </c>
    </row>
    <row r="534" spans="1:1" x14ac:dyDescent="0.25">
      <c r="A534" s="605" t="str">
        <f>'1pha'!F66</f>
        <v>[mm]mplodieuchinh3=70</v>
      </c>
    </row>
    <row r="535" spans="1:1" x14ac:dyDescent="0.25">
      <c r="A535" s="605" t="str">
        <f>'1pha'!F67</f>
        <v>[mm]mplodieuchinh4=65</v>
      </c>
    </row>
    <row r="536" spans="1:1" x14ac:dyDescent="0.25">
      <c r="A536" s="605" t="str">
        <f>'1pha'!F68</f>
        <v>[mm]mplodieuchinh5=60</v>
      </c>
    </row>
    <row r="537" spans="1:1" x14ac:dyDescent="0.25">
      <c r="A537" s="605" t="str">
        <f>'1pha'!F69</f>
        <v>[mm]mplodieuchinh6=34</v>
      </c>
    </row>
    <row r="538" spans="1:1" x14ac:dyDescent="0.25">
      <c r="A538" s="605" t="str">
        <f>'1pha'!F70</f>
        <v>[mm]mplodieuchinh7=7</v>
      </c>
    </row>
    <row r="539" spans="1:1" x14ac:dyDescent="0.25">
      <c r="A539" s="605" t="str">
        <f>'1pha'!F71</f>
        <v>[mm]mplodieuchinh8=30</v>
      </c>
    </row>
    <row r="540" spans="1:1" x14ac:dyDescent="0.25">
      <c r="A540" s="605" t="str">
        <f>'1pha'!F73</f>
        <v>[degrees]mpvangiamap1=38</v>
      </c>
    </row>
    <row r="541" spans="1:1" x14ac:dyDescent="0.25">
      <c r="A541" s="605" t="str">
        <f>'1pha'!F74</f>
        <v>[mm]mpvangiamap2=60</v>
      </c>
    </row>
    <row r="542" spans="1:1" x14ac:dyDescent="0.25">
      <c r="A542" s="605" t="str">
        <f>'1pha'!F76</f>
        <v>[mm]mpmucdodau1=95</v>
      </c>
    </row>
    <row r="543" spans="1:1" x14ac:dyDescent="0.25">
      <c r="A543" s="605" t="str">
        <f>'1pha'!F77</f>
        <v>[mm]mpmucdodau2=80</v>
      </c>
    </row>
    <row r="544" spans="1:1" x14ac:dyDescent="0.25">
      <c r="A544" s="605" t="str">
        <f>'1pha'!F79</f>
        <v>[mm]mpdaymay1=15</v>
      </c>
    </row>
    <row r="545" spans="1:1" x14ac:dyDescent="0.25">
      <c r="A545" s="605" t="str">
        <f>'1pha'!F80</f>
        <v>[degrees]mpdaymay2=110</v>
      </c>
    </row>
    <row r="546" spans="1:1" x14ac:dyDescent="0.25">
      <c r="A546" s="605" t="str">
        <f>'1pha'!F84</f>
        <v>[mm]mpnapmay1=462</v>
      </c>
    </row>
    <row r="547" spans="1:1" x14ac:dyDescent="0.25">
      <c r="A547" s="605" t="str">
        <f>'1pha'!F85</f>
        <v>[mm]mpnapmay2=46</v>
      </c>
    </row>
    <row r="548" spans="1:1" x14ac:dyDescent="0.25">
      <c r="A548" s="605" t="str">
        <f>'1pha'!F86</f>
        <v>[mm]mpnapmay3=2.5</v>
      </c>
    </row>
    <row r="549" spans="1:1" x14ac:dyDescent="0.25">
      <c r="A549" s="605" t="str">
        <f>'1pha'!F87</f>
        <v>[mm]mpnapmay4=20</v>
      </c>
    </row>
    <row r="550" spans="1:1" x14ac:dyDescent="0.25">
      <c r="A550" s="605" t="str">
        <f>'1pha'!F88</f>
        <v>[mm]mpnapmay5=486</v>
      </c>
    </row>
    <row r="551" spans="1:1" x14ac:dyDescent="0.25">
      <c r="A551" s="605" t="str">
        <f>'1pha'!F89</f>
        <v>[mm]mpnapmay6=130</v>
      </c>
    </row>
    <row r="552" spans="1:1" x14ac:dyDescent="0.25">
      <c r="A552" s="605" t="str">
        <f>'1pha'!F90</f>
        <v>[mm]mpnapmay7=60</v>
      </c>
    </row>
    <row r="553" spans="1:1" x14ac:dyDescent="0.25">
      <c r="A553" s="605" t="str">
        <f>'1pha'!F91</f>
        <v>[mm]mpnapmay8=97</v>
      </c>
    </row>
    <row r="554" spans="1:1" x14ac:dyDescent="0.25">
      <c r="A554" s="605" t="str">
        <f>'1pha'!F92</f>
        <v>[degrees]mpnapmay9=5</v>
      </c>
    </row>
    <row r="555" spans="1:1" x14ac:dyDescent="0.25">
      <c r="A555" s="605" t="str">
        <f>'1pha'!F93</f>
        <v>[mm]mpnapmay10=2.5</v>
      </c>
    </row>
    <row r="556" spans="1:1" x14ac:dyDescent="0.25">
      <c r="A556" s="605" t="str">
        <f>'1pha'!F94</f>
        <v>[mm]mpnapmay11=66</v>
      </c>
    </row>
    <row r="557" spans="1:1" x14ac:dyDescent="0.25">
      <c r="A557" s="605" t="str">
        <f>'1pha'!F95</f>
        <v>[degrees]mpnapmay12=30</v>
      </c>
    </row>
    <row r="558" spans="1:1" x14ac:dyDescent="0.25">
      <c r="A558" s="605" t="str">
        <f>'1pha'!F81</f>
        <v>[mm]mpdaymay3=3</v>
      </c>
    </row>
    <row r="559" spans="1:1" x14ac:dyDescent="0.25">
      <c r="A559" s="605" t="str">
        <f>'1pha'!F82</f>
        <v>[mm]mpdaymay4=30</v>
      </c>
    </row>
    <row r="560" spans="1:1" x14ac:dyDescent="0.25">
      <c r="A560" s="605" t="str">
        <f>'1pha'!F39</f>
        <v>[mm]mptiepdia1benngoai3=15</v>
      </c>
    </row>
    <row r="561" spans="1:1" x14ac:dyDescent="0.25">
      <c r="A561" s="605" t="str">
        <f>'1pha'!F97</f>
        <v>[mm]mpcanhmay1=140</v>
      </c>
    </row>
    <row r="562" spans="1:1" x14ac:dyDescent="0.25">
      <c r="A562" s="605" t="str">
        <f>'1pha'!F98</f>
        <v>[mm]mpcanhmay2=45</v>
      </c>
    </row>
    <row r="563" spans="1:1" x14ac:dyDescent="0.25">
      <c r="A563" s="605" t="str">
        <f>'1pha'!F99</f>
        <v>[mm]mpcanhmay3=500</v>
      </c>
    </row>
    <row r="564" spans="1:1" x14ac:dyDescent="0.25">
      <c r="A564" s="605" t="str">
        <f>'1pha'!F100</f>
        <v>[mm]mpcanhmay4=1.2</v>
      </c>
    </row>
    <row r="565" spans="1:1" x14ac:dyDescent="0.25">
      <c r="A565" s="605" t="str">
        <f>'1pha'!F101</f>
        <v>[mm]mpcanhmay5=25</v>
      </c>
    </row>
    <row r="566" spans="1:1" x14ac:dyDescent="0.25">
      <c r="A566" s="605" t="str">
        <f>'1pha'!F102</f>
        <v>mpcanhmay6=7</v>
      </c>
    </row>
    <row r="567" spans="1:1" x14ac:dyDescent="0.25">
      <c r="A567" s="605" t="str">
        <f>'1pha'!F103</f>
        <v>[mm]mpcanhmay7=320</v>
      </c>
    </row>
    <row r="568" spans="1:1" x14ac:dyDescent="0.25">
      <c r="A568" s="605" t="str">
        <f>'1pha'!F104</f>
        <v>[degrees]mpcanhmay8=6.29623950693212</v>
      </c>
    </row>
    <row r="569" spans="1:1" x14ac:dyDescent="0.25">
      <c r="A569" s="605" t="str">
        <f>'1pha'!F105</f>
        <v>[degrees]mpcanhmay9=80.5918656887312</v>
      </c>
    </row>
    <row r="570" spans="1:1" x14ac:dyDescent="0.25">
      <c r="A570" s="605" t="str">
        <f>'1pha'!F106</f>
        <v>[degrees]mpcanhmay10=11.3332311124778</v>
      </c>
    </row>
    <row r="571" spans="1:1" x14ac:dyDescent="0.25">
      <c r="A571" s="605" t="str">
        <f>'1pha'!F107</f>
        <v>[mm]mpcanhmay11=300</v>
      </c>
    </row>
    <row r="572" spans="1:1" x14ac:dyDescent="0.25">
      <c r="A572" s="605" t="str">
        <f>'1pha'!F108</f>
        <v>[degrees]mpcanhmay12=75.5548740831855</v>
      </c>
    </row>
    <row r="573" spans="1:1" x14ac:dyDescent="0.25">
      <c r="A573" s="605" t="str">
        <f>'1pha'!F110</f>
        <v>[mm]mpsatkeptren1=149</v>
      </c>
    </row>
    <row r="574" spans="1:1" x14ac:dyDescent="0.25">
      <c r="A574" s="605" t="str">
        <f>'1pha'!F111</f>
        <v>[mm]mpsatkeptren2=36</v>
      </c>
    </row>
    <row r="575" spans="1:1" x14ac:dyDescent="0.25">
      <c r="A575" s="605" t="str">
        <f>'1pha'!F117</f>
        <v>[mm]mpsatkepduoi1=153</v>
      </c>
    </row>
    <row r="576" spans="1:1" x14ac:dyDescent="0.25">
      <c r="A576" s="605" t="str">
        <f>'1pha'!F118</f>
        <v>[mm]mpsatkepduoi2=455</v>
      </c>
    </row>
    <row r="577" spans="1:1" x14ac:dyDescent="0.25">
      <c r="A577" s="605" t="str">
        <f>'1pha'!F119</f>
        <v>[mm]mpsatkepduoi3=68</v>
      </c>
    </row>
    <row r="578" spans="1:1" x14ac:dyDescent="0.25">
      <c r="A578" s="605" t="str">
        <f>'1pha'!F120</f>
        <v>[mm]mpsatkepduoi4=410</v>
      </c>
    </row>
    <row r="579" spans="1:1" x14ac:dyDescent="0.25">
      <c r="A579" s="605" t="str">
        <f>'1pha'!F121</f>
        <v>[mm]mpsatkepduoi5=25</v>
      </c>
    </row>
    <row r="580" spans="1:1" x14ac:dyDescent="0.25">
      <c r="A580" s="605" t="str">
        <f>'1pha'!F122</f>
        <v>[mm]mpsatkepduoi6=12</v>
      </c>
    </row>
    <row r="581" spans="1:1" x14ac:dyDescent="0.25">
      <c r="A581" s="605" t="str">
        <f>'1pha'!F123</f>
        <v>[mm]mpsatkepduoi7=30</v>
      </c>
    </row>
    <row r="582" spans="1:1" x14ac:dyDescent="0.25">
      <c r="A582" s="605" t="str">
        <f>'1pha'!F124</f>
        <v>[mm]mpsatkepduoi8=35</v>
      </c>
    </row>
    <row r="583" spans="1:1" x14ac:dyDescent="0.25">
      <c r="A583" s="605" t="str">
        <f>'1pha'!F128</f>
        <v>[mm]mpBia1=512.5</v>
      </c>
    </row>
    <row r="584" spans="1:1" x14ac:dyDescent="0.25">
      <c r="A584" s="605" t="str">
        <f>'1pha'!F129</f>
        <v>[mm]mpBia2=153</v>
      </c>
    </row>
    <row r="585" spans="1:1" x14ac:dyDescent="0.25">
      <c r="A585" s="605" t="str">
        <f>'1pha'!F130</f>
        <v>[mm]mpBia3=153</v>
      </c>
    </row>
    <row r="586" spans="1:1" x14ac:dyDescent="0.25">
      <c r="A586" s="605" t="str">
        <f>'1pha'!F131</f>
        <v>[mm]mpBia4=-5</v>
      </c>
    </row>
    <row r="587" spans="1:1" x14ac:dyDescent="0.25">
      <c r="A587" s="605" t="str">
        <f>'1pha'!F112</f>
        <v>[mm]mpsatkeptren3=25</v>
      </c>
    </row>
    <row r="588" spans="1:1" x14ac:dyDescent="0.25">
      <c r="A588" s="605" t="str">
        <f>'1pha'!F134</f>
        <v>[mm]mpDQ1=626</v>
      </c>
    </row>
  </sheetData>
  <sheetProtection formatCells="0" formatColumns="0" formatRows="0" insertColumns="0" insertRows="0" insertHyperlinks="0" deleteColumns="0" deleteRows="0" sort="0" autoFilter="0" pivotTables="0"/>
  <sortState ref="A3:A388">
    <sortCondition ref="A13"/>
  </sortState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tabSelected="1" workbookViewId="0"/>
  </sheetViews>
  <sheetFormatPr defaultRowHeight="15" x14ac:dyDescent="0.25"/>
  <cols>
    <col min="1" max="16384" width="9.140625" style="1218"/>
  </cols>
  <sheetData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62"/>
  <sheetViews>
    <sheetView zoomScale="70" zoomScaleNormal="70" workbookViewId="0">
      <selection sqref="A1:XFD1048576"/>
    </sheetView>
  </sheetViews>
  <sheetFormatPr defaultRowHeight="15" x14ac:dyDescent="0.25"/>
  <cols>
    <col min="1" max="1" width="61.140625" style="1109" customWidth="1"/>
    <col min="2" max="2" width="18.5703125" style="1109" customWidth="1"/>
    <col min="3" max="3" width="16.85546875" style="1109" customWidth="1"/>
    <col min="4" max="4" width="46.140625" style="1109" customWidth="1"/>
    <col min="5" max="5" width="13.85546875" style="1109" customWidth="1"/>
    <col min="6" max="6" width="12" style="1109" customWidth="1"/>
    <col min="7" max="7" width="47" style="1109" customWidth="1"/>
    <col min="8" max="16384" width="9.140625" style="1109"/>
  </cols>
  <sheetData>
    <row r="1" spans="1:17" ht="16.5" thickTop="1" thickBot="1" x14ac:dyDescent="0.3">
      <c r="A1" s="3" t="s">
        <v>138</v>
      </c>
      <c r="B1" s="346">
        <f>'[5]Ban tinh'!C49</f>
        <v>2052.8193444504759</v>
      </c>
      <c r="C1" s="1"/>
      <c r="D1" s="212" t="s">
        <v>1093</v>
      </c>
      <c r="E1" s="641">
        <f>'[5]Bang ke vat tu'!G33</f>
        <v>573.07706849983992</v>
      </c>
    </row>
    <row r="2" spans="1:17" ht="16.5" thickTop="1" thickBot="1" x14ac:dyDescent="0.3">
      <c r="A2" s="3"/>
      <c r="B2" s="3"/>
      <c r="C2" s="3"/>
      <c r="D2" s="212" t="s">
        <v>1094</v>
      </c>
      <c r="E2" s="641">
        <f>'[5]Bang ke vat tu'!G34</f>
        <v>50.579374740479999</v>
      </c>
    </row>
    <row r="3" spans="1:17" ht="16.5" thickTop="1" thickBot="1" x14ac:dyDescent="0.3">
      <c r="A3" s="347" t="s">
        <v>1095</v>
      </c>
      <c r="B3" s="4">
        <f>IF('[5]Ban tinh'!K60="cánh góc",1,2)</f>
        <v>2</v>
      </c>
      <c r="D3" s="348" t="s">
        <v>213</v>
      </c>
      <c r="G3" s="348" t="s">
        <v>273</v>
      </c>
    </row>
    <row r="4" spans="1:17" ht="17.25" thickTop="1" thickBot="1" x14ac:dyDescent="0.3">
      <c r="A4" s="767" t="s">
        <v>1135</v>
      </c>
      <c r="B4" s="349">
        <f>'[5]Ban tinh'!C71</f>
        <v>380</v>
      </c>
      <c r="C4" s="349">
        <f>'[5]Ban tinh'!E71</f>
        <v>380</v>
      </c>
      <c r="D4" s="212" t="s">
        <v>217</v>
      </c>
      <c r="E4" s="350">
        <f>B4</f>
        <v>380</v>
      </c>
      <c r="G4" s="212" t="s">
        <v>217</v>
      </c>
      <c r="H4" s="351">
        <v>180</v>
      </c>
    </row>
    <row r="5" spans="1:17" ht="17.25" thickTop="1" thickBot="1" x14ac:dyDescent="0.3">
      <c r="A5" s="767" t="s">
        <v>1136</v>
      </c>
      <c r="B5" s="349">
        <f>'[5]Ban tinh'!B71</f>
        <v>380</v>
      </c>
      <c r="C5" s="349">
        <f>'[5]Ban tinh'!D71</f>
        <v>380</v>
      </c>
      <c r="D5" s="212" t="s">
        <v>216</v>
      </c>
      <c r="E5" s="350">
        <f>B5</f>
        <v>380</v>
      </c>
      <c r="G5" s="212" t="s">
        <v>216</v>
      </c>
      <c r="H5" s="351">
        <v>180</v>
      </c>
    </row>
    <row r="6" spans="1:17" ht="16.5" thickTop="1" thickBot="1" x14ac:dyDescent="0.3">
      <c r="A6" s="4" t="s">
        <v>92</v>
      </c>
      <c r="B6" s="349">
        <f>'[5]Ban tinh'!B72</f>
        <v>600</v>
      </c>
      <c r="C6" s="3"/>
    </row>
    <row r="7" spans="1:17" ht="16.5" thickTop="1" thickBot="1" x14ac:dyDescent="0.3">
      <c r="A7" s="212" t="s">
        <v>266</v>
      </c>
      <c r="B7" s="352">
        <f>'[5]Ban tinh'!D71</f>
        <v>380</v>
      </c>
      <c r="C7" s="3"/>
    </row>
    <row r="8" spans="1:17" ht="16.5" thickTop="1" thickBot="1" x14ac:dyDescent="0.3">
      <c r="A8" s="212" t="s">
        <v>265</v>
      </c>
      <c r="B8" s="352">
        <f>'[5]Ban tinh'!B71</f>
        <v>380</v>
      </c>
      <c r="C8" s="3"/>
    </row>
    <row r="9" spans="1:17" ht="17.25" thickTop="1" thickBot="1" x14ac:dyDescent="0.3">
      <c r="A9" s="213" t="s">
        <v>1096</v>
      </c>
      <c r="B9" s="352">
        <f>'[5]Ban tinh'!L61</f>
        <v>45</v>
      </c>
      <c r="C9" s="352">
        <f>'[5]Ban tinh'!L62</f>
        <v>45</v>
      </c>
    </row>
    <row r="10" spans="1:17" ht="16.5" thickTop="1" thickBot="1" x14ac:dyDescent="0.3">
      <c r="A10" s="353" t="s">
        <v>17</v>
      </c>
      <c r="B10" s="3"/>
      <c r="C10" s="3"/>
      <c r="D10" s="353" t="s">
        <v>549</v>
      </c>
      <c r="E10" s="350" t="str">
        <f>IF('[5]Ban tinh'!P16="T","Thường",IF('[5]Ban tinh'!P16="P","Plugin","Sai"))</f>
        <v>Thường</v>
      </c>
      <c r="G10" s="642"/>
    </row>
    <row r="11" spans="1:17" ht="17.25" thickTop="1" thickBot="1" x14ac:dyDescent="0.3">
      <c r="A11" s="5" t="s">
        <v>162</v>
      </c>
      <c r="B11" s="643">
        <f>ROUND('[5]Ban tinh'!F47,0)</f>
        <v>1390</v>
      </c>
      <c r="C11" s="3"/>
      <c r="D11" s="213" t="s">
        <v>550</v>
      </c>
      <c r="E11" s="350">
        <f>'[5]Ban tinh'!Q16</f>
        <v>4</v>
      </c>
    </row>
    <row r="12" spans="1:17" ht="16.5" thickTop="1" thickBot="1" x14ac:dyDescent="0.3">
      <c r="A12" s="5" t="s">
        <v>163</v>
      </c>
      <c r="B12" s="643">
        <f>ROUND('[5]Ban tinh'!F48,0)</f>
        <v>509</v>
      </c>
      <c r="C12" s="3"/>
    </row>
    <row r="13" spans="1:17" ht="17.25" thickTop="1" thickBot="1" x14ac:dyDescent="0.3">
      <c r="A13" s="5" t="s">
        <v>164</v>
      </c>
      <c r="B13" s="643">
        <f>'[5]Ban tinh'!F49</f>
        <v>785</v>
      </c>
      <c r="C13" s="3"/>
      <c r="D13" s="1234" t="s">
        <v>551</v>
      </c>
      <c r="E13" s="1235"/>
      <c r="F13" s="1235"/>
      <c r="G13" s="1235"/>
      <c r="H13" s="1235"/>
      <c r="I13" s="1236"/>
      <c r="L13" s="341">
        <v>20</v>
      </c>
      <c r="M13" s="1130" t="s">
        <v>642</v>
      </c>
      <c r="N13" s="1130"/>
      <c r="O13" s="1130"/>
      <c r="P13" s="1130"/>
      <c r="Q13" s="1130"/>
    </row>
    <row r="14" spans="1:17" ht="17.25" thickTop="1" thickBot="1" x14ac:dyDescent="0.3">
      <c r="B14" s="354"/>
      <c r="C14" s="3"/>
      <c r="D14" s="214" t="s">
        <v>552</v>
      </c>
      <c r="E14" s="203">
        <f>'[5]Ban tinh'!G24</f>
        <v>350</v>
      </c>
      <c r="F14" s="202"/>
      <c r="G14" s="202" t="s">
        <v>848</v>
      </c>
      <c r="H14" s="203">
        <f>'[5]Ban tinh'!C25</f>
        <v>2860</v>
      </c>
      <c r="I14" s="203">
        <f>'[5]Ban tinh'!D25</f>
        <v>136.19</v>
      </c>
      <c r="L14" s="341">
        <v>19</v>
      </c>
      <c r="M14" s="1130" t="s">
        <v>643</v>
      </c>
      <c r="N14" s="1130"/>
      <c r="O14" s="1130"/>
      <c r="P14" s="1130"/>
      <c r="Q14" s="1130"/>
    </row>
    <row r="15" spans="1:17" ht="17.25" thickTop="1" thickBot="1" x14ac:dyDescent="0.3">
      <c r="A15" s="212" t="s">
        <v>238</v>
      </c>
      <c r="B15" s="355">
        <f>'[5]Ban tinh'!I62</f>
        <v>0.89</v>
      </c>
      <c r="C15" s="3"/>
      <c r="D15" s="214" t="s">
        <v>553</v>
      </c>
      <c r="E15" s="356">
        <f>'[5]Ban tinh'!F25</f>
        <v>152</v>
      </c>
      <c r="F15" s="203">
        <f>'[5]Ban tinh'!G25</f>
        <v>186.21713368932572</v>
      </c>
      <c r="G15" s="203" t="s">
        <v>849</v>
      </c>
      <c r="H15" s="357">
        <f>'[5]Ban tinh'!B65</f>
        <v>1.9</v>
      </c>
      <c r="I15" s="357">
        <f>'[5]Ban tinh'!C65</f>
        <v>1.9</v>
      </c>
      <c r="J15" s="357">
        <f>'[5]Ban tinh'!B66</f>
        <v>0</v>
      </c>
      <c r="K15" s="357">
        <f>'[5]Ban tinh'!C66</f>
        <v>0</v>
      </c>
      <c r="L15" s="341">
        <v>18</v>
      </c>
      <c r="M15" s="1130" t="s">
        <v>644</v>
      </c>
      <c r="N15" s="1131">
        <f>$E$39</f>
        <v>43.5</v>
      </c>
      <c r="O15" s="1130"/>
      <c r="P15" s="1131">
        <f>[1]Sheet5!$E$38</f>
        <v>10</v>
      </c>
      <c r="Q15" s="1130"/>
    </row>
    <row r="16" spans="1:17" ht="17.25" thickTop="1" thickBot="1" x14ac:dyDescent="0.3">
      <c r="A16" s="212" t="s">
        <v>237</v>
      </c>
      <c r="B16" s="358">
        <f>'[5]Ban tinh'!C48</f>
        <v>623.75332822086784</v>
      </c>
      <c r="C16" s="3"/>
      <c r="D16" s="214" t="s">
        <v>554</v>
      </c>
      <c r="E16" s="356">
        <f>'[5]Ban tinh'!F26</f>
        <v>260.96960000000001</v>
      </c>
      <c r="F16" s="203">
        <f>'[5]Ban tinh'!G26</f>
        <v>295.18673368932571</v>
      </c>
      <c r="G16" s="203" t="s">
        <v>850</v>
      </c>
      <c r="H16" s="499">
        <f>'[5]Ban tinh'!J27</f>
        <v>0.15</v>
      </c>
      <c r="I16" s="203"/>
      <c r="L16" s="341">
        <v>17</v>
      </c>
      <c r="M16" s="1130" t="s">
        <v>645</v>
      </c>
      <c r="N16" s="1131">
        <f>[1]Sheet5!$E$41</f>
        <v>0</v>
      </c>
      <c r="O16" s="1130"/>
      <c r="P16" s="1131">
        <f>[1]Sheet5!$E$40</f>
        <v>0</v>
      </c>
      <c r="Q16" s="1130"/>
    </row>
    <row r="17" spans="1:17" ht="17.25" thickTop="1" thickBot="1" x14ac:dyDescent="0.3">
      <c r="A17" s="212" t="s">
        <v>118</v>
      </c>
      <c r="B17" s="358">
        <f>'[5]Ban tinh'!B3</f>
        <v>303</v>
      </c>
      <c r="C17" s="3"/>
      <c r="D17" s="215" t="s">
        <v>555</v>
      </c>
      <c r="E17" s="356">
        <f>'[5]Ban tinh'!F27</f>
        <v>54.4848</v>
      </c>
      <c r="F17" s="356">
        <f>'[5]Ban tinh'!G27</f>
        <v>54.4848</v>
      </c>
      <c r="G17" s="356" t="s">
        <v>851</v>
      </c>
      <c r="H17" s="356">
        <f>'[5]Ban tinh'!D65</f>
        <v>1</v>
      </c>
      <c r="I17" s="356">
        <f>'[5]Ban tinh'!E65</f>
        <v>1</v>
      </c>
      <c r="J17" s="356">
        <f>'[5]Ban tinh'!D66</f>
        <v>0</v>
      </c>
      <c r="K17" s="356">
        <f>'[5]Ban tinh'!E66</f>
        <v>0</v>
      </c>
      <c r="L17" s="341">
        <v>16</v>
      </c>
      <c r="M17" s="1130" t="s">
        <v>646</v>
      </c>
      <c r="N17" s="1132">
        <f>[1]Sheet5!$E$23</f>
        <v>370</v>
      </c>
      <c r="O17" s="1130"/>
      <c r="P17" s="1132">
        <f>[1]Sheet5!$E$14</f>
        <v>370</v>
      </c>
      <c r="Q17" s="1130"/>
    </row>
    <row r="18" spans="1:17" ht="17.25" thickTop="1" thickBot="1" x14ac:dyDescent="0.3">
      <c r="A18" s="212" t="s">
        <v>120</v>
      </c>
      <c r="B18" s="359">
        <f>'[5]Ban tinh'!B4/1000</f>
        <v>17.5</v>
      </c>
      <c r="C18" s="1"/>
      <c r="D18" s="215" t="s">
        <v>4377</v>
      </c>
      <c r="E18" s="357">
        <f>'[5]Ban tinh'!C28</f>
        <v>2</v>
      </c>
      <c r="F18" s="357">
        <f>'[5]Ban tinh'!B28</f>
        <v>2</v>
      </c>
      <c r="G18" s="357" t="s">
        <v>852</v>
      </c>
      <c r="H18" s="357">
        <f>ROUND('[5]Ban tinh'!F28,0)</f>
        <v>546</v>
      </c>
      <c r="I18" s="357">
        <f>ROUND('[5]Ban tinh'!G28,0)</f>
        <v>888</v>
      </c>
      <c r="L18" s="341">
        <v>15</v>
      </c>
      <c r="M18" s="1130" t="s">
        <v>647</v>
      </c>
      <c r="N18" s="1131">
        <f>[1]Sheet5!$I$28</f>
        <v>1217.9587434800001</v>
      </c>
      <c r="O18" s="1130"/>
      <c r="P18" s="1133"/>
      <c r="Q18" s="1130"/>
    </row>
    <row r="19" spans="1:17" ht="17.25" thickTop="1" thickBot="1" x14ac:dyDescent="0.3">
      <c r="A19" s="212" t="s">
        <v>606</v>
      </c>
      <c r="B19" s="355">
        <f>'[5]Ban tinh'!K4</f>
        <v>9.9967007588254688</v>
      </c>
      <c r="C19" s="1"/>
      <c r="D19" s="215" t="s">
        <v>4378</v>
      </c>
      <c r="E19" s="356">
        <f>'[5]Ban tinh'!C29</f>
        <v>4.5</v>
      </c>
      <c r="F19" s="356">
        <f>'[5]Ban tinh'!D28</f>
        <v>2</v>
      </c>
      <c r="G19" s="214" t="s">
        <v>1097</v>
      </c>
      <c r="H19" s="356">
        <f>'[5]Ban tinh'!F65</f>
        <v>167.68536922493391</v>
      </c>
      <c r="I19" s="356">
        <f>'[5]Ban tinh'!F66</f>
        <v>0</v>
      </c>
      <c r="L19" s="341">
        <v>14</v>
      </c>
      <c r="M19" s="1130" t="s">
        <v>648</v>
      </c>
      <c r="N19" s="1131">
        <f>[1]Sheet5!$H$28</f>
        <v>980.89187959999992</v>
      </c>
      <c r="O19" s="1130"/>
      <c r="P19" s="1133"/>
      <c r="Q19" s="1130"/>
    </row>
    <row r="20" spans="1:17" ht="17.25" thickTop="1" thickBot="1" x14ac:dyDescent="0.3">
      <c r="A20" s="212" t="s">
        <v>607</v>
      </c>
      <c r="B20" s="355">
        <f>'[5]Ban tinh'!K5</f>
        <v>9.9967007588254688</v>
      </c>
      <c r="C20" s="1"/>
      <c r="D20" s="215" t="s">
        <v>557</v>
      </c>
      <c r="E20" s="356">
        <f>'[5]Ban tinh'!G21</f>
        <v>15</v>
      </c>
      <c r="F20" s="202"/>
      <c r="G20" s="214" t="s">
        <v>1137</v>
      </c>
      <c r="H20" s="356">
        <f>'[5]Ban tinh'!L27</f>
        <v>0.06</v>
      </c>
      <c r="I20" s="768" t="str">
        <f>'[5]Ban tinh'!I26</f>
        <v>Cu</v>
      </c>
      <c r="L20" s="341">
        <v>13</v>
      </c>
      <c r="M20" s="1130" t="s">
        <v>649</v>
      </c>
      <c r="N20" s="1134"/>
      <c r="O20" s="1130"/>
      <c r="P20" s="1135">
        <f>P19-5</f>
        <v>-5</v>
      </c>
      <c r="Q20" s="1130"/>
    </row>
    <row r="21" spans="1:17" ht="17.25" thickTop="1" thickBot="1" x14ac:dyDescent="0.3">
      <c r="A21" s="769" t="s">
        <v>1138</v>
      </c>
      <c r="B21" s="355" t="str">
        <f>'[5]Ban tinh'!E3</f>
        <v>Yyn0</v>
      </c>
      <c r="C21" s="1"/>
      <c r="L21" s="341">
        <v>12</v>
      </c>
      <c r="M21" s="1130" t="s">
        <v>556</v>
      </c>
      <c r="N21" s="1130"/>
      <c r="O21" s="1130"/>
      <c r="P21" s="1130"/>
      <c r="Q21" s="1130"/>
    </row>
    <row r="22" spans="1:17" ht="17.25" thickTop="1" thickBot="1" x14ac:dyDescent="0.3">
      <c r="A22" s="13" t="s">
        <v>257</v>
      </c>
      <c r="B22" s="355">
        <f>'[5]Ban tinh'!I64</f>
        <v>30</v>
      </c>
      <c r="C22" s="3"/>
      <c r="D22" s="1237" t="s">
        <v>558</v>
      </c>
      <c r="E22" s="1238"/>
      <c r="F22" s="1238"/>
      <c r="G22" s="1238"/>
      <c r="H22" s="1238"/>
      <c r="I22" s="1239"/>
      <c r="J22" s="203">
        <f>IF('[5]Ban tinh'!A5="HV2",2,1)</f>
        <v>1</v>
      </c>
      <c r="L22" s="341">
        <v>11</v>
      </c>
      <c r="M22" s="1130" t="s">
        <v>650</v>
      </c>
      <c r="N22" s="1130"/>
      <c r="O22" s="1130"/>
      <c r="P22" s="1130"/>
      <c r="Q22" s="1130"/>
    </row>
    <row r="23" spans="1:17" ht="17.25" thickTop="1" thickBot="1" x14ac:dyDescent="0.3">
      <c r="A23" s="3"/>
      <c r="B23" s="355">
        <f>'[5]Ban tinh'!J64</f>
        <v>3</v>
      </c>
      <c r="C23" s="3"/>
      <c r="D23" s="214" t="s">
        <v>552</v>
      </c>
      <c r="E23" s="203">
        <f>'[5]Ban tinh'!G33</f>
        <v>350</v>
      </c>
      <c r="F23" s="202"/>
      <c r="G23" s="214" t="s">
        <v>4349</v>
      </c>
      <c r="H23" s="203">
        <f>'[5]Ban tinh'!B33</f>
        <v>22</v>
      </c>
      <c r="I23" s="203">
        <f>'[5]Ban tinh'!C33</f>
        <v>0</v>
      </c>
      <c r="L23" s="341">
        <v>10</v>
      </c>
      <c r="M23" s="1130" t="s">
        <v>651</v>
      </c>
      <c r="N23" s="1130"/>
      <c r="O23" s="1130"/>
      <c r="P23" s="1130"/>
      <c r="Q23" s="1130"/>
    </row>
    <row r="24" spans="1:17" ht="17.25" thickTop="1" thickBot="1" x14ac:dyDescent="0.3">
      <c r="A24" s="13" t="s">
        <v>256</v>
      </c>
      <c r="B24" s="355">
        <f>'[5]Ban tinh'!F25</f>
        <v>152</v>
      </c>
      <c r="C24" s="3"/>
      <c r="D24" s="214" t="s">
        <v>553</v>
      </c>
      <c r="E24" s="356">
        <f>'[5]Ban tinh'!G34</f>
        <v>290.96960000000001</v>
      </c>
      <c r="F24" s="356">
        <f>'[5]Ban tinh'!H34</f>
        <v>325.18673368932571</v>
      </c>
      <c r="G24" s="203" t="s">
        <v>849</v>
      </c>
      <c r="H24" s="356">
        <f>'[5]Ban tinh'!J34</f>
        <v>1.9</v>
      </c>
      <c r="I24" s="356">
        <f>'[5]Ban tinh'!L34</f>
        <v>1.9</v>
      </c>
      <c r="L24" s="341">
        <v>9</v>
      </c>
      <c r="M24" s="1130" t="s">
        <v>652</v>
      </c>
      <c r="N24" s="1131">
        <f>[1]Sheet5!$H$25</f>
        <v>0.1875</v>
      </c>
      <c r="O24" s="1131">
        <f>E31</f>
        <v>927</v>
      </c>
      <c r="P24" s="1136">
        <f>[1]Sheet5!$H$16</f>
        <v>0.20499999999999999</v>
      </c>
      <c r="Q24" s="1130" t="s">
        <v>663</v>
      </c>
    </row>
    <row r="25" spans="1:17" ht="17.25" thickTop="1" thickBot="1" x14ac:dyDescent="0.3">
      <c r="A25" s="3"/>
      <c r="B25" s="355">
        <f>ROUND('[5]Ban tinh'!G25,0)</f>
        <v>186</v>
      </c>
      <c r="C25" s="3"/>
      <c r="D25" s="214" t="s">
        <v>554</v>
      </c>
      <c r="E25" s="356">
        <f>'[5]Ban tinh'!G36</f>
        <v>412.97679999999997</v>
      </c>
      <c r="F25" s="356">
        <f>'[5]Ban tinh'!H36</f>
        <v>442.69393368932566</v>
      </c>
      <c r="G25" s="203" t="s">
        <v>853</v>
      </c>
      <c r="H25" s="500">
        <f>'[5]Ban tinh'!J38</f>
        <v>0.15</v>
      </c>
      <c r="I25" s="499">
        <f>'[5]Ban tinh'!J39</f>
        <v>0.15</v>
      </c>
      <c r="L25" s="341">
        <v>8</v>
      </c>
      <c r="M25" s="1130" t="s">
        <v>653</v>
      </c>
      <c r="N25" s="1131">
        <f>[1]Sheet5!$E$30</f>
        <v>40</v>
      </c>
      <c r="O25" s="1130"/>
      <c r="P25" s="1133"/>
      <c r="Q25" s="1130"/>
    </row>
    <row r="26" spans="1:17" ht="17.25" thickTop="1" thickBot="1" x14ac:dyDescent="0.3">
      <c r="A26" s="360"/>
      <c r="B26" s="486"/>
      <c r="C26" s="486"/>
      <c r="D26" s="215" t="s">
        <v>555</v>
      </c>
      <c r="E26" s="356">
        <f>'[5]Ban tinh'!G37+'[5]Ban tinh'!H38</f>
        <v>61.003599999999999</v>
      </c>
      <c r="F26" s="356">
        <f>'[5]Ban tinh'!H37+'[5]Ban tinh'!H38</f>
        <v>58.753599999999999</v>
      </c>
      <c r="G26" s="501" t="s">
        <v>854</v>
      </c>
      <c r="H26" s="356">
        <f>'[5]Ban tinh'!J40</f>
        <v>1</v>
      </c>
      <c r="I26" s="356">
        <f>'[5]Ban tinh'!K40</f>
        <v>1</v>
      </c>
      <c r="L26" s="341">
        <v>7</v>
      </c>
      <c r="M26" s="1130" t="s">
        <v>654</v>
      </c>
      <c r="N26" s="1133"/>
      <c r="O26" s="1130"/>
      <c r="P26" s="1133"/>
      <c r="Q26" s="1130"/>
    </row>
    <row r="27" spans="1:17" ht="17.25" thickTop="1" thickBot="1" x14ac:dyDescent="0.3">
      <c r="A27" s="212" t="s">
        <v>252</v>
      </c>
      <c r="B27" s="355">
        <f>'[5]Ban tinh'!I21</f>
        <v>120</v>
      </c>
      <c r="C27" s="1"/>
      <c r="D27" s="215" t="s">
        <v>4377</v>
      </c>
      <c r="E27" s="357">
        <f>'[5]Ban tinh'!C41</f>
        <v>3</v>
      </c>
      <c r="F27" s="357">
        <f>'[5]Ban tinh'!B41</f>
        <v>3</v>
      </c>
      <c r="G27" s="501" t="s">
        <v>855</v>
      </c>
      <c r="H27" s="357">
        <f>'[5]Ban tinh'!J41</f>
        <v>1</v>
      </c>
      <c r="I27" s="357">
        <f>'[5]Ban tinh'!K41</f>
        <v>1</v>
      </c>
      <c r="L27" s="341">
        <v>6</v>
      </c>
      <c r="M27" s="1130" t="s">
        <v>655</v>
      </c>
      <c r="N27" s="1132">
        <f>[1]Sheet5!$F$29</f>
        <v>1698.1571893878979</v>
      </c>
      <c r="O27" s="1130"/>
      <c r="P27" s="1133"/>
      <c r="Q27" s="1130"/>
    </row>
    <row r="28" spans="1:17" ht="17.25" thickTop="1" thickBot="1" x14ac:dyDescent="0.3">
      <c r="A28" s="644" t="s">
        <v>1098</v>
      </c>
      <c r="B28" s="1137">
        <f>'[5]Ban tinh'!B12</f>
        <v>443</v>
      </c>
      <c r="C28" s="358">
        <f>'[5]Ban tinh'!B11</f>
        <v>390</v>
      </c>
      <c r="D28" s="215" t="s">
        <v>4378</v>
      </c>
      <c r="E28" s="356">
        <f>'[5]Ban tinh'!C42</f>
        <v>4.5</v>
      </c>
      <c r="F28" s="202">
        <f>'[5]Ban tinh'!D41</f>
        <v>2</v>
      </c>
      <c r="G28" s="214" t="s">
        <v>856</v>
      </c>
      <c r="H28" s="356">
        <f>ROUND('[5]Ban tinh'!G39,0)</f>
        <v>983</v>
      </c>
      <c r="I28" s="356">
        <f>ROUND('[5]Ban tinh'!H40,0)</f>
        <v>1357</v>
      </c>
      <c r="L28" s="341">
        <v>5</v>
      </c>
      <c r="M28" s="1130" t="s">
        <v>656</v>
      </c>
      <c r="N28" s="1132">
        <f>[1]Sheet5!$H$23+[1]Sheet5!$I$23</f>
        <v>18</v>
      </c>
      <c r="O28" s="1130"/>
      <c r="P28" s="1132">
        <f>[1]Sheet5!$H$14</f>
        <v>17</v>
      </c>
      <c r="Q28" s="1130"/>
    </row>
    <row r="29" spans="1:17" ht="17.25" thickTop="1" thickBot="1" x14ac:dyDescent="0.3">
      <c r="A29" s="3"/>
      <c r="B29" s="360"/>
      <c r="C29" s="360"/>
      <c r="D29" s="215" t="s">
        <v>746</v>
      </c>
      <c r="E29" s="356">
        <f>ROUND('[5]Ban tinh'!B35,0)</f>
        <v>2860</v>
      </c>
      <c r="F29" s="356">
        <f>ROUND('[5]Ban tinh'!D36,0)</f>
        <v>2860</v>
      </c>
      <c r="G29" s="214" t="s">
        <v>4292</v>
      </c>
      <c r="H29" s="356">
        <f>ROUND('[5]Ban tinh'!G42,1)</f>
        <v>258.39999999999998</v>
      </c>
      <c r="I29" s="356">
        <f>ROUND('[5]Ban tinh'!G42,1)</f>
        <v>258.39999999999998</v>
      </c>
      <c r="J29" s="356">
        <f>ROUND('[5]Ban tinh'!H41,1)</f>
        <v>0</v>
      </c>
      <c r="L29" s="341">
        <v>4</v>
      </c>
      <c r="M29" s="1130" t="s">
        <v>657</v>
      </c>
      <c r="N29" s="1130" t="s">
        <v>662</v>
      </c>
      <c r="O29" s="1130"/>
      <c r="P29" s="1130" t="s">
        <v>662</v>
      </c>
      <c r="Q29" s="1130"/>
    </row>
    <row r="30" spans="1:17" ht="17.25" thickTop="1" thickBot="1" x14ac:dyDescent="0.3">
      <c r="A30" s="3"/>
      <c r="B30" s="3"/>
      <c r="C30" s="3"/>
      <c r="D30" s="215" t="s">
        <v>747</v>
      </c>
      <c r="E30" s="356">
        <f>'[5]Ban tinh'!B36</f>
        <v>0</v>
      </c>
      <c r="F30" s="202"/>
      <c r="G30" s="214" t="s">
        <v>1139</v>
      </c>
      <c r="H30" s="356">
        <f>'[5]Ban tinh'!L38</f>
        <v>0.06</v>
      </c>
      <c r="I30" s="770" t="str">
        <f>'[5]Ban tinh'!I35</f>
        <v>Cu</v>
      </c>
      <c r="J30" s="770" t="str">
        <f>'[5]Ban tinh'!I37</f>
        <v>cu</v>
      </c>
      <c r="L30" s="341">
        <v>3</v>
      </c>
      <c r="M30" s="1130" t="s">
        <v>658</v>
      </c>
      <c r="N30" s="1131">
        <f>[1]Sheet5!$H$29</f>
        <v>193.09298371751706</v>
      </c>
      <c r="O30" s="1130"/>
      <c r="P30" s="1131">
        <f>[1]Sheet5!$H$19</f>
        <v>152.63884206998929</v>
      </c>
      <c r="Q30" s="1130"/>
    </row>
    <row r="31" spans="1:17" ht="17.25" thickTop="1" thickBot="1" x14ac:dyDescent="0.3">
      <c r="A31" s="3"/>
      <c r="B31" s="3"/>
      <c r="C31" s="3"/>
      <c r="D31" s="215" t="s">
        <v>857</v>
      </c>
      <c r="E31" s="356">
        <f>ROUND('[5]Ban tinh'!K42,0)</f>
        <v>927</v>
      </c>
      <c r="F31" s="356">
        <f>ROUND('[5]Ban tinh'!L42,0)</f>
        <v>927</v>
      </c>
      <c r="G31" s="202" t="s">
        <v>4350</v>
      </c>
      <c r="H31" s="356">
        <f>ROUND('[5]Ban tinh'!C34,0)</f>
        <v>131</v>
      </c>
      <c r="I31" s="356">
        <f>ROUND('[5]Ban tinh'!C34,0)</f>
        <v>131</v>
      </c>
      <c r="L31" s="341">
        <v>2</v>
      </c>
      <c r="M31" s="1130" t="s">
        <v>659</v>
      </c>
      <c r="N31" s="1130" t="str">
        <f>[1]Sheet5!$H$26&amp;"x"&amp;[1]Sheet5!$H$27</f>
        <v>1x2</v>
      </c>
      <c r="O31" s="1130"/>
      <c r="P31" s="1130" t="str">
        <f>[1]Sheet5!$H$17&amp;"x"&amp;[1]Sheet5!$I$17</f>
        <v>2x1</v>
      </c>
      <c r="Q31" s="1130"/>
    </row>
    <row r="32" spans="1:17" ht="17.25" thickTop="1" thickBot="1" x14ac:dyDescent="0.3">
      <c r="A32" s="3"/>
      <c r="B32" s="3"/>
      <c r="C32" s="3"/>
      <c r="D32" s="215" t="s">
        <v>858</v>
      </c>
      <c r="E32" s="356">
        <f>'[5]Ban tinh'!L41</f>
        <v>0</v>
      </c>
      <c r="F32" s="356" t="s">
        <v>859</v>
      </c>
      <c r="G32" s="203" t="s">
        <v>860</v>
      </c>
      <c r="H32" s="356">
        <f>'[5]Ban tinh'!J36</f>
        <v>1.9</v>
      </c>
      <c r="I32" s="356">
        <f>'[5]Ban tinh'!L36</f>
        <v>1.9</v>
      </c>
      <c r="L32" s="341">
        <v>1</v>
      </c>
      <c r="M32" s="1130" t="s">
        <v>660</v>
      </c>
      <c r="N32" s="1130" t="str">
        <f>"cu "&amp;[1]Sheet5!$H$24&amp;"x"&amp;[1]Sheet5!$I$24</f>
        <v>cu 1.65x1.65</v>
      </c>
      <c r="O32" s="1130"/>
      <c r="P32" s="1130" t="str">
        <f>"cu "&amp;[1]Sheet5!$H$15&amp;"x"&amp;[1]Sheet5!$I$15</f>
        <v>cu 0.6x350</v>
      </c>
      <c r="Q32" s="1130"/>
    </row>
    <row r="33" spans="1:17" ht="17.25" thickTop="1" thickBot="1" x14ac:dyDescent="0.3">
      <c r="A33" s="3"/>
      <c r="B33" s="3"/>
      <c r="C33" s="3"/>
      <c r="D33" s="348" t="s">
        <v>1140</v>
      </c>
      <c r="E33" s="350">
        <f>'[5]Ban tinh'!G57</f>
        <v>700.84643620322231</v>
      </c>
      <c r="L33" s="341" t="s">
        <v>661</v>
      </c>
      <c r="M33" s="341" t="s">
        <v>3732</v>
      </c>
      <c r="N33" s="341" t="s">
        <v>3733</v>
      </c>
      <c r="O33" s="1138"/>
      <c r="P33" s="341" t="s">
        <v>830</v>
      </c>
      <c r="Q33" s="341"/>
    </row>
    <row r="34" spans="1:17" ht="16.5" thickTop="1" thickBot="1" x14ac:dyDescent="0.3">
      <c r="A34" s="3"/>
      <c r="B34" s="3"/>
      <c r="C34" s="3"/>
    </row>
    <row r="35" spans="1:17" ht="31.5" thickTop="1" thickBot="1" x14ac:dyDescent="0.3">
      <c r="A35" s="3"/>
      <c r="B35" s="3"/>
      <c r="C35" s="3"/>
      <c r="D35" s="348" t="s">
        <v>559</v>
      </c>
      <c r="E35" s="1232" t="str">
        <f>'[5]Ban tinh'!J57</f>
        <v>Hermetically, Without gap</v>
      </c>
      <c r="F35" s="350">
        <f>IF(E35="With conservator",1,IF(E35="Hermetically, Without gap",2,IF(E35="Hermetically, With gap",3,"Sai rồi")))</f>
        <v>2</v>
      </c>
    </row>
    <row r="36" spans="1:17" ht="16.5" thickTop="1" thickBot="1" x14ac:dyDescent="0.3">
      <c r="A36" s="3"/>
      <c r="B36" s="3"/>
      <c r="C36" s="3"/>
    </row>
    <row r="37" spans="1:17" ht="15" customHeight="1" thickTop="1" thickBot="1" x14ac:dyDescent="0.3">
      <c r="A37" s="3"/>
      <c r="B37" s="3"/>
      <c r="C37" s="3"/>
      <c r="D37" s="1229" t="s">
        <v>861</v>
      </c>
      <c r="E37" s="1230"/>
      <c r="F37" s="1230"/>
      <c r="G37" s="1230"/>
      <c r="H37" s="1230"/>
      <c r="I37" s="1231"/>
    </row>
    <row r="38" spans="1:17" ht="17.25" thickTop="1" thickBot="1" x14ac:dyDescent="0.3">
      <c r="D38" s="215" t="s">
        <v>862</v>
      </c>
      <c r="E38" s="502">
        <f>ROUND('[5]Ban tinh'!E21,0)</f>
        <v>39</v>
      </c>
      <c r="G38" s="215" t="s">
        <v>863</v>
      </c>
      <c r="H38" s="502">
        <f>'[5]Ban tinh'!G22</f>
        <v>31</v>
      </c>
    </row>
    <row r="39" spans="1:17" ht="17.25" thickTop="1" thickBot="1" x14ac:dyDescent="0.3">
      <c r="A39" s="506" t="s">
        <v>868</v>
      </c>
      <c r="B39" s="507"/>
      <c r="D39" s="215" t="s">
        <v>4379</v>
      </c>
      <c r="E39" s="502">
        <f>'[5]Ban tinh'!E22</f>
        <v>43.5</v>
      </c>
      <c r="G39" s="215" t="s">
        <v>864</v>
      </c>
      <c r="H39" s="502">
        <f>'[5]Ban tinh'!G21</f>
        <v>15</v>
      </c>
    </row>
    <row r="40" spans="1:17" ht="17.25" thickTop="1" thickBot="1" x14ac:dyDescent="0.3">
      <c r="A40" s="212" t="s">
        <v>139</v>
      </c>
      <c r="B40" s="508">
        <f>'[5]Ban tinh'!L10</f>
        <v>154.16043531328125</v>
      </c>
      <c r="D40" s="215" t="s">
        <v>865</v>
      </c>
      <c r="E40" s="502">
        <f>'[5]Ban tinh'!C22</f>
        <v>0.06</v>
      </c>
      <c r="G40" s="503"/>
    </row>
    <row r="41" spans="1:17" ht="17.25" thickTop="1" thickBot="1" x14ac:dyDescent="0.3">
      <c r="A41" s="212" t="s">
        <v>165</v>
      </c>
      <c r="B41" s="508">
        <f>'[5]Ban tinh'!L11</f>
        <v>48.009790918125006</v>
      </c>
      <c r="D41" s="215" t="s">
        <v>866</v>
      </c>
      <c r="E41" s="502">
        <f>'[5]Ban tinh'!B22</f>
        <v>0</v>
      </c>
    </row>
    <row r="42" spans="1:17" ht="16.5" thickTop="1" thickBot="1" x14ac:dyDescent="0.3">
      <c r="A42" s="212" t="s">
        <v>166</v>
      </c>
      <c r="B42" s="508">
        <f>'[5]Ban tinh'!L12</f>
        <v>40.8422325740625</v>
      </c>
    </row>
    <row r="43" spans="1:17" ht="16.5" thickTop="1" thickBot="1" x14ac:dyDescent="0.3">
      <c r="A43" s="212" t="s">
        <v>167</v>
      </c>
      <c r="B43" s="508">
        <f>'[5]Ban tinh'!L13</f>
        <v>27.848733010312497</v>
      </c>
    </row>
    <row r="44" spans="1:17" ht="16.5" thickTop="1" thickBot="1" x14ac:dyDescent="0.3">
      <c r="A44" s="212" t="s">
        <v>168</v>
      </c>
      <c r="B44" s="508">
        <f>'[5]Ban tinh'!L14</f>
        <v>33.3144460575</v>
      </c>
    </row>
    <row r="45" spans="1:17" ht="16.5" thickTop="1" thickBot="1" x14ac:dyDescent="0.3">
      <c r="A45" s="212" t="s">
        <v>169</v>
      </c>
      <c r="B45" s="508">
        <f>'[5]Ban tinh'!L15</f>
        <v>0</v>
      </c>
    </row>
    <row r="46" spans="1:17" ht="16.5" thickTop="1" thickBot="1" x14ac:dyDescent="0.3">
      <c r="A46" s="212" t="s">
        <v>170</v>
      </c>
      <c r="B46" s="508">
        <f>'[5]Ban tinh'!L16</f>
        <v>0</v>
      </c>
    </row>
    <row r="47" spans="1:17" ht="16.5" thickTop="1" thickBot="1" x14ac:dyDescent="0.3">
      <c r="A47" s="212" t="s">
        <v>171</v>
      </c>
      <c r="B47" s="508">
        <f>'[5]Ban tinh'!L17</f>
        <v>0</v>
      </c>
    </row>
    <row r="48" spans="1:17" ht="16.5" thickTop="1" x14ac:dyDescent="0.25">
      <c r="A48" s="506" t="s">
        <v>331</v>
      </c>
      <c r="B48" s="509" t="str">
        <f>'[5]Ban tinh'!G65</f>
        <v>Cấp 1-0.8,Cấp 2-0.8,Cấp 3-1Cấp 4-1,Cấp 5-1,Cấp 6-1,Cấp 7-1,Cấp 8-1,Cấp 9-1,Cấp 10-1</v>
      </c>
    </row>
    <row r="50" spans="1:4" ht="15" customHeight="1" thickBot="1" x14ac:dyDescent="0.3">
      <c r="A50" s="506" t="s">
        <v>4380</v>
      </c>
      <c r="B50" s="506" t="s">
        <v>4381</v>
      </c>
      <c r="C50" s="506" t="s">
        <v>4382</v>
      </c>
      <c r="D50" s="506" t="s">
        <v>4383</v>
      </c>
    </row>
    <row r="51" spans="1:4" ht="15" customHeight="1" thickTop="1" thickBot="1" x14ac:dyDescent="0.3">
      <c r="A51" s="212" t="str">
        <f>'[2]Ban tinh'!G10</f>
        <v>Step 1</v>
      </c>
      <c r="B51" s="1233">
        <f>'[5]Ban tinh'!I10/2</f>
        <v>26.25</v>
      </c>
      <c r="C51" s="1233">
        <f>'[5]Ban tinh'!I10/2</f>
        <v>26.25</v>
      </c>
      <c r="D51" s="355">
        <f>'[5]Ban tinh'!H10</f>
        <v>120</v>
      </c>
    </row>
    <row r="52" spans="1:4" ht="15" customHeight="1" thickTop="1" thickBot="1" x14ac:dyDescent="0.3">
      <c r="A52" s="212" t="str">
        <f>'[2]Ban tinh'!G11</f>
        <v>Step 2</v>
      </c>
      <c r="B52" s="1233">
        <f>'[5]Ban tinh'!I11</f>
        <v>9</v>
      </c>
      <c r="C52" s="1233">
        <f>'[5]Ban tinh'!J11</f>
        <v>9</v>
      </c>
      <c r="D52" s="355">
        <f>'[5]Ban tinh'!H11</f>
        <v>110</v>
      </c>
    </row>
    <row r="53" spans="1:4" ht="15" customHeight="1" thickTop="1" thickBot="1" x14ac:dyDescent="0.3">
      <c r="A53" s="212" t="str">
        <f>'[2]Ban tinh'!G12</f>
        <v>Step 3</v>
      </c>
      <c r="B53" s="1233">
        <f>'[5]Ban tinh'!I12</f>
        <v>8.5</v>
      </c>
      <c r="C53" s="1233">
        <f>'[5]Ban tinh'!J12</f>
        <v>8.5</v>
      </c>
      <c r="D53" s="355">
        <f>'[5]Ban tinh'!H12</f>
        <v>100</v>
      </c>
    </row>
    <row r="54" spans="1:4" ht="15" customHeight="1" thickTop="1" thickBot="1" x14ac:dyDescent="0.3">
      <c r="A54" s="212" t="str">
        <f>'[2]Ban tinh'!G13</f>
        <v>Step 4</v>
      </c>
      <c r="B54" s="1233">
        <f>'[5]Ban tinh'!I13</f>
        <v>6.5</v>
      </c>
      <c r="C54" s="1233">
        <f>'[5]Ban tinh'!J13</f>
        <v>6.5</v>
      </c>
      <c r="D54" s="355">
        <f>'[5]Ban tinh'!H13</f>
        <v>90</v>
      </c>
    </row>
    <row r="55" spans="1:4" ht="15" customHeight="1" thickTop="1" thickBot="1" x14ac:dyDescent="0.3">
      <c r="A55" s="212" t="str">
        <f>'[2]Ban tinh'!G14</f>
        <v>Step 5</v>
      </c>
      <c r="B55" s="1233">
        <f>'[5]Ban tinh'!I14</f>
        <v>12</v>
      </c>
      <c r="C55" s="1233">
        <f>'[5]Ban tinh'!J14</f>
        <v>12</v>
      </c>
      <c r="D55" s="355">
        <f>'[5]Ban tinh'!H14</f>
        <v>60</v>
      </c>
    </row>
    <row r="56" spans="1:4" ht="15" customHeight="1" thickTop="1" thickBot="1" x14ac:dyDescent="0.3">
      <c r="A56" s="212" t="str">
        <f>'[2]Ban tinh'!G15</f>
        <v>Step 6</v>
      </c>
      <c r="B56" s="1233">
        <f>'[5]Ban tinh'!I15</f>
        <v>0</v>
      </c>
      <c r="C56" s="1233">
        <f>'[5]Ban tinh'!J15</f>
        <v>0</v>
      </c>
      <c r="D56" s="355">
        <f>'[5]Ban tinh'!H15</f>
        <v>0</v>
      </c>
    </row>
    <row r="57" spans="1:4" ht="15" customHeight="1" thickTop="1" thickBot="1" x14ac:dyDescent="0.3">
      <c r="A57" s="212" t="str">
        <f>'[2]Ban tinh'!G16</f>
        <v>Step 7</v>
      </c>
      <c r="B57" s="1233">
        <f>'[5]Ban tinh'!I16</f>
        <v>0</v>
      </c>
      <c r="C57" s="1233">
        <f>'[5]Ban tinh'!J16</f>
        <v>0</v>
      </c>
      <c r="D57" s="355">
        <f>'[5]Ban tinh'!H16</f>
        <v>0</v>
      </c>
    </row>
    <row r="58" spans="1:4" ht="15" customHeight="1" thickTop="1" thickBot="1" x14ac:dyDescent="0.3">
      <c r="A58" s="212" t="str">
        <f>'[2]Ban tinh'!G17</f>
        <v>Step 8</v>
      </c>
      <c r="B58" s="1233">
        <f>'[5]Ban tinh'!I17</f>
        <v>0</v>
      </c>
      <c r="C58" s="1233">
        <f>'[5]Ban tinh'!J17</f>
        <v>0</v>
      </c>
      <c r="D58" s="355">
        <f>'[5]Ban tinh'!H17</f>
        <v>0</v>
      </c>
    </row>
    <row r="59" spans="1:4" ht="15" customHeight="1" thickTop="1" thickBot="1" x14ac:dyDescent="0.3">
      <c r="A59" s="212" t="str">
        <f>'[2]Ban tinh'!G18</f>
        <v>Step 9</v>
      </c>
      <c r="B59" s="1233">
        <f>'[5]Ban tinh'!I18</f>
        <v>0</v>
      </c>
      <c r="C59" s="1233">
        <f>'[5]Ban tinh'!J18</f>
        <v>0</v>
      </c>
      <c r="D59" s="355">
        <f>'[5]Ban tinh'!H18</f>
        <v>0</v>
      </c>
    </row>
    <row r="60" spans="1:4" ht="15" customHeight="1" thickTop="1" thickBot="1" x14ac:dyDescent="0.3">
      <c r="A60" s="212" t="str">
        <f>'[2]Ban tinh'!G19</f>
        <v>Step 10</v>
      </c>
      <c r="B60" s="1233">
        <f>'[5]Ban tinh'!I19</f>
        <v>0</v>
      </c>
      <c r="C60" s="1233">
        <f>'[5]Ban tinh'!J19</f>
        <v>0</v>
      </c>
      <c r="D60" s="355">
        <f>'[5]Ban tinh'!H19</f>
        <v>0</v>
      </c>
    </row>
    <row r="61" spans="1:4" ht="15" customHeight="1" thickTop="1" x14ac:dyDescent="0.25"/>
    <row r="62" spans="1:4" ht="15" customHeight="1" x14ac:dyDescent="0.25"/>
  </sheetData>
  <mergeCells count="2">
    <mergeCell ref="D13:I13"/>
    <mergeCell ref="D22:I22"/>
  </mergeCells>
  <dataValidations disablePrompts="1" count="1">
    <dataValidation type="custom" allowBlank="1" showInputMessage="1" showErrorMessage="1" sqref="K4:K5">
      <formula1>K8</formula1>
    </dataValidation>
  </dataValidations>
  <pageMargins left="0.7" right="0.7" top="0.75" bottom="0.75" header="0.3" footer="0.3"/>
  <pageSetup paperSize="9" orientation="portrait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141"/>
  <sheetViews>
    <sheetView zoomScale="85" zoomScaleNormal="85" workbookViewId="0">
      <pane ySplit="1" topLeftCell="A2" activePane="bottomLeft" state="frozen"/>
      <selection pane="bottomLeft" activeCell="L7" sqref="L7"/>
    </sheetView>
  </sheetViews>
  <sheetFormatPr defaultRowHeight="15" x14ac:dyDescent="0.25"/>
  <cols>
    <col min="1" max="1" width="31.28515625" customWidth="1"/>
    <col min="2" max="2" width="20.140625" customWidth="1"/>
    <col min="3" max="3" width="12.28515625" customWidth="1"/>
    <col min="4" max="4" width="12.85546875" style="1193" customWidth="1"/>
    <col min="6" max="6" width="40.7109375" customWidth="1"/>
    <col min="8" max="8" width="17.28515625" customWidth="1"/>
  </cols>
  <sheetData>
    <row r="1" spans="1:12" s="1109" customFormat="1" ht="51.75" customHeight="1" x14ac:dyDescent="0.25">
      <c r="D1" s="1193"/>
    </row>
    <row r="2" spans="1:12" x14ac:dyDescent="0.25">
      <c r="A2" s="507" t="s">
        <v>4182</v>
      </c>
      <c r="B2" s="204" t="s">
        <v>4211</v>
      </c>
      <c r="C2" s="1208">
        <v>450</v>
      </c>
      <c r="D2" s="1193">
        <v>1</v>
      </c>
      <c r="F2" t="str">
        <f>"[mm]"&amp;B2&amp;D2&amp;"="&amp;C2</f>
        <v>[mm]mpduongkinhtrong1=450</v>
      </c>
      <c r="H2" t="s">
        <v>4208</v>
      </c>
    </row>
    <row r="3" spans="1:12" s="1109" customFormat="1" x14ac:dyDescent="0.25">
      <c r="A3" s="507" t="s">
        <v>4242</v>
      </c>
      <c r="B3" s="204"/>
      <c r="C3" s="1109">
        <f>(C2+C5*2)*PI()</f>
        <v>1429.4246573833559</v>
      </c>
      <c r="D3" s="1193"/>
      <c r="H3" t="s">
        <v>4207</v>
      </c>
      <c r="L3" s="1109" t="s">
        <v>4354</v>
      </c>
    </row>
    <row r="4" spans="1:12" x14ac:dyDescent="0.25">
      <c r="A4" s="507" t="s">
        <v>4149</v>
      </c>
      <c r="B4" s="204" t="s">
        <v>4212</v>
      </c>
      <c r="C4" s="1209">
        <v>680</v>
      </c>
      <c r="D4" s="1193">
        <v>1</v>
      </c>
      <c r="F4" s="1109" t="str">
        <f>"[mm]"&amp;B4&amp;D4&amp;"="&amp;C4</f>
        <v>[mm]mpchieucaovo1=680</v>
      </c>
      <c r="H4" t="s">
        <v>4206</v>
      </c>
      <c r="L4">
        <v>396</v>
      </c>
    </row>
    <row r="5" spans="1:12" x14ac:dyDescent="0.25">
      <c r="A5" s="507" t="s">
        <v>4150</v>
      </c>
      <c r="B5" s="204" t="s">
        <v>4213</v>
      </c>
      <c r="C5" s="1225">
        <v>2.5</v>
      </c>
      <c r="D5" s="1193">
        <v>1</v>
      </c>
      <c r="F5" s="1109" t="str">
        <f>"[mm]"&amp;B5&amp;D5&amp;"="&amp;C5</f>
        <v>[mm]mpdodayvo1=2.5</v>
      </c>
      <c r="L5">
        <v>420</v>
      </c>
    </row>
    <row r="6" spans="1:12" x14ac:dyDescent="0.25">
      <c r="A6" s="507" t="s">
        <v>4065</v>
      </c>
      <c r="B6" s="204" t="s">
        <v>4214</v>
      </c>
      <c r="F6" s="1109"/>
      <c r="L6">
        <v>450</v>
      </c>
    </row>
    <row r="7" spans="1:12" x14ac:dyDescent="0.25">
      <c r="A7" t="s">
        <v>4151</v>
      </c>
      <c r="B7">
        <v>24</v>
      </c>
      <c r="D7" s="1193">
        <v>1</v>
      </c>
      <c r="F7" s="1109" t="str">
        <f>"[mm]"&amp;$B$6&amp;D7&amp;"="&amp;B7</f>
        <v>[mm]mpthanhtreoruot1=24</v>
      </c>
      <c r="L7">
        <v>480</v>
      </c>
    </row>
    <row r="8" spans="1:12" x14ac:dyDescent="0.25">
      <c r="A8" s="1109" t="s">
        <v>4152</v>
      </c>
      <c r="B8">
        <v>40</v>
      </c>
      <c r="D8" s="1193">
        <v>2</v>
      </c>
      <c r="F8" s="1109" t="str">
        <f t="shared" ref="F8:F14" si="0">"[mm]"&amp;$B$6&amp;D8&amp;"="&amp;B8</f>
        <v>[mm]mpthanhtreoruot2=40</v>
      </c>
      <c r="L8">
        <v>520</v>
      </c>
    </row>
    <row r="9" spans="1:12" x14ac:dyDescent="0.25">
      <c r="A9" s="1109" t="s">
        <v>4153</v>
      </c>
      <c r="B9">
        <v>56</v>
      </c>
      <c r="D9" s="1193">
        <v>3</v>
      </c>
      <c r="F9" s="1109" t="str">
        <f t="shared" si="0"/>
        <v>[mm]mpthanhtreoruot3=56</v>
      </c>
      <c r="L9">
        <v>545</v>
      </c>
    </row>
    <row r="10" spans="1:12" x14ac:dyDescent="0.25">
      <c r="A10" t="s">
        <v>4155</v>
      </c>
      <c r="B10">
        <v>52</v>
      </c>
      <c r="D10" s="1193">
        <v>4</v>
      </c>
      <c r="F10" s="1109" t="str">
        <f t="shared" si="0"/>
        <v>[mm]mpthanhtreoruot4=52</v>
      </c>
    </row>
    <row r="11" spans="1:12" x14ac:dyDescent="0.25">
      <c r="A11" t="s">
        <v>4154</v>
      </c>
      <c r="B11">
        <v>4</v>
      </c>
      <c r="D11" s="1193">
        <v>5</v>
      </c>
      <c r="F11" s="1109" t="str">
        <f t="shared" si="0"/>
        <v>[mm]mpthanhtreoruot5=4</v>
      </c>
    </row>
    <row r="12" spans="1:12" x14ac:dyDescent="0.25">
      <c r="A12" t="s">
        <v>4156</v>
      </c>
      <c r="B12">
        <v>12</v>
      </c>
      <c r="D12" s="1193">
        <v>6</v>
      </c>
      <c r="F12" s="1109" t="str">
        <f t="shared" si="0"/>
        <v>[mm]mpthanhtreoruot6=12</v>
      </c>
    </row>
    <row r="13" spans="1:12" x14ac:dyDescent="0.25">
      <c r="A13" t="s">
        <v>4157</v>
      </c>
      <c r="B13">
        <v>30</v>
      </c>
      <c r="D13" s="1193">
        <v>7</v>
      </c>
      <c r="F13" s="1109" t="str">
        <f t="shared" si="0"/>
        <v>[mm]mpthanhtreoruot7=30</v>
      </c>
    </row>
    <row r="14" spans="1:12" s="1109" customFormat="1" x14ac:dyDescent="0.25">
      <c r="A14" s="1109" t="s">
        <v>4158</v>
      </c>
      <c r="B14" s="1109">
        <f>B120+B123/2</f>
        <v>425</v>
      </c>
      <c r="D14" s="1193">
        <v>8</v>
      </c>
      <c r="F14" s="1109" t="str">
        <f t="shared" si="0"/>
        <v>[mm]mpthanhtreoruot8=425</v>
      </c>
    </row>
    <row r="15" spans="1:12" x14ac:dyDescent="0.25">
      <c r="A15" s="507" t="s">
        <v>4066</v>
      </c>
      <c r="B15" s="204" t="s">
        <v>4215</v>
      </c>
    </row>
    <row r="16" spans="1:12" x14ac:dyDescent="0.25">
      <c r="A16" t="s">
        <v>4159</v>
      </c>
      <c r="B16">
        <v>55</v>
      </c>
      <c r="D16" s="1193">
        <v>1</v>
      </c>
      <c r="F16" s="1109" t="str">
        <f>"[degrees]"&amp;$B$15&amp;D16&amp;"="&amp;B16</f>
        <v>[degrees]mpdebienmay1=55</v>
      </c>
    </row>
    <row r="17" spans="1:6" s="1109" customFormat="1" x14ac:dyDescent="0.25">
      <c r="A17" s="1109" t="s">
        <v>4160</v>
      </c>
      <c r="B17" s="1109">
        <v>2</v>
      </c>
      <c r="D17" s="1193">
        <v>2</v>
      </c>
      <c r="F17" s="1109" t="str">
        <f>"[mm]"&amp;$B$15&amp;D17&amp;"="&amp;B17</f>
        <v>[mm]mpdebienmay2=2</v>
      </c>
    </row>
    <row r="18" spans="1:6" s="1109" customFormat="1" x14ac:dyDescent="0.25">
      <c r="A18" s="1109" t="s">
        <v>4161</v>
      </c>
      <c r="B18" s="1109">
        <v>104</v>
      </c>
      <c r="D18" s="1193">
        <v>3</v>
      </c>
      <c r="F18" s="1109" t="str">
        <f>"[mm]"&amp;$B$15&amp;D18&amp;"="&amp;B18</f>
        <v>[mm]mpdebienmay3=104</v>
      </c>
    </row>
    <row r="19" spans="1:6" s="1109" customFormat="1" x14ac:dyDescent="0.25">
      <c r="A19" s="1109" t="s">
        <v>4151</v>
      </c>
      <c r="B19" s="1109">
        <v>25</v>
      </c>
      <c r="D19" s="1193">
        <v>4</v>
      </c>
      <c r="F19" s="1109" t="str">
        <f>"[mm]"&amp;$B$15&amp;D19&amp;"="&amp;B19</f>
        <v>[mm]mpdebienmay4=25</v>
      </c>
    </row>
    <row r="20" spans="1:6" s="1109" customFormat="1" x14ac:dyDescent="0.25">
      <c r="A20" s="1109" t="s">
        <v>4162</v>
      </c>
      <c r="B20" s="1109">
        <v>200</v>
      </c>
      <c r="D20" s="1193">
        <v>5</v>
      </c>
      <c r="F20" s="1109" t="str">
        <f>"[mm]"&amp;$B$15&amp;D20&amp;"="&amp;B20</f>
        <v>[mm]mpdebienmay5=200</v>
      </c>
    </row>
    <row r="21" spans="1:6" x14ac:dyDescent="0.25">
      <c r="A21" s="507" t="s">
        <v>4067</v>
      </c>
      <c r="B21" s="204" t="s">
        <v>4216</v>
      </c>
    </row>
    <row r="22" spans="1:6" x14ac:dyDescent="0.25">
      <c r="A22" s="1109" t="s">
        <v>4077</v>
      </c>
      <c r="B22" s="1109">
        <v>90</v>
      </c>
      <c r="D22" s="1193">
        <v>1</v>
      </c>
      <c r="F22" s="1109" t="str">
        <f>"[degrees]"&amp;$B$21&amp;D22&amp;"="&amp;B22</f>
        <v>[degrees]mpdelogo1=90</v>
      </c>
    </row>
    <row r="23" spans="1:6" s="1109" customFormat="1" x14ac:dyDescent="0.25">
      <c r="A23" s="1109" t="s">
        <v>4162</v>
      </c>
      <c r="B23" s="1109">
        <v>70</v>
      </c>
      <c r="D23" s="1193">
        <v>2</v>
      </c>
      <c r="F23" s="1109" t="str">
        <f>"[mm]"&amp;$B$21&amp;D23&amp;"="&amp;B23</f>
        <v>[mm]mpdelogo2=70</v>
      </c>
    </row>
    <row r="24" spans="1:6" s="1109" customFormat="1" x14ac:dyDescent="0.25">
      <c r="A24" s="1109" t="s">
        <v>4163</v>
      </c>
      <c r="B24" s="1109">
        <v>2</v>
      </c>
      <c r="D24" s="1193">
        <v>3</v>
      </c>
      <c r="F24" s="1109" t="str">
        <f>"[mm]"&amp;$B$21&amp;D24&amp;"="&amp;B24</f>
        <v>[mm]mpdelogo3=2</v>
      </c>
    </row>
    <row r="25" spans="1:6" s="1109" customFormat="1" x14ac:dyDescent="0.25">
      <c r="A25" s="1109" t="s">
        <v>4161</v>
      </c>
      <c r="B25" s="1109">
        <v>185</v>
      </c>
      <c r="D25" s="1193">
        <v>4</v>
      </c>
      <c r="F25" s="1109" t="str">
        <f>"[mm]"&amp;$B$21&amp;D25&amp;"="&amp;B25</f>
        <v>[mm]mpdelogo4=185</v>
      </c>
    </row>
    <row r="26" spans="1:6" s="1109" customFormat="1" x14ac:dyDescent="0.25">
      <c r="A26" s="1109" t="s">
        <v>4151</v>
      </c>
      <c r="B26" s="1109">
        <v>32</v>
      </c>
      <c r="D26" s="1193">
        <v>5</v>
      </c>
      <c r="F26" s="1109" t="str">
        <f>"[mm]"&amp;$B$21&amp;D26&amp;"="&amp;B26</f>
        <v>[mm]mpdelogo5=32</v>
      </c>
    </row>
    <row r="27" spans="1:6" s="1109" customFormat="1" x14ac:dyDescent="0.25">
      <c r="A27" s="507" t="s">
        <v>4068</v>
      </c>
      <c r="B27" s="204" t="s">
        <v>4217</v>
      </c>
      <c r="D27" s="1193"/>
    </row>
    <row r="28" spans="1:6" s="1109" customFormat="1" x14ac:dyDescent="0.25">
      <c r="A28" s="1109" t="s">
        <v>4164</v>
      </c>
      <c r="B28" s="1109">
        <v>90</v>
      </c>
      <c r="D28" s="1193">
        <v>1</v>
      </c>
      <c r="F28" s="1109" t="str">
        <f>"[degrees]"&amp;$B$27&amp;D28&amp;"="&amp;B28</f>
        <v>[degrees]mpnhancongsuat1=90</v>
      </c>
    </row>
    <row r="29" spans="1:6" s="1109" customFormat="1" x14ac:dyDescent="0.25">
      <c r="A29" s="1109" t="s">
        <v>4163</v>
      </c>
      <c r="B29" s="1109">
        <v>2</v>
      </c>
      <c r="D29" s="1193">
        <v>2</v>
      </c>
      <c r="F29" s="1109" t="str">
        <f>"[mm]"&amp;$B$27&amp;D29&amp;"="&amp;B29</f>
        <v>[mm]mpnhancongsuat2=2</v>
      </c>
    </row>
    <row r="30" spans="1:6" s="1109" customFormat="1" x14ac:dyDescent="0.25">
      <c r="A30" s="1109" t="s">
        <v>4161</v>
      </c>
      <c r="B30" s="1109">
        <v>160</v>
      </c>
      <c r="D30" s="1193">
        <v>3</v>
      </c>
      <c r="F30" s="1109" t="str">
        <f>"[mm]"&amp;$B$27&amp;D30&amp;"="&amp;B30</f>
        <v>[mm]mpnhancongsuat3=160</v>
      </c>
    </row>
    <row r="31" spans="1:6" s="1109" customFormat="1" x14ac:dyDescent="0.25">
      <c r="A31" s="1109" t="s">
        <v>4151</v>
      </c>
      <c r="B31" s="1109">
        <v>31</v>
      </c>
      <c r="D31" s="1193">
        <v>4</v>
      </c>
      <c r="F31" s="1109" t="str">
        <f>"[mm]"&amp;$B$27&amp;D31&amp;"="&amp;B31</f>
        <v>[mm]mpnhancongsuat4=31</v>
      </c>
    </row>
    <row r="32" spans="1:6" s="1109" customFormat="1" x14ac:dyDescent="0.25">
      <c r="A32" s="1109" t="s">
        <v>4162</v>
      </c>
      <c r="B32" s="1109">
        <v>120</v>
      </c>
      <c r="D32" s="1193">
        <v>5</v>
      </c>
      <c r="F32" s="1109" t="str">
        <f>"[mm]"&amp;$B$27&amp;D32&amp;"="&amp;B32</f>
        <v>[mm]mpnhancongsuat5=120</v>
      </c>
    </row>
    <row r="33" spans="1:6" s="1109" customFormat="1" x14ac:dyDescent="0.25">
      <c r="A33" s="507" t="s">
        <v>4070</v>
      </c>
      <c r="B33" s="204" t="s">
        <v>4218</v>
      </c>
      <c r="D33" s="1193"/>
    </row>
    <row r="34" spans="1:6" x14ac:dyDescent="0.25">
      <c r="A34" t="s">
        <v>4165</v>
      </c>
      <c r="B34">
        <v>40</v>
      </c>
      <c r="D34" s="1193">
        <v>1</v>
      </c>
      <c r="F34" s="1109" t="str">
        <f>"[degrees]"&amp;$B$33&amp;D34&amp;"="&amp;B34</f>
        <v>[degrees]mptiepdia1bentrong1=40</v>
      </c>
    </row>
    <row r="35" spans="1:6" x14ac:dyDescent="0.25">
      <c r="A35" s="907" t="s">
        <v>4166</v>
      </c>
      <c r="B35">
        <v>100</v>
      </c>
      <c r="D35" s="1193">
        <v>2</v>
      </c>
      <c r="F35" s="1109" t="str">
        <f>"[mm]"&amp;$B$33&amp;D35&amp;"="&amp;B35</f>
        <v>[mm]mptiepdia1bentrong2=100</v>
      </c>
    </row>
    <row r="36" spans="1:6" x14ac:dyDescent="0.25">
      <c r="A36" s="507" t="s">
        <v>4069</v>
      </c>
      <c r="B36" s="204" t="s">
        <v>4219</v>
      </c>
    </row>
    <row r="37" spans="1:6" x14ac:dyDescent="0.25">
      <c r="A37" s="1109" t="s">
        <v>4167</v>
      </c>
      <c r="B37" s="1109">
        <v>30</v>
      </c>
      <c r="D37" s="1193">
        <v>1</v>
      </c>
      <c r="F37" s="1109" t="str">
        <f>"[degrees]"&amp;$B$36&amp;D37&amp;"="&amp;B37</f>
        <v>[degrees]mptiepdia1benngoai1=30</v>
      </c>
    </row>
    <row r="38" spans="1:6" x14ac:dyDescent="0.25">
      <c r="A38" s="907" t="s">
        <v>4168</v>
      </c>
      <c r="B38" s="1109">
        <v>80</v>
      </c>
      <c r="D38" s="1193">
        <v>2</v>
      </c>
      <c r="F38" s="1109" t="str">
        <f>"[mm]"&amp;$B$36&amp;D38&amp;"="&amp;B38</f>
        <v>[mm]mptiepdia1benngoai2=80</v>
      </c>
    </row>
    <row r="39" spans="1:6" s="1109" customFormat="1" x14ac:dyDescent="0.25">
      <c r="A39" s="907" t="s">
        <v>4232</v>
      </c>
      <c r="B39" s="1109">
        <v>15</v>
      </c>
      <c r="D39" s="1193">
        <v>3</v>
      </c>
      <c r="F39" s="1109" t="str">
        <f>"[mm]"&amp;$B$36&amp;D39&amp;"="&amp;B39</f>
        <v>[mm]mptiepdia1benngoai3=15</v>
      </c>
    </row>
    <row r="40" spans="1:6" x14ac:dyDescent="0.25">
      <c r="A40" s="507" t="s">
        <v>4073</v>
      </c>
      <c r="B40" s="204" t="s">
        <v>4220</v>
      </c>
    </row>
    <row r="41" spans="1:6" x14ac:dyDescent="0.25">
      <c r="A41" s="1109" t="s">
        <v>4077</v>
      </c>
      <c r="B41" s="1109">
        <v>30</v>
      </c>
      <c r="D41" s="1193">
        <v>1</v>
      </c>
      <c r="F41" s="1109" t="str">
        <f>"[degrees]"&amp;$B$40&amp;D41&amp;"="&amp;B41</f>
        <v>[degrees]mptiepdia2trenlogo1=30</v>
      </c>
    </row>
    <row r="42" spans="1:6" x14ac:dyDescent="0.25">
      <c r="A42" s="907" t="s">
        <v>4078</v>
      </c>
      <c r="B42" s="1109">
        <v>270</v>
      </c>
      <c r="D42" s="1193">
        <v>2</v>
      </c>
      <c r="F42" s="1109" t="str">
        <f>"[mm]"&amp;$B$40&amp;D42&amp;"="&amp;B42</f>
        <v>[mm]mptiepdia2trenlogo2=270</v>
      </c>
    </row>
    <row r="43" spans="1:6" x14ac:dyDescent="0.25">
      <c r="A43" s="507" t="s">
        <v>4074</v>
      </c>
      <c r="B43" s="204" t="s">
        <v>4221</v>
      </c>
    </row>
    <row r="44" spans="1:6" x14ac:dyDescent="0.25">
      <c r="A44" s="1109" t="s">
        <v>4077</v>
      </c>
      <c r="B44" s="1109">
        <v>35</v>
      </c>
      <c r="D44" s="1193">
        <v>1</v>
      </c>
      <c r="F44" s="1109" t="str">
        <f>"[degrees]"&amp;$B$43&amp;D44&amp;"="&amp;B44</f>
        <v>[degrees]mptiepdia2duoiday1=35</v>
      </c>
    </row>
    <row r="45" spans="1:6" x14ac:dyDescent="0.25">
      <c r="A45" s="907" t="s">
        <v>4169</v>
      </c>
      <c r="B45" s="1109">
        <v>50</v>
      </c>
      <c r="D45" s="1193">
        <v>2</v>
      </c>
      <c r="F45" s="1109" t="str">
        <f>"[mm]"&amp;$B$43&amp;D45&amp;"="&amp;B45</f>
        <v>[mm]mptiepdia2duoiday2=50</v>
      </c>
    </row>
    <row r="46" spans="1:6" x14ac:dyDescent="0.25">
      <c r="A46" s="507" t="s">
        <v>4071</v>
      </c>
      <c r="B46" s="204" t="s">
        <v>4222</v>
      </c>
    </row>
    <row r="47" spans="1:6" x14ac:dyDescent="0.25">
      <c r="A47" s="1109" t="s">
        <v>4170</v>
      </c>
      <c r="B47">
        <v>10</v>
      </c>
      <c r="D47" s="1193">
        <v>1</v>
      </c>
      <c r="F47" s="1109" t="str">
        <f>"[degrees]"&amp;$B$46&amp;D47&amp;"="&amp;B47</f>
        <v>[degrees]mpmoccauthan1=10</v>
      </c>
    </row>
    <row r="48" spans="1:6" x14ac:dyDescent="0.25">
      <c r="A48" s="907" t="s">
        <v>4078</v>
      </c>
      <c r="B48">
        <v>80</v>
      </c>
      <c r="D48" s="1193">
        <v>2</v>
      </c>
      <c r="F48" s="1109" t="str">
        <f>"[mm]"&amp;$B$46&amp;D48&amp;"="&amp;B48</f>
        <v>[mm]mpmoccauthan2=80</v>
      </c>
    </row>
    <row r="49" spans="1:6" x14ac:dyDescent="0.25">
      <c r="A49" s="507" t="s">
        <v>4072</v>
      </c>
      <c r="B49" s="204" t="s">
        <v>4223</v>
      </c>
    </row>
    <row r="50" spans="1:6" x14ac:dyDescent="0.25">
      <c r="A50" s="907" t="s">
        <v>4078</v>
      </c>
      <c r="B50" s="1109">
        <v>120</v>
      </c>
      <c r="D50" s="1193">
        <v>1</v>
      </c>
      <c r="F50" s="1109" t="str">
        <f>"[mm]"&amp;$B$49&amp;D50&amp;"="&amp;B50</f>
        <v>[mm]mptaitreomay1=120</v>
      </c>
    </row>
    <row r="51" spans="1:6" x14ac:dyDescent="0.25">
      <c r="A51" s="907" t="s">
        <v>4171</v>
      </c>
      <c r="B51">
        <v>300</v>
      </c>
      <c r="D51" s="1193">
        <v>2</v>
      </c>
      <c r="F51" s="1109" t="str">
        <f>"[mm]"&amp;$B$49&amp;D51&amp;"="&amp;B51</f>
        <v>[mm]mptaitreomay2=300</v>
      </c>
    </row>
    <row r="52" spans="1:6" x14ac:dyDescent="0.25">
      <c r="A52" s="507" t="s">
        <v>995</v>
      </c>
      <c r="B52" s="204" t="s">
        <v>4224</v>
      </c>
    </row>
    <row r="53" spans="1:6" x14ac:dyDescent="0.25">
      <c r="A53" s="907" t="s">
        <v>4172</v>
      </c>
      <c r="B53">
        <f>B55/2+B55</f>
        <v>43.5</v>
      </c>
      <c r="D53" s="1193">
        <v>1</v>
      </c>
      <c r="F53" s="1109" t="str">
        <f>"[degrees]"&amp;$B$52&amp;D53&amp;"="&amp;B53</f>
        <v>[degrees]mpsuhathe1=43.5</v>
      </c>
    </row>
    <row r="54" spans="1:6" x14ac:dyDescent="0.25">
      <c r="A54" s="907" t="s">
        <v>4209</v>
      </c>
      <c r="B54">
        <v>4</v>
      </c>
      <c r="D54" s="1193">
        <v>2</v>
      </c>
      <c r="F54" s="1109" t="str">
        <f>$B$52&amp;D54&amp;"="&amp;B54</f>
        <v>mpsuhathe2=4</v>
      </c>
    </row>
    <row r="55" spans="1:6" x14ac:dyDescent="0.25">
      <c r="A55" s="907" t="s">
        <v>4210</v>
      </c>
      <c r="B55">
        <f>ROUNDUP(B62/C3*360,0)</f>
        <v>29</v>
      </c>
      <c r="D55" s="1193">
        <v>3</v>
      </c>
      <c r="F55" s="1109" t="str">
        <f>"[degrees]"&amp;$B$52&amp;D55&amp;"="&amp;B55</f>
        <v>[degrees]mpsuhathe3=29</v>
      </c>
    </row>
    <row r="56" spans="1:6" x14ac:dyDescent="0.25">
      <c r="A56" s="907" t="s">
        <v>4173</v>
      </c>
      <c r="B56">
        <v>160</v>
      </c>
      <c r="D56" s="1193">
        <v>4</v>
      </c>
      <c r="F56" s="1109" t="str">
        <f t="shared" ref="F56:F61" si="1">"[mm]"&amp;$B$52&amp;D56&amp;"="&amp;B56</f>
        <v>[mm]mpsuhathe4=160</v>
      </c>
    </row>
    <row r="57" spans="1:6" s="1109" customFormat="1" x14ac:dyDescent="0.25">
      <c r="A57" s="907" t="s">
        <v>4195</v>
      </c>
      <c r="B57" s="1109">
        <v>60</v>
      </c>
      <c r="D57" s="1193">
        <v>5</v>
      </c>
      <c r="F57" s="1109" t="str">
        <f t="shared" si="1"/>
        <v>[mm]mpsuhathe5=60</v>
      </c>
    </row>
    <row r="58" spans="1:6" s="1109" customFormat="1" x14ac:dyDescent="0.25">
      <c r="A58" s="907" t="s">
        <v>4196</v>
      </c>
      <c r="B58" s="1109">
        <v>41</v>
      </c>
      <c r="D58" s="1193">
        <v>6</v>
      </c>
      <c r="F58" s="1109" t="str">
        <f t="shared" si="1"/>
        <v>[mm]mpsuhathe6=41</v>
      </c>
    </row>
    <row r="59" spans="1:6" s="1109" customFormat="1" x14ac:dyDescent="0.25">
      <c r="A59" s="907" t="s">
        <v>4197</v>
      </c>
      <c r="B59" s="1109">
        <v>61</v>
      </c>
      <c r="D59" s="1193">
        <v>7</v>
      </c>
      <c r="F59" s="1109" t="str">
        <f t="shared" si="1"/>
        <v>[mm]mpsuhathe7=61</v>
      </c>
    </row>
    <row r="60" spans="1:6" s="1109" customFormat="1" x14ac:dyDescent="0.25">
      <c r="A60" s="907" t="s">
        <v>4198</v>
      </c>
      <c r="B60" s="1109">
        <f>C5</f>
        <v>2.5</v>
      </c>
      <c r="D60" s="1193">
        <v>8</v>
      </c>
      <c r="F60" s="1109" t="str">
        <f t="shared" si="1"/>
        <v>[mm]mpsuhathe8=2.5</v>
      </c>
    </row>
    <row r="61" spans="1:6" s="1109" customFormat="1" x14ac:dyDescent="0.25">
      <c r="A61" s="907" t="s">
        <v>4199</v>
      </c>
      <c r="B61" s="1109">
        <v>70</v>
      </c>
      <c r="D61" s="1193">
        <v>9</v>
      </c>
      <c r="F61" s="1109" t="str">
        <f t="shared" si="1"/>
        <v>[mm]mpsuhathe9=70</v>
      </c>
    </row>
    <row r="62" spans="1:6" s="1109" customFormat="1" x14ac:dyDescent="0.25">
      <c r="A62" s="907" t="s">
        <v>4235</v>
      </c>
      <c r="B62" s="1109">
        <v>115</v>
      </c>
      <c r="D62" s="1193"/>
    </row>
    <row r="63" spans="1:6" s="1109" customFormat="1" x14ac:dyDescent="0.25">
      <c r="A63" s="507" t="s">
        <v>4075</v>
      </c>
      <c r="B63" s="204" t="s">
        <v>4225</v>
      </c>
      <c r="D63" s="1193"/>
    </row>
    <row r="64" spans="1:6" s="1109" customFormat="1" x14ac:dyDescent="0.25">
      <c r="A64" s="907" t="s">
        <v>4175</v>
      </c>
      <c r="B64" s="1109">
        <v>38</v>
      </c>
      <c r="D64" s="1193">
        <v>1</v>
      </c>
      <c r="F64" s="1109" t="str">
        <f>"[degrees]"&amp;$B$63&amp;D64&amp;"="&amp;B64</f>
        <v>[degrees]mplodieuchinh1=38</v>
      </c>
    </row>
    <row r="65" spans="1:6" x14ac:dyDescent="0.25">
      <c r="A65" s="907" t="s">
        <v>4174</v>
      </c>
      <c r="B65">
        <v>180</v>
      </c>
      <c r="D65" s="1193">
        <v>2</v>
      </c>
      <c r="F65" s="1109" t="str">
        <f t="shared" ref="F65:F71" si="2">"[mm]"&amp;$B$63&amp;D65&amp;"="&amp;B65</f>
        <v>[mm]mplodieuchinh2=180</v>
      </c>
    </row>
    <row r="66" spans="1:6" s="1109" customFormat="1" x14ac:dyDescent="0.25">
      <c r="A66" s="907" t="s">
        <v>4200</v>
      </c>
      <c r="B66" s="1109">
        <v>70</v>
      </c>
      <c r="D66" s="1193">
        <v>3</v>
      </c>
      <c r="F66" s="1109" t="str">
        <f t="shared" si="2"/>
        <v>[mm]mplodieuchinh3=70</v>
      </c>
    </row>
    <row r="67" spans="1:6" s="1109" customFormat="1" x14ac:dyDescent="0.25">
      <c r="A67" s="907" t="s">
        <v>4201</v>
      </c>
      <c r="B67" s="1109">
        <v>65</v>
      </c>
      <c r="D67" s="1193">
        <v>4</v>
      </c>
      <c r="F67" s="1109" t="str">
        <f t="shared" si="2"/>
        <v>[mm]mplodieuchinh4=65</v>
      </c>
    </row>
    <row r="68" spans="1:6" s="1109" customFormat="1" x14ac:dyDescent="0.25">
      <c r="A68" s="907" t="s">
        <v>4202</v>
      </c>
      <c r="B68" s="1109">
        <v>60</v>
      </c>
      <c r="D68" s="1193">
        <v>5</v>
      </c>
      <c r="F68" s="1109" t="str">
        <f t="shared" si="2"/>
        <v>[mm]mplodieuchinh5=60</v>
      </c>
    </row>
    <row r="69" spans="1:6" s="1109" customFormat="1" x14ac:dyDescent="0.25">
      <c r="A69" s="907" t="s">
        <v>4203</v>
      </c>
      <c r="B69" s="1109">
        <v>34</v>
      </c>
      <c r="D69" s="1193">
        <v>6</v>
      </c>
      <c r="F69" s="1109" t="str">
        <f t="shared" si="2"/>
        <v>[mm]mplodieuchinh6=34</v>
      </c>
    </row>
    <row r="70" spans="1:6" s="1109" customFormat="1" x14ac:dyDescent="0.25">
      <c r="A70" s="907" t="s">
        <v>4204</v>
      </c>
      <c r="B70" s="1109">
        <v>7</v>
      </c>
      <c r="D70" s="1193">
        <v>7</v>
      </c>
      <c r="F70" s="1109" t="str">
        <f t="shared" si="2"/>
        <v>[mm]mplodieuchinh7=7</v>
      </c>
    </row>
    <row r="71" spans="1:6" x14ac:dyDescent="0.25">
      <c r="A71" s="907" t="s">
        <v>4205</v>
      </c>
      <c r="B71">
        <v>30</v>
      </c>
      <c r="D71" s="1193">
        <v>8</v>
      </c>
      <c r="F71" s="1109" t="str">
        <f t="shared" si="2"/>
        <v>[mm]mplodieuchinh8=30</v>
      </c>
    </row>
    <row r="72" spans="1:6" x14ac:dyDescent="0.25">
      <c r="A72" s="507" t="s">
        <v>3532</v>
      </c>
      <c r="B72" s="204" t="s">
        <v>4226</v>
      </c>
    </row>
    <row r="73" spans="1:6" x14ac:dyDescent="0.25">
      <c r="A73" s="907" t="s">
        <v>4176</v>
      </c>
      <c r="B73">
        <v>38</v>
      </c>
      <c r="D73" s="1193">
        <v>1</v>
      </c>
      <c r="F73" s="1109" t="str">
        <f>"[degrees]"&amp;$B$72&amp;D73&amp;"="&amp;B73</f>
        <v>[degrees]mpvangiamap1=38</v>
      </c>
    </row>
    <row r="74" spans="1:6" x14ac:dyDescent="0.25">
      <c r="A74" t="s">
        <v>4177</v>
      </c>
      <c r="B74">
        <v>60</v>
      </c>
      <c r="D74" s="1193">
        <v>2</v>
      </c>
      <c r="F74" s="1109" t="str">
        <f>"[mm]"&amp;$B$72&amp;D74&amp;"="&amp;B74</f>
        <v>[mm]mpvangiamap2=60</v>
      </c>
    </row>
    <row r="75" spans="1:6" x14ac:dyDescent="0.25">
      <c r="A75" s="507" t="s">
        <v>4076</v>
      </c>
      <c r="B75" s="204" t="s">
        <v>4227</v>
      </c>
    </row>
    <row r="76" spans="1:6" x14ac:dyDescent="0.25">
      <c r="A76" s="1109" t="s">
        <v>4178</v>
      </c>
      <c r="B76">
        <v>95</v>
      </c>
      <c r="D76" s="1193">
        <v>1</v>
      </c>
      <c r="F76" s="1109" t="str">
        <f>"[mm]"&amp;$B$75&amp;D76&amp;"="&amp;B76</f>
        <v>[mm]mpmucdodau1=95</v>
      </c>
    </row>
    <row r="77" spans="1:6" x14ac:dyDescent="0.25">
      <c r="A77" t="s">
        <v>4179</v>
      </c>
      <c r="B77">
        <v>80</v>
      </c>
      <c r="D77" s="1193">
        <v>2</v>
      </c>
      <c r="F77" s="1109" t="str">
        <f>"[mm]"&amp;$B$75&amp;D77&amp;"="&amp;B77</f>
        <v>[mm]mpmucdodau2=80</v>
      </c>
    </row>
    <row r="78" spans="1:6" x14ac:dyDescent="0.25">
      <c r="A78" s="507" t="s">
        <v>4049</v>
      </c>
      <c r="B78" s="204" t="s">
        <v>4228</v>
      </c>
    </row>
    <row r="79" spans="1:6" x14ac:dyDescent="0.25">
      <c r="A79" t="s">
        <v>3979</v>
      </c>
      <c r="B79">
        <v>15</v>
      </c>
      <c r="D79" s="1193">
        <v>1</v>
      </c>
      <c r="F79" s="1109" t="str">
        <f>"[mm]"&amp;$B$78&amp;D79&amp;"="&amp;B79</f>
        <v>[mm]mpdaymay1=15</v>
      </c>
    </row>
    <row r="80" spans="1:6" x14ac:dyDescent="0.25">
      <c r="A80" t="s">
        <v>4180</v>
      </c>
      <c r="B80">
        <v>110</v>
      </c>
      <c r="D80" s="1193">
        <v>2</v>
      </c>
      <c r="F80" s="1109" t="str">
        <f>"[degrees]"&amp;$B$78&amp;D80&amp;"="&amp;B80</f>
        <v>[degrees]mpdaymay2=110</v>
      </c>
    </row>
    <row r="81" spans="1:6" s="1109" customFormat="1" x14ac:dyDescent="0.25">
      <c r="A81" s="1109" t="s">
        <v>4230</v>
      </c>
      <c r="B81" s="1109">
        <v>3</v>
      </c>
      <c r="D81" s="1193">
        <v>3</v>
      </c>
      <c r="F81" s="1109" t="str">
        <f>"[mm]"&amp;$B$78&amp;D81&amp;"="&amp;B81</f>
        <v>[mm]mpdaymay3=3</v>
      </c>
    </row>
    <row r="82" spans="1:6" s="1109" customFormat="1" x14ac:dyDescent="0.25">
      <c r="A82" s="1109" t="s">
        <v>4231</v>
      </c>
      <c r="B82" s="1109">
        <v>30</v>
      </c>
      <c r="D82" s="1193">
        <v>4</v>
      </c>
      <c r="F82" s="1109" t="str">
        <f>"[mm]"&amp;$B$78&amp;D82&amp;"="&amp;B82</f>
        <v>[mm]mpdaymay4=30</v>
      </c>
    </row>
    <row r="83" spans="1:6" x14ac:dyDescent="0.25">
      <c r="A83" s="507" t="s">
        <v>4181</v>
      </c>
      <c r="B83" s="204" t="s">
        <v>4229</v>
      </c>
    </row>
    <row r="84" spans="1:6" x14ac:dyDescent="0.25">
      <c r="A84" t="s">
        <v>4183</v>
      </c>
      <c r="B84">
        <f>C2+C5*2+7</f>
        <v>462</v>
      </c>
      <c r="D84" s="1193">
        <v>1</v>
      </c>
      <c r="F84" s="1109" t="str">
        <f t="shared" ref="F84:F91" si="3">"[mm]"&amp;$B$83&amp;D84&amp;"="&amp;B84</f>
        <v>[mm]mpnapmay1=462</v>
      </c>
    </row>
    <row r="85" spans="1:6" x14ac:dyDescent="0.25">
      <c r="A85" t="s">
        <v>4184</v>
      </c>
      <c r="B85">
        <v>46</v>
      </c>
      <c r="D85" s="1193">
        <v>2</v>
      </c>
      <c r="F85" s="1109" t="str">
        <f t="shared" si="3"/>
        <v>[mm]mpnapmay2=46</v>
      </c>
    </row>
    <row r="86" spans="1:6" x14ac:dyDescent="0.25">
      <c r="A86" t="s">
        <v>4185</v>
      </c>
      <c r="B86">
        <v>2.5</v>
      </c>
      <c r="D86" s="1193">
        <v>3</v>
      </c>
      <c r="F86" s="1109" t="str">
        <f t="shared" si="3"/>
        <v>[mm]mpnapmay3=2.5</v>
      </c>
    </row>
    <row r="87" spans="1:6" x14ac:dyDescent="0.25">
      <c r="A87" t="s">
        <v>4186</v>
      </c>
      <c r="B87">
        <v>20</v>
      </c>
      <c r="D87" s="1193">
        <v>4</v>
      </c>
      <c r="F87" s="1109" t="str">
        <f t="shared" si="3"/>
        <v>[mm]mpnapmay4=20</v>
      </c>
    </row>
    <row r="88" spans="1:6" x14ac:dyDescent="0.25">
      <c r="A88" t="s">
        <v>4187</v>
      </c>
      <c r="B88">
        <f>B84+12*2</f>
        <v>486</v>
      </c>
      <c r="D88" s="1193">
        <v>5</v>
      </c>
      <c r="F88" s="1109" t="str">
        <f t="shared" si="3"/>
        <v>[mm]mpnapmay5=486</v>
      </c>
    </row>
    <row r="89" spans="1:6" x14ac:dyDescent="0.25">
      <c r="A89" t="s">
        <v>4188</v>
      </c>
      <c r="B89">
        <v>130</v>
      </c>
      <c r="D89" s="1193">
        <v>6</v>
      </c>
      <c r="F89" s="1109" t="str">
        <f t="shared" si="3"/>
        <v>[mm]mpnapmay6=130</v>
      </c>
    </row>
    <row r="90" spans="1:6" x14ac:dyDescent="0.25">
      <c r="A90" s="1109" t="s">
        <v>4189</v>
      </c>
      <c r="B90">
        <v>60</v>
      </c>
      <c r="D90" s="1193">
        <v>7</v>
      </c>
      <c r="F90" s="1109" t="str">
        <f t="shared" si="3"/>
        <v>[mm]mpnapmay7=60</v>
      </c>
    </row>
    <row r="91" spans="1:6" x14ac:dyDescent="0.25">
      <c r="A91" t="s">
        <v>4192</v>
      </c>
      <c r="B91">
        <v>97</v>
      </c>
      <c r="D91" s="1193">
        <v>8</v>
      </c>
      <c r="F91" s="1109" t="str">
        <f t="shared" si="3"/>
        <v>[mm]mpnapmay8=97</v>
      </c>
    </row>
    <row r="92" spans="1:6" x14ac:dyDescent="0.25">
      <c r="A92" t="s">
        <v>4190</v>
      </c>
      <c r="B92">
        <v>5</v>
      </c>
      <c r="D92" s="1193">
        <v>9</v>
      </c>
      <c r="F92" s="1109" t="str">
        <f>"[degrees]"&amp;$B$83&amp;D92&amp;"="&amp;B92</f>
        <v>[degrees]mpnapmay9=5</v>
      </c>
    </row>
    <row r="93" spans="1:6" x14ac:dyDescent="0.25">
      <c r="A93" t="s">
        <v>4191</v>
      </c>
      <c r="B93">
        <v>2.5</v>
      </c>
      <c r="D93" s="1193">
        <v>10</v>
      </c>
      <c r="F93" s="1109" t="str">
        <f>"[mm]"&amp;$B$83&amp;D93&amp;"="&amp;B93</f>
        <v>[mm]mpnapmay10=2.5</v>
      </c>
    </row>
    <row r="94" spans="1:6" x14ac:dyDescent="0.25">
      <c r="A94" t="s">
        <v>4193</v>
      </c>
      <c r="B94">
        <v>66</v>
      </c>
      <c r="D94" s="1193">
        <v>11</v>
      </c>
      <c r="F94" s="1109" t="str">
        <f>"[mm]"&amp;$B$83&amp;D94&amp;"="&amp;B94</f>
        <v>[mm]mpnapmay11=66</v>
      </c>
    </row>
    <row r="95" spans="1:6" x14ac:dyDescent="0.25">
      <c r="A95" t="s">
        <v>4194</v>
      </c>
      <c r="B95">
        <f>B37</f>
        <v>30</v>
      </c>
      <c r="D95" s="1193">
        <v>12</v>
      </c>
      <c r="F95" s="1109" t="str">
        <f>"[degrees]"&amp;$B$83&amp;D95&amp;"="&amp;B95</f>
        <v>[degrees]mpnapmay12=30</v>
      </c>
    </row>
    <row r="96" spans="1:6" x14ac:dyDescent="0.25">
      <c r="A96" s="507" t="s">
        <v>4050</v>
      </c>
      <c r="B96" s="204" t="s">
        <v>4243</v>
      </c>
    </row>
    <row r="97" spans="1:6" x14ac:dyDescent="0.25">
      <c r="A97" t="s">
        <v>4244</v>
      </c>
      <c r="B97">
        <v>140</v>
      </c>
      <c r="D97" s="1193">
        <v>1</v>
      </c>
      <c r="F97" s="1109" t="str">
        <f>"[mm]"&amp;$B$96&amp;D97&amp;"="&amp;B97</f>
        <v>[mm]mpcanhmay1=140</v>
      </c>
    </row>
    <row r="98" spans="1:6" x14ac:dyDescent="0.25">
      <c r="A98" t="s">
        <v>4233</v>
      </c>
      <c r="B98">
        <v>45</v>
      </c>
      <c r="D98" s="1193">
        <v>2</v>
      </c>
      <c r="F98" s="1109" t="str">
        <f t="shared" ref="F98:F103" si="4">"[mm]"&amp;$B$96&amp;D98&amp;"="&amp;B98</f>
        <v>[mm]mpcanhmay2=45</v>
      </c>
    </row>
    <row r="99" spans="1:6" x14ac:dyDescent="0.25">
      <c r="A99" t="s">
        <v>159</v>
      </c>
      <c r="B99">
        <v>500</v>
      </c>
      <c r="D99" s="1193">
        <v>3</v>
      </c>
      <c r="F99" s="1109" t="str">
        <f t="shared" si="4"/>
        <v>[mm]mpcanhmay3=500</v>
      </c>
    </row>
    <row r="100" spans="1:6" x14ac:dyDescent="0.25">
      <c r="A100" t="s">
        <v>4234</v>
      </c>
      <c r="B100">
        <v>1.2</v>
      </c>
      <c r="D100" s="1193">
        <v>4</v>
      </c>
      <c r="F100" s="1109" t="str">
        <f t="shared" si="4"/>
        <v>[mm]mpcanhmay4=1.2</v>
      </c>
    </row>
    <row r="101" spans="1:6" x14ac:dyDescent="0.25">
      <c r="A101" t="s">
        <v>4236</v>
      </c>
      <c r="B101">
        <f>(B103-(B102-1)*B98)/2</f>
        <v>25</v>
      </c>
      <c r="D101" s="1193">
        <v>5</v>
      </c>
      <c r="F101" s="1109" t="str">
        <f t="shared" si="4"/>
        <v>[mm]mpcanhmay5=25</v>
      </c>
    </row>
    <row r="102" spans="1:6" x14ac:dyDescent="0.25">
      <c r="A102" t="s">
        <v>4237</v>
      </c>
      <c r="B102">
        <v>7</v>
      </c>
      <c r="D102" s="1193">
        <v>6</v>
      </c>
      <c r="F102" s="1109" t="str">
        <f>$B$96&amp;D102&amp;"="&amp;B102</f>
        <v>mpcanhmay6=7</v>
      </c>
    </row>
    <row r="103" spans="1:6" x14ac:dyDescent="0.25">
      <c r="A103" t="s">
        <v>4238</v>
      </c>
      <c r="B103">
        <v>320</v>
      </c>
      <c r="D103" s="1193">
        <v>7</v>
      </c>
      <c r="F103" s="1109" t="str">
        <f t="shared" si="4"/>
        <v>[mm]mpcanhmay7=320</v>
      </c>
    </row>
    <row r="104" spans="1:6" x14ac:dyDescent="0.25">
      <c r="A104" t="s">
        <v>4239</v>
      </c>
      <c r="B104">
        <f>B101/C3*360</f>
        <v>6.2962395069321229</v>
      </c>
      <c r="D104" s="1193">
        <v>8</v>
      </c>
      <c r="F104" s="1109" t="str">
        <f>"[degrees]"&amp;$B$96&amp;D104&amp;"="&amp;B104</f>
        <v>[degrees]mpcanhmay8=6.29623950693212</v>
      </c>
    </row>
    <row r="105" spans="1:6" x14ac:dyDescent="0.25">
      <c r="A105" t="s">
        <v>4240</v>
      </c>
      <c r="B105">
        <f>B103/C3*360</f>
        <v>80.591865688731176</v>
      </c>
      <c r="D105" s="1193">
        <v>9</v>
      </c>
      <c r="F105" s="1109" t="str">
        <f>"[degrees]"&amp;$B$96&amp;D105&amp;"="&amp;B105</f>
        <v>[degrees]mpcanhmay9=80.5918656887312</v>
      </c>
    </row>
    <row r="106" spans="1:6" x14ac:dyDescent="0.25">
      <c r="A106" t="s">
        <v>4241</v>
      </c>
      <c r="B106">
        <f>B98/C3*360</f>
        <v>11.333231112477822</v>
      </c>
      <c r="D106" s="1193">
        <v>10</v>
      </c>
      <c r="F106" s="1109" t="str">
        <f>"[degrees]"&amp;$B$96&amp;D106&amp;"="&amp;B106</f>
        <v>[degrees]mpcanhmay10=11.3332311124778</v>
      </c>
    </row>
    <row r="107" spans="1:6" x14ac:dyDescent="0.25">
      <c r="A107" t="s">
        <v>4246</v>
      </c>
      <c r="B107">
        <f>B103-20</f>
        <v>300</v>
      </c>
      <c r="D107" s="1193">
        <v>11</v>
      </c>
      <c r="F107" s="1109" t="str">
        <f>"[mm]"&amp;$B$96&amp;D107&amp;"="&amp;B107</f>
        <v>[mm]mpcanhmay11=300</v>
      </c>
    </row>
    <row r="108" spans="1:6" x14ac:dyDescent="0.25">
      <c r="A108" s="1109" t="s">
        <v>4245</v>
      </c>
      <c r="B108">
        <f>B107/C3*360</f>
        <v>75.554874083185481</v>
      </c>
      <c r="D108" s="1193">
        <v>12</v>
      </c>
      <c r="F108" s="1109" t="str">
        <f>"[degrees]"&amp;$B$96&amp;D108&amp;"="&amp;B108</f>
        <v>[degrees]mpcanhmay12=75.5548740831855</v>
      </c>
    </row>
    <row r="109" spans="1:6" x14ac:dyDescent="0.25">
      <c r="A109" s="507" t="s">
        <v>3953</v>
      </c>
      <c r="B109" s="204" t="s">
        <v>4247</v>
      </c>
    </row>
    <row r="110" spans="1:6" x14ac:dyDescent="0.25">
      <c r="A110" t="s">
        <v>3955</v>
      </c>
      <c r="B110">
        <f>B117-4</f>
        <v>149</v>
      </c>
      <c r="D110" s="1193">
        <v>1</v>
      </c>
      <c r="F110" s="1109" t="str">
        <f>"[mm]"&amp;$B$109&amp;D110&amp;"="&amp;B110</f>
        <v>[mm]mpsatkeptren1=149</v>
      </c>
    </row>
    <row r="111" spans="1:6" s="1109" customFormat="1" x14ac:dyDescent="0.25">
      <c r="A111" s="1109" t="s">
        <v>3954</v>
      </c>
      <c r="B111" s="1109">
        <v>36</v>
      </c>
      <c r="D111" s="1193">
        <v>2</v>
      </c>
      <c r="F111" s="1109" t="str">
        <f>"[mm]"&amp;$B$109&amp;D111&amp;"="&amp;B111</f>
        <v>[mm]mpsatkeptren2=36</v>
      </c>
    </row>
    <row r="112" spans="1:6" x14ac:dyDescent="0.25">
      <c r="A112" s="1109" t="s">
        <v>4259</v>
      </c>
      <c r="B112">
        <v>25</v>
      </c>
      <c r="D112" s="1193">
        <v>3</v>
      </c>
      <c r="F112" s="1109" t="str">
        <f>"[mm]"&amp;$B$109&amp;D112&amp;"="&amp;B112</f>
        <v>[mm]mpsatkeptren3=25</v>
      </c>
    </row>
    <row r="113" spans="1:6" x14ac:dyDescent="0.25">
      <c r="A113" s="1109"/>
    </row>
    <row r="114" spans="1:6" x14ac:dyDescent="0.25">
      <c r="A114" s="1109"/>
    </row>
    <row r="115" spans="1:6" x14ac:dyDescent="0.25">
      <c r="A115" s="1109"/>
    </row>
    <row r="116" spans="1:6" x14ac:dyDescent="0.25">
      <c r="A116" s="507" t="s">
        <v>3951</v>
      </c>
      <c r="B116" s="204" t="s">
        <v>4248</v>
      </c>
    </row>
    <row r="117" spans="1:6" s="1109" customFormat="1" x14ac:dyDescent="0.25">
      <c r="A117" t="s">
        <v>4249</v>
      </c>
      <c r="B117">
        <f>ROUNDUP(Unicore!B8+Unicore!B4*4+Unicore!B2*2+Unicore!D60*2,0)</f>
        <v>153</v>
      </c>
      <c r="D117" s="1193">
        <v>1</v>
      </c>
      <c r="F117" s="1109" t="str">
        <f>"[mm]"&amp;$B$116&amp;D117&amp;"="&amp;B117</f>
        <v>[mm]mpsatkepduoi1=153</v>
      </c>
    </row>
    <row r="118" spans="1:6" x14ac:dyDescent="0.25">
      <c r="A118" t="s">
        <v>4256</v>
      </c>
      <c r="B118">
        <f>B120+B123+15</f>
        <v>455</v>
      </c>
      <c r="D118" s="1193">
        <v>2</v>
      </c>
      <c r="F118" s="1109" t="str">
        <f t="shared" ref="F118:F124" si="5">"[mm]"&amp;$B$116&amp;D118&amp;"="&amp;B118</f>
        <v>[mm]mpsatkepduoi2=455</v>
      </c>
    </row>
    <row r="119" spans="1:6" x14ac:dyDescent="0.25">
      <c r="A119" s="907" t="s">
        <v>4250</v>
      </c>
      <c r="B119">
        <f>B118-Unicore!B4*2-Unicore!B1-Unicore!D59-Unicore!D61+5</f>
        <v>68</v>
      </c>
      <c r="D119" s="1193">
        <v>3</v>
      </c>
      <c r="F119" s="1109" t="str">
        <f t="shared" si="5"/>
        <v>[mm]mpsatkepduoi3=68</v>
      </c>
    </row>
    <row r="120" spans="1:6" x14ac:dyDescent="0.25">
      <c r="A120" s="907" t="s">
        <v>4251</v>
      </c>
      <c r="B120">
        <f>Unicore!D61+Unicore!B4*2+Unicore!B1+Unicore!D59+'1pha'!B111/2</f>
        <v>410</v>
      </c>
      <c r="D120" s="1193">
        <v>4</v>
      </c>
      <c r="F120" s="1109" t="str">
        <f t="shared" si="5"/>
        <v>[mm]mpsatkepduoi4=410</v>
      </c>
    </row>
    <row r="121" spans="1:6" x14ac:dyDescent="0.25">
      <c r="A121" s="907" t="s">
        <v>4252</v>
      </c>
      <c r="B121">
        <v>25</v>
      </c>
      <c r="D121" s="1193">
        <v>5</v>
      </c>
      <c r="F121" s="1109" t="str">
        <f t="shared" si="5"/>
        <v>[mm]mpsatkepduoi5=25</v>
      </c>
    </row>
    <row r="122" spans="1:6" x14ac:dyDescent="0.25">
      <c r="A122" s="907" t="s">
        <v>4253</v>
      </c>
      <c r="B122">
        <v>12</v>
      </c>
      <c r="D122" s="1193">
        <v>6</v>
      </c>
      <c r="F122" s="1109" t="str">
        <f t="shared" si="5"/>
        <v>[mm]mpsatkepduoi6=12</v>
      </c>
    </row>
    <row r="123" spans="1:6" x14ac:dyDescent="0.25">
      <c r="A123" s="907" t="s">
        <v>4254</v>
      </c>
      <c r="B123">
        <v>30</v>
      </c>
      <c r="D123" s="1193">
        <v>7</v>
      </c>
      <c r="F123" s="1109" t="str">
        <f t="shared" si="5"/>
        <v>[mm]mpsatkepduoi7=30</v>
      </c>
    </row>
    <row r="124" spans="1:6" x14ac:dyDescent="0.25">
      <c r="A124" s="907" t="s">
        <v>4255</v>
      </c>
      <c r="B124">
        <v>35</v>
      </c>
      <c r="D124" s="1193">
        <v>8</v>
      </c>
      <c r="F124" s="1109" t="str">
        <f t="shared" si="5"/>
        <v>[mm]mpsatkepduoi8=35</v>
      </c>
    </row>
    <row r="125" spans="1:6" x14ac:dyDescent="0.25">
      <c r="A125" s="907"/>
    </row>
    <row r="127" spans="1:6" x14ac:dyDescent="0.25">
      <c r="A127" s="507" t="s">
        <v>630</v>
      </c>
      <c r="B127" s="1193" t="s">
        <v>4257</v>
      </c>
      <c r="C127" s="555"/>
      <c r="E127" s="555"/>
    </row>
    <row r="128" spans="1:6" x14ac:dyDescent="0.25">
      <c r="A128" s="1109" t="s">
        <v>3941</v>
      </c>
      <c r="B128" s="509">
        <f>Unicore!B58+Unicore!D67</f>
        <v>512.5</v>
      </c>
      <c r="D128" s="1193">
        <v>1</v>
      </c>
      <c r="F128" s="1109" t="str">
        <f>"[mm]"&amp;$B$127&amp;D128&amp;"="&amp;B128</f>
        <v>[mm]mpBia1=512.5</v>
      </c>
    </row>
    <row r="129" spans="1:6" x14ac:dyDescent="0.25">
      <c r="A129" s="1109" t="s">
        <v>3942</v>
      </c>
      <c r="B129">
        <f>B117</f>
        <v>153</v>
      </c>
      <c r="D129" s="1193">
        <v>2</v>
      </c>
      <c r="F129" s="1109" t="str">
        <f>"[mm]"&amp;$B$127&amp;D129&amp;"="&amp;B129</f>
        <v>[mm]mpBia2=153</v>
      </c>
    </row>
    <row r="130" spans="1:6" x14ac:dyDescent="0.25">
      <c r="A130" s="1109" t="s">
        <v>3944</v>
      </c>
      <c r="B130">
        <f>B129</f>
        <v>153</v>
      </c>
      <c r="D130" s="1193">
        <v>3</v>
      </c>
      <c r="F130" s="1109" t="str">
        <f>"[mm]"&amp;$B$127&amp;D130&amp;"="&amp;B130</f>
        <v>[mm]mpBia3=153</v>
      </c>
    </row>
    <row r="131" spans="1:6" x14ac:dyDescent="0.25">
      <c r="A131" s="1109" t="s">
        <v>4258</v>
      </c>
      <c r="B131" s="509">
        <f>Unicore!E58+Unicore!D67</f>
        <v>-5</v>
      </c>
      <c r="D131" s="1193">
        <v>4</v>
      </c>
      <c r="E131" s="1109"/>
      <c r="F131" s="1109" t="str">
        <f>"[mm]"&amp;$B$127&amp;D131&amp;"="&amp;B131</f>
        <v>[mm]mpBia4=-5</v>
      </c>
    </row>
    <row r="132" spans="1:6" x14ac:dyDescent="0.25">
      <c r="A132" s="1109"/>
    </row>
    <row r="133" spans="1:6" x14ac:dyDescent="0.25">
      <c r="A133" s="507" t="s">
        <v>335</v>
      </c>
      <c r="B133" s="204" t="s">
        <v>4261</v>
      </c>
    </row>
    <row r="134" spans="1:6" x14ac:dyDescent="0.25">
      <c r="A134" s="1109" t="s">
        <v>4260</v>
      </c>
      <c r="B134">
        <f>C4-B82-Unicore!B76-Unicore!D61-Unicore!B4-(Unicore!B1-Unicore!F1)/2</f>
        <v>626</v>
      </c>
      <c r="D134" s="1193">
        <v>1</v>
      </c>
      <c r="F134" s="1109" t="str">
        <f>"[mm]"&amp;$B$133&amp;D134&amp;"="&amp;B134</f>
        <v>[mm]mpDQ1=626</v>
      </c>
    </row>
    <row r="135" spans="1:6" x14ac:dyDescent="0.25">
      <c r="A135" s="1109"/>
    </row>
    <row r="136" spans="1:6" x14ac:dyDescent="0.25">
      <c r="A136" s="507" t="s">
        <v>4262</v>
      </c>
    </row>
    <row r="137" spans="1:6" x14ac:dyDescent="0.25">
      <c r="A137" s="1109" t="s">
        <v>934</v>
      </c>
      <c r="B137" t="s">
        <v>4263</v>
      </c>
      <c r="C137" t="s">
        <v>4264</v>
      </c>
      <c r="D137" s="1194" t="s">
        <v>4265</v>
      </c>
      <c r="E137" t="s">
        <v>838</v>
      </c>
      <c r="F137" t="s">
        <v>4266</v>
      </c>
    </row>
    <row r="138" spans="1:6" x14ac:dyDescent="0.25">
      <c r="A138">
        <v>1</v>
      </c>
      <c r="B138" t="s">
        <v>4268</v>
      </c>
      <c r="C138" t="s">
        <v>4267</v>
      </c>
      <c r="D138" s="1194">
        <v>1</v>
      </c>
      <c r="E138">
        <v>1</v>
      </c>
      <c r="F138">
        <v>12</v>
      </c>
    </row>
    <row r="139" spans="1:6" x14ac:dyDescent="0.25">
      <c r="A139" s="1109">
        <v>2</v>
      </c>
      <c r="B139" s="1109" t="s">
        <v>4270</v>
      </c>
      <c r="C139" s="1109" t="s">
        <v>4267</v>
      </c>
      <c r="D139" s="1194">
        <v>2</v>
      </c>
      <c r="E139" s="1109">
        <v>1</v>
      </c>
      <c r="F139" s="1109">
        <v>12</v>
      </c>
    </row>
    <row r="140" spans="1:6" x14ac:dyDescent="0.25">
      <c r="A140" s="1109">
        <v>3</v>
      </c>
      <c r="B140" s="1109" t="s">
        <v>4269</v>
      </c>
      <c r="C140" s="1109" t="s">
        <v>4267</v>
      </c>
      <c r="D140" s="1194">
        <v>3</v>
      </c>
      <c r="E140" s="1109">
        <v>1</v>
      </c>
      <c r="F140" s="1109">
        <v>12</v>
      </c>
    </row>
    <row r="141" spans="1:6" x14ac:dyDescent="0.25">
      <c r="A141" s="1109">
        <v>4</v>
      </c>
      <c r="B141" s="1109" t="s">
        <v>4271</v>
      </c>
      <c r="C141" s="1109" t="s">
        <v>4267</v>
      </c>
      <c r="D141" s="1194">
        <v>4</v>
      </c>
      <c r="E141" s="1109">
        <v>1</v>
      </c>
      <c r="F141" s="1109">
        <v>12</v>
      </c>
    </row>
  </sheetData>
  <pageMargins left="0.7" right="0.7" top="0.75" bottom="0.75" header="0.3" footer="0.3"/>
  <pageSetup paperSize="9" orientation="portrait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R117"/>
  <sheetViews>
    <sheetView zoomScale="85" zoomScaleNormal="85" workbookViewId="0">
      <pane ySplit="1" topLeftCell="A2" activePane="bottomLeft" state="frozen"/>
      <selection pane="bottomLeft" activeCell="D65" sqref="D65"/>
    </sheetView>
  </sheetViews>
  <sheetFormatPr defaultRowHeight="15" x14ac:dyDescent="0.25"/>
  <cols>
    <col min="1" max="1" width="40.5703125" style="545" customWidth="1"/>
    <col min="2" max="2" width="16.7109375" style="555" customWidth="1"/>
    <col min="3" max="3" width="15.28515625" style="555" customWidth="1"/>
    <col min="4" max="4" width="19.28515625" style="555" customWidth="1"/>
    <col min="5" max="5" width="39.42578125" style="555" customWidth="1"/>
    <col min="6" max="6" width="9.140625" style="545"/>
    <col min="7" max="7" width="7.5703125" style="545" customWidth="1"/>
    <col min="8" max="8" width="46" style="545" customWidth="1"/>
    <col min="9" max="9" width="7.7109375" style="545" customWidth="1"/>
    <col min="10" max="12" width="24.42578125" style="1101" customWidth="1"/>
    <col min="13" max="13" width="25" style="1101" customWidth="1"/>
    <col min="14" max="18" width="9.140625" style="1101"/>
    <col min="19" max="16384" width="9.140625" style="545"/>
  </cols>
  <sheetData>
    <row r="1" spans="1:14" ht="39" customHeight="1" x14ac:dyDescent="0.25">
      <c r="A1" s="545" t="s">
        <v>3933</v>
      </c>
      <c r="B1" s="1087">
        <f>Sheet5!C28</f>
        <v>390</v>
      </c>
      <c r="C1" s="555">
        <v>1</v>
      </c>
      <c r="D1" s="204" t="str">
        <f t="shared" ref="D1:D6" si="0">CONCATENATE("[mm]",$B$26,$B$28,C1,"=",B1)</f>
        <v>[mm]UNITon1=390</v>
      </c>
      <c r="E1" s="555" t="str">
        <f>Sheet5!D14</f>
        <v>Chiêu cao hạ thế</v>
      </c>
      <c r="F1" s="1087">
        <f>Sheet5!E14</f>
        <v>350</v>
      </c>
      <c r="H1" s="545" t="str">
        <f>Sheet5!G14</f>
        <v>Tổng só vòng \ Số vòng 1 lớp</v>
      </c>
      <c r="I1" s="1049">
        <f>Sheet5!H14</f>
        <v>2860</v>
      </c>
      <c r="J1" s="1049">
        <f>Sheet5!I14</f>
        <v>136.19</v>
      </c>
      <c r="K1" s="545"/>
      <c r="L1" s="545"/>
      <c r="M1" s="545"/>
      <c r="N1" s="545"/>
    </row>
    <row r="2" spans="1:14" x14ac:dyDescent="0.25">
      <c r="A2" s="545" t="s">
        <v>3934</v>
      </c>
      <c r="B2" s="1087">
        <f>Sheet5!B34</f>
        <v>0</v>
      </c>
      <c r="C2" s="555">
        <v>2</v>
      </c>
      <c r="D2" s="204" t="str">
        <f t="shared" si="0"/>
        <v>[mm]UNITon2=0</v>
      </c>
      <c r="E2" s="555" t="str">
        <f>Sheet5!D15</f>
        <v>Kích thước trong phía trong cửa sổ \ Cao hạ</v>
      </c>
      <c r="F2" s="1102">
        <f>Sheet5!E15</f>
        <v>152</v>
      </c>
      <c r="G2" s="1049">
        <f>Sheet5!F15</f>
        <v>186.21713368932572</v>
      </c>
      <c r="H2" s="1049" t="str">
        <f>Sheet5!G15</f>
        <v>Kích thước dây  hướng kính\hướng trục(có cđ)</v>
      </c>
      <c r="I2" s="545">
        <f>Sheet5!H15</f>
        <v>1.9</v>
      </c>
      <c r="J2" s="545">
        <f>Sheet5!I15</f>
        <v>1.9</v>
      </c>
      <c r="K2" s="545">
        <f>Sheet5!J15</f>
        <v>0</v>
      </c>
      <c r="L2" s="545">
        <f>Sheet5!K15</f>
        <v>0</v>
      </c>
      <c r="M2" s="545"/>
      <c r="N2" s="1101">
        <v>22</v>
      </c>
    </row>
    <row r="3" spans="1:14" x14ac:dyDescent="0.25">
      <c r="A3" s="545" t="s">
        <v>3935</v>
      </c>
      <c r="B3" s="1087">
        <f>Sheet5!C34</f>
        <v>0</v>
      </c>
      <c r="C3" s="555">
        <v>3</v>
      </c>
      <c r="D3" s="204" t="str">
        <f t="shared" si="0"/>
        <v>[mm]UNITon3=0</v>
      </c>
      <c r="E3" s="555" t="str">
        <f>Sheet5!D16</f>
        <v>Kích thước ngoài phía trong cửa sổ \ Cao hạ</v>
      </c>
      <c r="F3" s="1102">
        <f>ROUND(Sheet5!E16,0)</f>
        <v>261</v>
      </c>
      <c r="G3" s="1102">
        <f>ROUND(Sheet5!F16,0)</f>
        <v>295</v>
      </c>
      <c r="H3" s="1049" t="str">
        <f>Sheet5!G16</f>
        <v>Chiều dày cách điện lớp</v>
      </c>
      <c r="I3" s="545">
        <f>Sheet5!H16</f>
        <v>0.15</v>
      </c>
      <c r="J3" s="1049">
        <f>Sheet5!I16</f>
        <v>0</v>
      </c>
      <c r="K3" s="545"/>
      <c r="L3" s="545"/>
      <c r="M3" s="545"/>
      <c r="N3" s="1101">
        <v>23</v>
      </c>
    </row>
    <row r="4" spans="1:14" x14ac:dyDescent="0.25">
      <c r="A4" s="545" t="s">
        <v>3936</v>
      </c>
      <c r="B4" s="1102">
        <f>Sheet5!B30/2</f>
        <v>0</v>
      </c>
      <c r="C4" s="555">
        <v>4</v>
      </c>
      <c r="D4" s="204" t="str">
        <f t="shared" si="0"/>
        <v>[mm]UNITon4=0</v>
      </c>
      <c r="E4" s="555" t="str">
        <f>Sheet5!D17</f>
        <v>Chiêu dày dây phía cửa sổ \ phía cao hạ</v>
      </c>
      <c r="F4" s="1102">
        <f>Sheet5!E17</f>
        <v>54.4848</v>
      </c>
      <c r="G4" s="509">
        <f>Sheet5!F17</f>
        <v>54.4848</v>
      </c>
      <c r="H4" s="509" t="str">
        <f>Sheet5!G17</f>
        <v>Số sợi hướng kính\ hướng trục</v>
      </c>
      <c r="I4" s="509">
        <f>Sheet5!H17</f>
        <v>1</v>
      </c>
      <c r="J4" s="509">
        <f>Sheet5!I17</f>
        <v>1</v>
      </c>
      <c r="K4" s="509">
        <f>Sheet5!J17</f>
        <v>0</v>
      </c>
      <c r="L4" s="509">
        <f>Sheet5!K17</f>
        <v>0</v>
      </c>
      <c r="M4" s="545"/>
      <c r="N4" s="1101">
        <v>24</v>
      </c>
    </row>
    <row r="5" spans="1:14" x14ac:dyDescent="0.25">
      <c r="A5" s="545" t="s">
        <v>3937</v>
      </c>
      <c r="B5" s="1102">
        <f>Sheet5!C30+Sheet5!C26</f>
        <v>0</v>
      </c>
      <c r="C5" s="555">
        <v>5</v>
      </c>
      <c r="D5" s="204" t="str">
        <f t="shared" si="0"/>
        <v>[mm]UNITon5=0</v>
      </c>
      <c r="E5" s="555" t="str">
        <f>Sheet5!D18</f>
        <v>Số thông dầu dây phía cửa sổ \ phía cao</v>
      </c>
      <c r="F5" s="555">
        <f>Sheet5!E18</f>
        <v>2</v>
      </c>
      <c r="G5" s="545">
        <f>Sheet5!F18</f>
        <v>2</v>
      </c>
      <c r="H5" s="545" t="str">
        <f>Sheet5!G18</f>
        <v>Chu vi trong\ chu vi ngoài</v>
      </c>
      <c r="I5" s="545">
        <f>Sheet5!H18</f>
        <v>546</v>
      </c>
      <c r="J5" s="545">
        <f>Sheet5!I18</f>
        <v>888</v>
      </c>
      <c r="K5" s="545"/>
      <c r="L5" s="545"/>
      <c r="M5" s="545"/>
      <c r="N5" s="1101">
        <v>25</v>
      </c>
    </row>
    <row r="6" spans="1:14" x14ac:dyDescent="0.25">
      <c r="A6" s="545" t="s">
        <v>3976</v>
      </c>
      <c r="B6" s="555">
        <v>1.3</v>
      </c>
      <c r="C6" s="555">
        <v>6</v>
      </c>
      <c r="D6" s="204" t="str">
        <f t="shared" si="0"/>
        <v>[mm]UNITon6=1.3</v>
      </c>
      <c r="E6" s="555" t="str">
        <f>Sheet5!D19</f>
        <v>Kích thước thông dầu\Phía hạ</v>
      </c>
      <c r="F6" s="1102">
        <f>Sheet5!E19</f>
        <v>4.5</v>
      </c>
      <c r="G6" s="509">
        <f>Sheet5!F19</f>
        <v>2</v>
      </c>
      <c r="H6" s="545" t="str">
        <f>Sheet5!G19</f>
        <v>Trọng lượng tinh\ thô</v>
      </c>
      <c r="I6" s="509">
        <f>Sheet5!H19</f>
        <v>167.68536922493391</v>
      </c>
      <c r="J6" s="509">
        <f>Sheet5!I19</f>
        <v>0</v>
      </c>
      <c r="K6" s="545"/>
      <c r="L6" s="545"/>
      <c r="M6" s="545"/>
      <c r="N6" s="1101">
        <v>26</v>
      </c>
    </row>
    <row r="7" spans="1:14" x14ac:dyDescent="0.25">
      <c r="A7" s="512" t="s">
        <v>331</v>
      </c>
      <c r="B7" s="1082" t="s">
        <v>3938</v>
      </c>
      <c r="E7" s="555" t="str">
        <f>Sheet5!D20</f>
        <v>Khoảng cách cao hạ</v>
      </c>
      <c r="F7" s="1102">
        <f>Sheet5!E20</f>
        <v>15</v>
      </c>
      <c r="G7" s="545">
        <f>Sheet5!F20</f>
        <v>0</v>
      </c>
      <c r="H7" s="545" t="str">
        <f>Sheet5!G20</f>
        <v>Cách điện dây\ Vật liêu dây quấn</v>
      </c>
      <c r="I7" s="509">
        <f>Sheet5!H20</f>
        <v>0.06</v>
      </c>
      <c r="J7" s="509" t="str">
        <f>Sheet5!I20</f>
        <v>Cu</v>
      </c>
      <c r="K7" s="545"/>
      <c r="L7" s="545"/>
      <c r="M7" s="545"/>
      <c r="N7" s="1101">
        <v>27</v>
      </c>
    </row>
    <row r="8" spans="1:14" x14ac:dyDescent="0.25">
      <c r="A8" s="1108" t="s">
        <v>4020</v>
      </c>
      <c r="B8" s="555">
        <f>F2-B4*2-B6</f>
        <v>150.69999999999999</v>
      </c>
      <c r="C8" s="555">
        <v>7</v>
      </c>
      <c r="D8" s="204" t="str">
        <f>CONCATENATE("[mm]",$B$26,$B$28,C8,"=",B8)</f>
        <v>[mm]UNITon7=150.7</v>
      </c>
      <c r="F8" s="555"/>
      <c r="J8" s="545"/>
      <c r="K8" s="545"/>
      <c r="L8" s="545"/>
    </row>
    <row r="9" spans="1:14" x14ac:dyDescent="0.25">
      <c r="A9" s="1108" t="s">
        <v>249</v>
      </c>
      <c r="B9" s="555">
        <f>B2+B4*2+B8</f>
        <v>150.69999999999999</v>
      </c>
      <c r="E9" s="555" t="str">
        <f>Sheet5!D23</f>
        <v>Chiêu cao hạ thế</v>
      </c>
      <c r="F9" s="1087">
        <f>Sheet5!E23</f>
        <v>350</v>
      </c>
      <c r="H9" s="545" t="str">
        <f>Sheet5!G23</f>
        <v>Số lớp cơ bản \ điều chỉnh</v>
      </c>
      <c r="I9" s="1049">
        <f>Sheet5!H23</f>
        <v>22</v>
      </c>
      <c r="J9" s="1049">
        <f>Sheet5!I23</f>
        <v>0</v>
      </c>
      <c r="K9" s="545"/>
      <c r="L9" s="545"/>
      <c r="M9" s="545"/>
    </row>
    <row r="10" spans="1:14" x14ac:dyDescent="0.25">
      <c r="A10" s="1108" t="s">
        <v>4090</v>
      </c>
      <c r="E10" s="555" t="str">
        <f>Sheet5!D24</f>
        <v>Kích thước trong phía trong cửa sổ \ Cao hạ</v>
      </c>
      <c r="F10" s="1102">
        <f>ROUND(Sheet5!E24,0)</f>
        <v>291</v>
      </c>
      <c r="G10" s="1102">
        <f>ROUND(Sheet5!F24,0)</f>
        <v>325</v>
      </c>
      <c r="H10" s="1049" t="str">
        <f>Sheet5!G24</f>
        <v>Kích thước dây  hướng kính\hướng trục(có cđ)</v>
      </c>
      <c r="I10" s="509">
        <f>Sheet5!H24</f>
        <v>1.9</v>
      </c>
      <c r="J10" s="509">
        <f>Sheet5!I24</f>
        <v>1.9</v>
      </c>
      <c r="K10" s="545"/>
      <c r="L10" s="545"/>
      <c r="M10" s="545"/>
      <c r="N10" s="1101">
        <v>28</v>
      </c>
    </row>
    <row r="11" spans="1:14" x14ac:dyDescent="0.25">
      <c r="A11" s="1108" t="s">
        <v>4105</v>
      </c>
      <c r="B11" s="1102">
        <f>Sheet5!B27</f>
        <v>120</v>
      </c>
      <c r="D11" s="204" t="str">
        <f>CONCATENATE("[mm]",$B$26,$A$11,C11,"=",B11)</f>
        <v>[mm]UNIYoketop=120</v>
      </c>
      <c r="E11" s="555" t="str">
        <f>Sheet5!D25</f>
        <v>Kích thước ngoài phía trong cửa sổ \ Cao hạ</v>
      </c>
      <c r="F11" s="1102">
        <f>ROUND(Sheet5!E25,0)</f>
        <v>413</v>
      </c>
      <c r="G11" s="1102">
        <f>ROUND(Sheet5!F25,0)</f>
        <v>443</v>
      </c>
      <c r="H11" s="1049" t="str">
        <f>Sheet5!G25</f>
        <v>Chiều dày cách điện lớp\ cđ lớp tăng cường</v>
      </c>
      <c r="I11" s="545">
        <f>Sheet5!H25</f>
        <v>0.15</v>
      </c>
      <c r="J11" s="545">
        <f>Sheet5!I25</f>
        <v>0.15</v>
      </c>
      <c r="K11" s="545"/>
      <c r="L11" s="545"/>
      <c r="M11" s="545"/>
      <c r="N11" s="1101">
        <v>29</v>
      </c>
    </row>
    <row r="12" spans="1:14" x14ac:dyDescent="0.25">
      <c r="A12" s="1108" t="s">
        <v>4106</v>
      </c>
      <c r="B12" s="555">
        <f>B11+B90+D59+B4+(B1-F1)/2</f>
        <v>144</v>
      </c>
      <c r="D12" s="204" t="str">
        <f>CONCATENATE("[mm]",$B$26,$A$12,C12,"=",B12)</f>
        <v>[mm]UNIYoketopdaycap=144</v>
      </c>
      <c r="E12" s="555" t="str">
        <f>Sheet5!D26</f>
        <v>Chiêu dày dây phía cửa sổ \ phía cao hạ</v>
      </c>
      <c r="F12" s="1102">
        <f>Sheet5!E26</f>
        <v>61.003599999999999</v>
      </c>
      <c r="G12" s="509">
        <f>Sheet5!F26</f>
        <v>58.753599999999999</v>
      </c>
      <c r="H12" s="509" t="str">
        <f>Sheet5!G26</f>
        <v>Số sợi hướng kính dây cơ bản\ điều chỉnh</v>
      </c>
      <c r="I12" s="509">
        <f>Sheet5!H26</f>
        <v>1</v>
      </c>
      <c r="J12" s="509">
        <f>Sheet5!I26</f>
        <v>1</v>
      </c>
      <c r="K12" s="545"/>
      <c r="L12" s="545"/>
      <c r="M12" s="545"/>
      <c r="N12" s="1101">
        <v>30</v>
      </c>
    </row>
    <row r="13" spans="1:14" x14ac:dyDescent="0.25">
      <c r="E13" s="555" t="str">
        <f>Sheet5!D27</f>
        <v>Số thông dầu dây phía cửa sổ \ phía cao</v>
      </c>
      <c r="F13" s="555">
        <f>Sheet5!E27</f>
        <v>3</v>
      </c>
      <c r="G13" s="545">
        <f>Sheet5!F27</f>
        <v>3</v>
      </c>
      <c r="H13" s="509" t="str">
        <f>Sheet5!G27</f>
        <v>Số sợi hướng trục dây cơ bản\ điều chỉnh</v>
      </c>
      <c r="I13" s="545">
        <f>Sheet5!H27</f>
        <v>1</v>
      </c>
      <c r="J13" s="545">
        <f>Sheet5!I27</f>
        <v>1</v>
      </c>
      <c r="K13" s="545"/>
      <c r="L13" s="545"/>
      <c r="M13" s="545"/>
      <c r="N13" s="1101">
        <v>31</v>
      </c>
    </row>
    <row r="14" spans="1:14" x14ac:dyDescent="0.25">
      <c r="E14" s="555" t="str">
        <f>Sheet5!D28</f>
        <v>Kích thước thông dầu\Phía hạ</v>
      </c>
      <c r="F14" s="1102">
        <f>Sheet5!E28</f>
        <v>4.5</v>
      </c>
      <c r="G14" s="545">
        <f>Sheet5!F28</f>
        <v>2</v>
      </c>
      <c r="H14" s="545" t="str">
        <f>Sheet5!G28</f>
        <v>Chu vi trong\ ngoài</v>
      </c>
      <c r="I14" s="509">
        <f>Sheet5!H28</f>
        <v>983</v>
      </c>
      <c r="J14" s="509">
        <f>Sheet5!I28</f>
        <v>1357</v>
      </c>
      <c r="K14" s="545"/>
      <c r="L14" s="545"/>
      <c r="M14" s="545"/>
      <c r="N14" s="1101">
        <v>32</v>
      </c>
    </row>
    <row r="15" spans="1:14" x14ac:dyDescent="0.25">
      <c r="E15" s="555" t="str">
        <f>Sheet5!D29</f>
        <v>Số vòng lớp phần cơ bản\ toàn bộ</v>
      </c>
      <c r="F15" s="1102">
        <f>Sheet5!E29</f>
        <v>2860</v>
      </c>
      <c r="G15" s="509">
        <f>Sheet5!F29</f>
        <v>2860</v>
      </c>
      <c r="H15" s="545" t="str">
        <f>Sheet5!G29</f>
        <v>Trọng lượng tinh\ thô\ Điều chỉnh</v>
      </c>
      <c r="I15" s="509">
        <f>Sheet5!H29</f>
        <v>258.39999999999998</v>
      </c>
      <c r="J15" s="509">
        <f>Sheet5!I29</f>
        <v>258.39999999999998</v>
      </c>
      <c r="K15" s="509">
        <f>Sheet5!J29</f>
        <v>0</v>
      </c>
      <c r="L15" s="545"/>
      <c r="M15" s="545"/>
      <c r="N15" s="1101">
        <v>33</v>
      </c>
    </row>
    <row r="16" spans="1:14" x14ac:dyDescent="0.25">
      <c r="E16" s="555" t="str">
        <f>Sheet5!D30</f>
        <v xml:space="preserve">Số vòng 1 nấc điều chỉnh </v>
      </c>
      <c r="F16" s="1102">
        <f>Sheet5!E30</f>
        <v>0</v>
      </c>
      <c r="G16" s="545">
        <f>Sheet5!F30</f>
        <v>0</v>
      </c>
      <c r="H16" s="545" t="str">
        <f>Sheet5!G30</f>
        <v>Cách điện dây\ vật liệu dây quấn\ vật liêu day Đc</v>
      </c>
      <c r="I16" s="509">
        <f>Sheet5!H30</f>
        <v>0.06</v>
      </c>
      <c r="J16" s="509" t="str">
        <f>Sheet5!I30</f>
        <v>Cu</v>
      </c>
      <c r="K16" s="509" t="str">
        <f>Sheet5!J30</f>
        <v>cu</v>
      </c>
      <c r="L16" s="545"/>
      <c r="M16" s="545"/>
      <c r="N16" s="1101">
        <v>34</v>
      </c>
    </row>
    <row r="17" spans="1:14" x14ac:dyDescent="0.25">
      <c r="E17" s="555" t="str">
        <f>Sheet5!D31</f>
        <v>Điện áp lớp phần cơ bản \ điều chỉnh</v>
      </c>
      <c r="F17" s="1102">
        <f>Sheet5!E31</f>
        <v>927</v>
      </c>
      <c r="G17" s="509">
        <f>Sheet5!F31</f>
        <v>927</v>
      </c>
      <c r="H17" s="545" t="str">
        <f>Sheet5!G31</f>
        <v>Số vòng lớp phần cơ bản \ phần điều chỉnh</v>
      </c>
      <c r="I17" s="509">
        <f>Sheet5!H31</f>
        <v>131</v>
      </c>
      <c r="J17" s="509">
        <f>Sheet5!I31</f>
        <v>131</v>
      </c>
      <c r="K17" s="545"/>
      <c r="L17" s="545"/>
      <c r="M17" s="545"/>
      <c r="N17" s="1101">
        <v>35</v>
      </c>
    </row>
    <row r="18" spans="1:14" x14ac:dyDescent="0.25">
      <c r="E18" s="555" t="str">
        <f>Sheet5!D32</f>
        <v>Kích thước màn tĩnh điện</v>
      </c>
      <c r="F18" s="1102">
        <f>Sheet5!E32</f>
        <v>0</v>
      </c>
      <c r="G18" s="509" t="str">
        <f>Sheet5!F32</f>
        <v>mm</v>
      </c>
      <c r="H18" s="1049" t="str">
        <f>Sheet5!G32</f>
        <v>Kích thước dây điều chỉnh  hướng kính\hướng trục</v>
      </c>
      <c r="I18" s="509">
        <f>Sheet5!H32</f>
        <v>1.9</v>
      </c>
      <c r="J18" s="509">
        <f>Sheet5!I32</f>
        <v>1.9</v>
      </c>
      <c r="K18" s="545"/>
      <c r="L18" s="545"/>
      <c r="M18" s="545"/>
    </row>
    <row r="19" spans="1:14" x14ac:dyDescent="0.25">
      <c r="F19" s="555"/>
      <c r="H19" s="1101"/>
      <c r="I19" s="1101"/>
      <c r="L19" s="545"/>
    </row>
    <row r="20" spans="1:14" x14ac:dyDescent="0.25">
      <c r="E20" s="555" t="str">
        <f>Sheet5!D38</f>
        <v>Nẹp đầu dây quấn hạ</v>
      </c>
      <c r="F20" s="1102">
        <f>Sheet5!E38</f>
        <v>39</v>
      </c>
      <c r="H20" s="545" t="str">
        <f>Sheet5!G38</f>
        <v>Khoảng cách pha - pha a22</v>
      </c>
      <c r="I20" s="509">
        <f>Sheet5!H38</f>
        <v>31</v>
      </c>
      <c r="J20" s="545"/>
      <c r="K20" s="545"/>
      <c r="L20" s="545"/>
      <c r="M20" s="545"/>
    </row>
    <row r="21" spans="1:14" x14ac:dyDescent="0.25">
      <c r="E21" s="555" t="str">
        <f>Sheet5!D39</f>
        <v>Nẹp đầu dây quấn cao</v>
      </c>
      <c r="F21" s="1102">
        <f>Sheet5!E39</f>
        <v>43.5</v>
      </c>
      <c r="H21" s="545" t="str">
        <f>Sheet5!G39</f>
        <v>Khoảng cách cao hạ a12</v>
      </c>
      <c r="I21" s="509">
        <f>Sheet5!H39</f>
        <v>15</v>
      </c>
      <c r="J21" s="545"/>
      <c r="K21" s="545"/>
      <c r="L21" s="545"/>
      <c r="M21" s="545"/>
    </row>
    <row r="22" spans="1:14" x14ac:dyDescent="0.25">
      <c r="E22" s="555" t="str">
        <f>Sheet5!D40</f>
        <v>Nẹp giữa bối dây hạ thế</v>
      </c>
      <c r="F22" s="1102">
        <f>Sheet5!E40</f>
        <v>0.06</v>
      </c>
      <c r="J22" s="545"/>
      <c r="K22" s="545"/>
      <c r="L22" s="545"/>
      <c r="M22" s="545"/>
    </row>
    <row r="23" spans="1:14" x14ac:dyDescent="0.25">
      <c r="E23" s="555" t="str">
        <f>Sheet5!D41</f>
        <v>Nẹp giữa bối dây cao thế</v>
      </c>
      <c r="F23" s="1102">
        <f>Sheet5!E41</f>
        <v>0</v>
      </c>
      <c r="J23" s="545"/>
      <c r="K23" s="545"/>
      <c r="L23" s="545"/>
      <c r="M23" s="545"/>
    </row>
    <row r="24" spans="1:14" x14ac:dyDescent="0.25">
      <c r="I24" s="1109"/>
      <c r="J24" s="545"/>
      <c r="K24" s="545"/>
      <c r="L24" s="545"/>
      <c r="M24" s="545"/>
      <c r="N24" s="545"/>
    </row>
    <row r="25" spans="1:14" x14ac:dyDescent="0.25">
      <c r="I25" s="1109"/>
      <c r="N25" s="545"/>
    </row>
    <row r="26" spans="1:14" x14ac:dyDescent="0.25">
      <c r="B26" s="1104" t="s">
        <v>3977</v>
      </c>
      <c r="I26" s="1109"/>
      <c r="N26" s="545"/>
    </row>
    <row r="27" spans="1:14" x14ac:dyDescent="0.25">
      <c r="I27" s="1109"/>
      <c r="N27" s="545"/>
    </row>
    <row r="28" spans="1:14" x14ac:dyDescent="0.25">
      <c r="A28" s="905" t="s">
        <v>3922</v>
      </c>
      <c r="B28" s="1103" t="s">
        <v>3981</v>
      </c>
      <c r="I28" s="1226">
        <v>12</v>
      </c>
      <c r="J28" s="1227" t="s">
        <v>4367</v>
      </c>
      <c r="K28" s="1227"/>
      <c r="L28" s="1227"/>
      <c r="M28" s="1227"/>
      <c r="N28" s="545"/>
    </row>
    <row r="29" spans="1:14" x14ac:dyDescent="0.25">
      <c r="I29" s="1226">
        <v>11</v>
      </c>
      <c r="J29" s="1227" t="s">
        <v>4368</v>
      </c>
      <c r="K29" s="1227"/>
      <c r="L29" s="1227"/>
      <c r="M29" s="1227"/>
      <c r="N29" s="545"/>
    </row>
    <row r="30" spans="1:14" x14ac:dyDescent="0.25">
      <c r="A30" s="511" t="s">
        <v>668</v>
      </c>
      <c r="B30" s="198" t="s">
        <v>3749</v>
      </c>
      <c r="C30" s="198" t="s">
        <v>3923</v>
      </c>
      <c r="D30" s="199" t="s">
        <v>3923</v>
      </c>
      <c r="I30" s="1226">
        <v>10</v>
      </c>
      <c r="J30" s="1227" t="s">
        <v>4366</v>
      </c>
      <c r="K30" s="1227"/>
      <c r="L30" s="1227"/>
      <c r="M30" s="1227"/>
      <c r="N30" s="545"/>
    </row>
    <row r="31" spans="1:14" x14ac:dyDescent="0.25">
      <c r="A31" s="511" t="s">
        <v>146</v>
      </c>
      <c r="B31" s="198" t="s">
        <v>146</v>
      </c>
      <c r="C31" s="198" t="s">
        <v>3924</v>
      </c>
      <c r="D31" s="199" t="s">
        <v>3925</v>
      </c>
      <c r="I31" s="1226">
        <v>9</v>
      </c>
      <c r="J31" s="1227" t="s">
        <v>4365</v>
      </c>
      <c r="K31" s="1227"/>
      <c r="L31" s="1227"/>
      <c r="M31" s="1227"/>
      <c r="N31" s="545"/>
    </row>
    <row r="32" spans="1:14" x14ac:dyDescent="0.25">
      <c r="A32" s="511" t="s">
        <v>157</v>
      </c>
      <c r="B32" s="198" t="s">
        <v>859</v>
      </c>
      <c r="C32" s="1157">
        <f>B4</f>
        <v>0</v>
      </c>
      <c r="D32" s="1158">
        <f>B4</f>
        <v>0</v>
      </c>
      <c r="I32" s="1226">
        <v>8</v>
      </c>
      <c r="J32" s="1075" t="s">
        <v>4139</v>
      </c>
      <c r="K32" s="1075" t="str">
        <f>B66&amp;"x"&amp;C66&amp;"x"&amp;D66</f>
        <v>390x132x2</v>
      </c>
      <c r="L32" s="201" t="s">
        <v>630</v>
      </c>
      <c r="M32" s="1167">
        <v>3</v>
      </c>
      <c r="N32" s="545"/>
    </row>
    <row r="33" spans="1:18" x14ac:dyDescent="0.25">
      <c r="A33" s="511" t="s">
        <v>3926</v>
      </c>
      <c r="B33" s="198" t="s">
        <v>859</v>
      </c>
      <c r="C33" s="1159">
        <f>B2</f>
        <v>0</v>
      </c>
      <c r="D33" s="199" t="s">
        <v>146</v>
      </c>
      <c r="H33" s="1109"/>
      <c r="I33" s="1226">
        <v>7</v>
      </c>
      <c r="J33" s="1167" t="s">
        <v>4140</v>
      </c>
      <c r="K33" s="1075" t="str">
        <f>B67&amp;"x"&amp;C67&amp;"x"&amp;"b"</f>
        <v>320x357xb</v>
      </c>
      <c r="L33" s="201" t="s">
        <v>630</v>
      </c>
      <c r="M33" s="1167">
        <v>2</v>
      </c>
      <c r="N33" s="545"/>
    </row>
    <row r="34" spans="1:18" x14ac:dyDescent="0.25">
      <c r="A34" s="511" t="s">
        <v>3927</v>
      </c>
      <c r="B34" s="198" t="s">
        <v>859</v>
      </c>
      <c r="C34" s="198" t="s">
        <v>146</v>
      </c>
      <c r="D34" s="1160">
        <f>B3</f>
        <v>0</v>
      </c>
      <c r="H34" s="1109"/>
      <c r="I34" s="201">
        <v>6</v>
      </c>
      <c r="J34" s="201" t="s">
        <v>4141</v>
      </c>
      <c r="K34" s="201" t="str">
        <f>B62&amp;"x"&amp;C62&amp;"x"&amp;D62</f>
        <v>443x354xa</v>
      </c>
      <c r="L34" s="201" t="s">
        <v>630</v>
      </c>
      <c r="M34" s="201">
        <v>2</v>
      </c>
      <c r="N34" s="545"/>
    </row>
    <row r="35" spans="1:18" x14ac:dyDescent="0.25">
      <c r="A35" s="511" t="s">
        <v>275</v>
      </c>
      <c r="B35" s="198" t="s">
        <v>859</v>
      </c>
      <c r="C35" s="1159">
        <f>B1</f>
        <v>390</v>
      </c>
      <c r="D35" s="1160">
        <f>B1</f>
        <v>390</v>
      </c>
      <c r="H35" s="1109"/>
      <c r="I35" s="201" t="s">
        <v>939</v>
      </c>
      <c r="J35" s="201" t="s">
        <v>4142</v>
      </c>
      <c r="K35" s="201" t="str">
        <f>B63&amp;"x"&amp;C63&amp;"x"&amp;D63</f>
        <v>386x5x150</v>
      </c>
      <c r="L35" s="201" t="str">
        <f>IF(Sheet5!B26="Amor","Phíp","Bìa")</f>
        <v>Bìa</v>
      </c>
      <c r="M35" s="201" t="s">
        <v>940</v>
      </c>
    </row>
    <row r="36" spans="1:18" x14ac:dyDescent="0.25">
      <c r="A36" s="511" t="s">
        <v>99</v>
      </c>
      <c r="B36" s="198" t="s">
        <v>859</v>
      </c>
      <c r="C36" s="1157">
        <f>B5</f>
        <v>0</v>
      </c>
      <c r="D36" s="1158">
        <f>B5</f>
        <v>0</v>
      </c>
      <c r="I36" s="201" t="s">
        <v>938</v>
      </c>
      <c r="J36" s="201" t="s">
        <v>4143</v>
      </c>
      <c r="K36" s="201" t="str">
        <f>B64&amp;"x"&amp;C64&amp;"x"&amp;D64</f>
        <v>350x142x92</v>
      </c>
      <c r="L36" s="201" t="s">
        <v>630</v>
      </c>
      <c r="M36" s="201" t="s">
        <v>937</v>
      </c>
    </row>
    <row r="37" spans="1:18" x14ac:dyDescent="0.25">
      <c r="A37" s="511" t="s">
        <v>3928</v>
      </c>
      <c r="B37" s="198" t="s">
        <v>1938</v>
      </c>
      <c r="C37" s="198">
        <f>ROUND(B48*7.829*10^-6*1.01,2)*2</f>
        <v>0</v>
      </c>
      <c r="D37" s="201">
        <f>ROUND(B50*7.829*10^-6*1.01,2)*2</f>
        <v>0</v>
      </c>
      <c r="I37" s="201" t="s">
        <v>937</v>
      </c>
      <c r="J37" s="201" t="s">
        <v>4144</v>
      </c>
      <c r="K37" s="201" t="s">
        <v>4024</v>
      </c>
      <c r="L37" s="201" t="s">
        <v>630</v>
      </c>
      <c r="M37" s="201" t="s">
        <v>940</v>
      </c>
    </row>
    <row r="38" spans="1:18" x14ac:dyDescent="0.25">
      <c r="A38" s="511" t="s">
        <v>3929</v>
      </c>
      <c r="B38" s="198" t="s">
        <v>1019</v>
      </c>
      <c r="C38" s="198" t="s">
        <v>936</v>
      </c>
      <c r="D38" s="199" t="s">
        <v>936</v>
      </c>
      <c r="I38" s="201" t="s">
        <v>936</v>
      </c>
      <c r="J38" s="201" t="s">
        <v>4145</v>
      </c>
      <c r="K38" s="201" t="str">
        <f>B65&amp;"x"&amp;C65&amp;"x"&amp;D65</f>
        <v>367x125x17.5</v>
      </c>
      <c r="L38" s="201" t="s">
        <v>630</v>
      </c>
      <c r="M38" s="201" t="s">
        <v>949</v>
      </c>
    </row>
    <row r="39" spans="1:18" x14ac:dyDescent="0.25">
      <c r="A39" s="512" t="s">
        <v>331</v>
      </c>
      <c r="B39" s="200" t="s">
        <v>146</v>
      </c>
      <c r="C39" s="1221" t="str">
        <f>Sheet5!B48</f>
        <v>Cấp 1-0.8,Cấp 2-0.8,Cấp 3-1Cấp 4-1,Cấp 5-1,Cấp 6-1,Cấp 7-1,Cấp 8-1,Cấp 9-1,Cấp 10-1</v>
      </c>
      <c r="D39" s="1221" t="str">
        <f>Sheet5!B48</f>
        <v>Cấp 1-0.8,Cấp 2-0.8,Cấp 3-1Cấp 4-1,Cấp 5-1,Cấp 6-1,Cấp 7-1,Cấp 8-1,Cấp 9-1,Cấp 10-1</v>
      </c>
      <c r="I39" s="201" t="s">
        <v>935</v>
      </c>
      <c r="J39" s="201" t="s">
        <v>4146</v>
      </c>
      <c r="K39" s="201" t="s">
        <v>4024</v>
      </c>
      <c r="L39" s="201" t="s">
        <v>630</v>
      </c>
      <c r="M39" s="201" t="s">
        <v>940</v>
      </c>
    </row>
    <row r="40" spans="1:18" s="1109" customFormat="1" x14ac:dyDescent="0.25">
      <c r="A40" s="1191"/>
      <c r="B40" s="1192"/>
      <c r="C40" s="1192"/>
      <c r="D40" s="1192"/>
      <c r="E40" s="555"/>
      <c r="I40" s="201" t="s">
        <v>934</v>
      </c>
      <c r="J40" s="201" t="s">
        <v>4025</v>
      </c>
      <c r="K40" s="201" t="s">
        <v>4026</v>
      </c>
      <c r="L40" s="201" t="s">
        <v>4027</v>
      </c>
      <c r="M40" s="201" t="s">
        <v>161</v>
      </c>
      <c r="N40" s="1101"/>
      <c r="O40" s="1101"/>
      <c r="P40" s="1101"/>
      <c r="Q40" s="1101"/>
      <c r="R40" s="1101"/>
    </row>
    <row r="41" spans="1:18" s="1109" customFormat="1" x14ac:dyDescent="0.25">
      <c r="A41" s="1191" t="s">
        <v>4128</v>
      </c>
      <c r="B41" s="1192">
        <v>6.4</v>
      </c>
      <c r="C41" s="1192"/>
      <c r="D41" s="1192"/>
      <c r="E41" s="555"/>
      <c r="J41" s="1101"/>
      <c r="K41" s="1101"/>
      <c r="L41" s="1101"/>
      <c r="M41" s="1101"/>
      <c r="N41" s="1101"/>
      <c r="O41" s="1101"/>
      <c r="P41" s="1101"/>
      <c r="Q41" s="1101"/>
      <c r="R41" s="1101"/>
    </row>
    <row r="42" spans="1:18" s="1109" customFormat="1" x14ac:dyDescent="0.25">
      <c r="A42" s="1191" t="s">
        <v>4129</v>
      </c>
      <c r="B42" s="1192">
        <f>B41/2^0.5</f>
        <v>4.5254833995939041</v>
      </c>
      <c r="C42" s="1192"/>
      <c r="D42" s="1192"/>
      <c r="E42" s="555"/>
      <c r="J42" s="1101"/>
      <c r="K42" s="1101"/>
      <c r="L42" s="1101"/>
      <c r="M42" s="1101"/>
      <c r="N42" s="1101"/>
      <c r="O42" s="1101"/>
      <c r="P42" s="1101"/>
      <c r="Q42" s="1101"/>
      <c r="R42" s="1101"/>
    </row>
    <row r="43" spans="1:18" s="1109" customFormat="1" x14ac:dyDescent="0.25">
      <c r="A43" s="1191" t="s">
        <v>4130</v>
      </c>
      <c r="B43" s="1192">
        <f>(C32+B42)*2^0.5</f>
        <v>6.4</v>
      </c>
      <c r="C43" s="1192"/>
      <c r="D43" s="1192"/>
      <c r="E43" s="555"/>
      <c r="J43" s="1101"/>
      <c r="K43" s="1101"/>
      <c r="L43" s="1101"/>
      <c r="M43" s="1101"/>
      <c r="N43" s="1101"/>
      <c r="O43" s="1101"/>
      <c r="P43" s="1101"/>
      <c r="Q43" s="1101"/>
      <c r="R43" s="1101"/>
    </row>
    <row r="44" spans="1:18" s="1109" customFormat="1" x14ac:dyDescent="0.25">
      <c r="A44" s="1191" t="s">
        <v>4131</v>
      </c>
      <c r="B44" s="1192">
        <f>C32+B41/2</f>
        <v>3.2</v>
      </c>
      <c r="C44" s="1192"/>
      <c r="D44" s="1192"/>
      <c r="E44" s="555"/>
      <c r="J44" s="1101"/>
      <c r="K44" s="1101"/>
      <c r="L44" s="1101"/>
      <c r="M44" s="1101"/>
      <c r="N44" s="1101"/>
      <c r="O44" s="1101"/>
      <c r="P44" s="1101"/>
      <c r="Q44" s="1101"/>
      <c r="R44" s="1101"/>
    </row>
    <row r="45" spans="1:18" s="1109" customFormat="1" x14ac:dyDescent="0.25">
      <c r="A45" s="1191" t="s">
        <v>4132</v>
      </c>
      <c r="B45" s="1192">
        <f>(B43-B44)*2^0.5</f>
        <v>4.525483399593905</v>
      </c>
      <c r="C45" s="1192"/>
      <c r="D45" s="1192"/>
      <c r="E45" s="555"/>
      <c r="J45" s="1101"/>
      <c r="K45" s="1101"/>
      <c r="L45" s="1101"/>
      <c r="M45" s="1101"/>
      <c r="N45" s="1101"/>
      <c r="O45" s="1101"/>
      <c r="P45" s="1101"/>
      <c r="Q45" s="1101"/>
      <c r="R45" s="1101"/>
    </row>
    <row r="46" spans="1:18" s="1109" customFormat="1" x14ac:dyDescent="0.25">
      <c r="A46" s="1191" t="s">
        <v>4133</v>
      </c>
      <c r="B46" s="1192">
        <f>B45*2^0.5</f>
        <v>6.4000000000000012</v>
      </c>
      <c r="C46" s="1192"/>
      <c r="D46" s="1192"/>
      <c r="E46" s="555"/>
      <c r="J46" s="1101"/>
      <c r="K46" s="1101"/>
      <c r="L46" s="1101"/>
      <c r="M46" s="1101"/>
      <c r="N46" s="1101"/>
      <c r="O46" s="1101"/>
      <c r="P46" s="1101"/>
      <c r="Q46" s="1101"/>
      <c r="R46" s="1101"/>
    </row>
    <row r="47" spans="1:18" s="1109" customFormat="1" x14ac:dyDescent="0.25">
      <c r="A47" s="1191" t="s">
        <v>4134</v>
      </c>
      <c r="B47" s="1192">
        <f>(B2+B4*2)*(B1+B4*2)-(B2*B1)-4*(B45*B45/2)+4*(B42*B42/2)</f>
        <v>0</v>
      </c>
      <c r="C47" s="1192"/>
      <c r="D47" s="1192"/>
      <c r="E47" s="555"/>
      <c r="J47" s="1101"/>
      <c r="K47" s="1101"/>
      <c r="L47" s="1101"/>
      <c r="M47" s="1101"/>
      <c r="N47" s="1101"/>
      <c r="O47" s="1101"/>
      <c r="P47" s="1101"/>
      <c r="Q47" s="1101"/>
      <c r="R47" s="1101"/>
    </row>
    <row r="48" spans="1:18" s="1109" customFormat="1" x14ac:dyDescent="0.25">
      <c r="A48" s="1191" t="s">
        <v>4135</v>
      </c>
      <c r="B48" s="1192">
        <f>B47*B5</f>
        <v>0</v>
      </c>
      <c r="C48" s="1192"/>
      <c r="D48" s="1192"/>
      <c r="E48" s="555"/>
      <c r="J48" s="1101"/>
      <c r="K48" s="1101"/>
      <c r="L48" s="1101"/>
      <c r="M48" s="1101"/>
      <c r="N48" s="1101"/>
      <c r="O48" s="1101"/>
      <c r="P48" s="1101"/>
      <c r="Q48" s="1101"/>
      <c r="R48" s="1101"/>
    </row>
    <row r="49" spans="1:18" s="1109" customFormat="1" x14ac:dyDescent="0.25">
      <c r="A49" s="1191" t="s">
        <v>4136</v>
      </c>
      <c r="B49" s="1192">
        <f>(B3+B4*2)*(B1+B4*2)-(B3*B1)-4*(B45*B45/2)+4*(B42*B42/2)</f>
        <v>0</v>
      </c>
      <c r="C49" s="1192"/>
      <c r="D49" s="1192"/>
      <c r="E49" s="555"/>
      <c r="J49" s="1101"/>
      <c r="K49" s="1101"/>
      <c r="L49" s="1101"/>
      <c r="M49" s="1101"/>
      <c r="N49" s="1101"/>
      <c r="O49" s="1101"/>
      <c r="P49" s="1101"/>
      <c r="Q49" s="1101"/>
      <c r="R49" s="1101"/>
    </row>
    <row r="50" spans="1:18" s="1109" customFormat="1" x14ac:dyDescent="0.25">
      <c r="A50" s="1191" t="s">
        <v>4137</v>
      </c>
      <c r="B50" s="1192">
        <f>B49*B5</f>
        <v>0</v>
      </c>
      <c r="C50" s="1192"/>
      <c r="D50" s="1192"/>
      <c r="E50" s="555"/>
      <c r="J50" s="1101"/>
      <c r="K50" s="1101"/>
      <c r="L50" s="1101"/>
      <c r="M50" s="1101"/>
      <c r="N50" s="1101"/>
      <c r="O50" s="1101"/>
      <c r="P50" s="1101"/>
      <c r="Q50" s="1101"/>
      <c r="R50" s="1101"/>
    </row>
    <row r="51" spans="1:18" s="1109" customFormat="1" x14ac:dyDescent="0.25">
      <c r="A51" s="1191"/>
      <c r="B51" s="1192"/>
      <c r="C51" s="1192"/>
      <c r="D51" s="1192"/>
      <c r="E51" s="555"/>
      <c r="J51" s="1101"/>
      <c r="K51" s="1101"/>
      <c r="L51" s="1101"/>
      <c r="M51" s="1101"/>
      <c r="N51" s="1101"/>
      <c r="O51" s="1101"/>
      <c r="P51" s="1101"/>
      <c r="Q51" s="1101"/>
      <c r="R51" s="1101"/>
    </row>
    <row r="52" spans="1:18" s="1109" customFormat="1" x14ac:dyDescent="0.25">
      <c r="A52" s="1191"/>
      <c r="B52" s="1192"/>
      <c r="C52" s="1192"/>
      <c r="D52" s="1192"/>
      <c r="E52" s="555"/>
      <c r="J52" s="1101"/>
      <c r="K52" s="1101"/>
      <c r="L52" s="1101"/>
      <c r="M52" s="1101"/>
      <c r="N52" s="1101"/>
      <c r="O52" s="1101"/>
      <c r="P52" s="1101"/>
      <c r="Q52" s="1101"/>
      <c r="R52" s="1101"/>
    </row>
    <row r="53" spans="1:18" s="1109" customFormat="1" x14ac:dyDescent="0.25">
      <c r="A53" s="1191"/>
      <c r="B53" s="1192"/>
      <c r="C53" s="1192"/>
      <c r="D53" s="1192"/>
      <c r="E53" s="555"/>
      <c r="J53" s="1101"/>
      <c r="K53" s="1101"/>
      <c r="L53" s="1101"/>
      <c r="M53" s="1101"/>
      <c r="N53" s="1101"/>
      <c r="O53" s="1101"/>
      <c r="P53" s="1101"/>
      <c r="Q53" s="1101"/>
      <c r="R53" s="1101"/>
    </row>
    <row r="55" spans="1:18" x14ac:dyDescent="0.25">
      <c r="A55" s="905" t="s">
        <v>630</v>
      </c>
      <c r="B55" s="1104" t="s">
        <v>3982</v>
      </c>
    </row>
    <row r="56" spans="1:18" x14ac:dyDescent="0.25">
      <c r="B56" s="555" t="s">
        <v>1073</v>
      </c>
      <c r="C56" s="555" t="s">
        <v>1071</v>
      </c>
      <c r="D56" s="555" t="s">
        <v>1074</v>
      </c>
      <c r="E56" s="555" t="s">
        <v>3939</v>
      </c>
    </row>
    <row r="57" spans="1:18" x14ac:dyDescent="0.25">
      <c r="A57" s="545" t="s">
        <v>3940</v>
      </c>
      <c r="B57" s="1102">
        <f>E57*2+F1</f>
        <v>607</v>
      </c>
      <c r="C57" s="1102">
        <f>ROUND(B5+(G11-B5)*0.85,0)</f>
        <v>377</v>
      </c>
      <c r="D57" s="555">
        <v>1</v>
      </c>
      <c r="E57" s="1102">
        <f>(F11-F2)/2-2</f>
        <v>128.5</v>
      </c>
      <c r="F57" s="204">
        <v>1</v>
      </c>
      <c r="G57" s="204">
        <v>12</v>
      </c>
      <c r="H57" s="204">
        <v>23</v>
      </c>
      <c r="I57" s="204">
        <v>34</v>
      </c>
      <c r="J57" s="1105" t="str">
        <f>CONCATENATE("[mm]",$B$26,$B$55,F57,"=",B57)</f>
        <v>[mm]UNIbia1=607</v>
      </c>
      <c r="K57" s="1105" t="str">
        <f t="shared" ref="K57:M68" si="1">CONCATENATE("[mm]",$B$26,$B$55,G57,"=",C57)</f>
        <v>[mm]UNIbia12=377</v>
      </c>
      <c r="L57" s="1105" t="str">
        <f t="shared" si="1"/>
        <v>[mm]UNIbia23=1</v>
      </c>
      <c r="M57" s="1105" t="str">
        <f t="shared" si="1"/>
        <v>[mm]UNIbia34=128.5</v>
      </c>
    </row>
    <row r="58" spans="1:18" x14ac:dyDescent="0.25">
      <c r="A58" s="545" t="s">
        <v>3941</v>
      </c>
      <c r="B58" s="1102">
        <f>B1-D58*2+E58*2</f>
        <v>647</v>
      </c>
      <c r="C58" s="1102">
        <f>C57</f>
        <v>377</v>
      </c>
      <c r="D58" s="555">
        <v>1</v>
      </c>
      <c r="E58" s="1102">
        <f>E57+D57</f>
        <v>129.5</v>
      </c>
      <c r="F58" s="204">
        <v>2</v>
      </c>
      <c r="G58" s="204">
        <v>13</v>
      </c>
      <c r="H58" s="204">
        <v>24</v>
      </c>
      <c r="I58" s="204">
        <v>35</v>
      </c>
      <c r="J58" s="1105" t="str">
        <f t="shared" ref="J58:K70" si="2">CONCATENATE("[mm]",$B$26,$B$55,F58,"=",B58)</f>
        <v>[mm]UNIbia2=647</v>
      </c>
      <c r="K58" s="1105" t="str">
        <f t="shared" si="1"/>
        <v>[mm]UNIbia13=377</v>
      </c>
      <c r="L58" s="1105" t="str">
        <f t="shared" si="1"/>
        <v>[mm]UNIbia24=1</v>
      </c>
      <c r="M58" s="1105" t="str">
        <f t="shared" si="1"/>
        <v>[mm]UNIbia35=129.5</v>
      </c>
    </row>
    <row r="59" spans="1:18" x14ac:dyDescent="0.25">
      <c r="A59" s="545" t="s">
        <v>3942</v>
      </c>
      <c r="B59" s="555">
        <f>B78</f>
        <v>457</v>
      </c>
      <c r="C59" s="555">
        <f>$B$5+E59*2</f>
        <v>-4</v>
      </c>
      <c r="D59" s="555">
        <v>1</v>
      </c>
      <c r="E59" s="1102">
        <f>B80+15</f>
        <v>-2</v>
      </c>
      <c r="F59" s="204">
        <v>3</v>
      </c>
      <c r="G59" s="204">
        <v>14</v>
      </c>
      <c r="H59" s="204">
        <v>25</v>
      </c>
      <c r="I59" s="204">
        <v>36</v>
      </c>
      <c r="J59" s="1105" t="str">
        <f t="shared" si="2"/>
        <v>[mm]UNIbia3=457</v>
      </c>
      <c r="K59" s="1105" t="str">
        <f t="shared" si="1"/>
        <v>[mm]UNIbia14=-4</v>
      </c>
      <c r="L59" s="1105" t="str">
        <f>CONCATENATE("[mm]",$B$26,$B$55,H59,"=",D59)</f>
        <v>[mm]UNIbia25=1</v>
      </c>
      <c r="M59" s="1105" t="str">
        <f t="shared" si="1"/>
        <v>[mm]UNIbia36=-2</v>
      </c>
    </row>
    <row r="60" spans="1:18" x14ac:dyDescent="0.25">
      <c r="A60" s="545" t="s">
        <v>3943</v>
      </c>
      <c r="B60" s="555">
        <f>B1+B4*2+D68</f>
        <v>390</v>
      </c>
      <c r="C60" s="555">
        <f>$B$5+E60*2</f>
        <v>-4</v>
      </c>
      <c r="D60" s="555">
        <v>1</v>
      </c>
      <c r="E60" s="1102">
        <f>B80+15</f>
        <v>-2</v>
      </c>
      <c r="F60" s="204">
        <v>4</v>
      </c>
      <c r="G60" s="204">
        <v>15</v>
      </c>
      <c r="H60" s="204">
        <v>26</v>
      </c>
      <c r="I60" s="204">
        <v>37</v>
      </c>
      <c r="J60" s="1105" t="str">
        <f t="shared" si="2"/>
        <v>[mm]UNIbia4=390</v>
      </c>
      <c r="K60" s="1105" t="str">
        <f t="shared" si="1"/>
        <v>[mm]UNIbia15=-4</v>
      </c>
      <c r="L60" s="1105" t="str">
        <f>CONCATENATE("[mm]",$B$26,$B$55,H60,"=",D60)</f>
        <v>[mm]UNIbia26=1</v>
      </c>
      <c r="M60" s="1105" t="str">
        <f t="shared" si="1"/>
        <v>[mm]UNIbia37=-2</v>
      </c>
    </row>
    <row r="61" spans="1:18" x14ac:dyDescent="0.25">
      <c r="A61" s="545" t="s">
        <v>3944</v>
      </c>
      <c r="B61" s="555">
        <f>B78</f>
        <v>457</v>
      </c>
      <c r="C61" s="555">
        <f>$B$5+E61*2</f>
        <v>-4</v>
      </c>
      <c r="D61" s="555">
        <v>1</v>
      </c>
      <c r="E61" s="1102">
        <f>B80+15</f>
        <v>-2</v>
      </c>
      <c r="F61" s="204">
        <v>5</v>
      </c>
      <c r="G61" s="204">
        <v>16</v>
      </c>
      <c r="H61" s="204">
        <v>27</v>
      </c>
      <c r="I61" s="204">
        <v>38</v>
      </c>
      <c r="J61" s="1105" t="str">
        <f t="shared" si="2"/>
        <v>[mm]UNIbia5=457</v>
      </c>
      <c r="K61" s="1105" t="str">
        <f t="shared" si="1"/>
        <v>[mm]UNIbia16=-4</v>
      </c>
      <c r="L61" s="1105" t="str">
        <f t="shared" si="1"/>
        <v>[mm]UNIbia27=1</v>
      </c>
      <c r="M61" s="1105" t="str">
        <f t="shared" si="1"/>
        <v>[mm]UNIbia38=-2</v>
      </c>
    </row>
    <row r="62" spans="1:18" x14ac:dyDescent="0.25">
      <c r="A62" s="545" t="s">
        <v>1070</v>
      </c>
      <c r="B62" s="1102">
        <f>G11</f>
        <v>443</v>
      </c>
      <c r="C62" s="1087">
        <f>F9+4</f>
        <v>354</v>
      </c>
      <c r="D62" s="555" t="s">
        <v>3945</v>
      </c>
      <c r="F62" s="204">
        <v>6</v>
      </c>
      <c r="G62" s="204">
        <v>17</v>
      </c>
      <c r="H62" s="204">
        <v>28</v>
      </c>
      <c r="I62" s="204"/>
      <c r="J62" s="1105" t="str">
        <f t="shared" si="2"/>
        <v>[mm]UNIbia6=443</v>
      </c>
      <c r="K62" s="1105" t="str">
        <f t="shared" si="1"/>
        <v>[mm]UNIbia17=354</v>
      </c>
      <c r="L62" s="1105" t="str">
        <f t="shared" si="1"/>
        <v>[mm]UNIbia28=a</v>
      </c>
      <c r="M62" s="1105"/>
    </row>
    <row r="63" spans="1:18" x14ac:dyDescent="0.25">
      <c r="A63" s="545" t="s">
        <v>3946</v>
      </c>
      <c r="B63" s="555">
        <f>ROUND(B1+B4*2-B45*2,0)+5</f>
        <v>386</v>
      </c>
      <c r="C63" s="555">
        <f>QUOTIENT(B5/5,5)*5+5</f>
        <v>5</v>
      </c>
      <c r="D63" s="555">
        <f>INT(B8)</f>
        <v>150</v>
      </c>
      <c r="F63" s="204">
        <v>7</v>
      </c>
      <c r="G63" s="204">
        <v>18</v>
      </c>
      <c r="H63" s="204">
        <v>29</v>
      </c>
      <c r="I63" s="204"/>
      <c r="J63" s="1105" t="str">
        <f t="shared" si="2"/>
        <v>[mm]UNIbia7=386</v>
      </c>
      <c r="K63" s="1105" t="str">
        <f t="shared" si="1"/>
        <v>[mm]UNIbia18=5</v>
      </c>
      <c r="L63" s="1105" t="str">
        <f t="shared" si="1"/>
        <v>[mm]UNIbia29=150</v>
      </c>
      <c r="M63" s="1105"/>
    </row>
    <row r="64" spans="1:18" x14ac:dyDescent="0.25">
      <c r="A64" s="545" t="s">
        <v>3947</v>
      </c>
      <c r="B64" s="1087">
        <f>F9</f>
        <v>350</v>
      </c>
      <c r="C64" s="1102">
        <f>F2-10</f>
        <v>142</v>
      </c>
      <c r="D64" s="1087">
        <f>ROUNDDOWN(G2-B5-1.3,0)/2</f>
        <v>92</v>
      </c>
      <c r="F64" s="204">
        <v>8</v>
      </c>
      <c r="G64" s="204">
        <v>19</v>
      </c>
      <c r="H64" s="204">
        <v>30</v>
      </c>
      <c r="I64" s="204"/>
      <c r="J64" s="1105" t="str">
        <f t="shared" si="2"/>
        <v>[mm]UNIbia8=350</v>
      </c>
      <c r="K64" s="1105" t="str">
        <f t="shared" si="1"/>
        <v>[mm]UNIbia19=142</v>
      </c>
      <c r="L64" s="1105" t="str">
        <f t="shared" si="1"/>
        <v>[mm]UNIbia30=92</v>
      </c>
      <c r="M64" s="1105"/>
    </row>
    <row r="65" spans="1:18" x14ac:dyDescent="0.25">
      <c r="A65" s="545" t="s">
        <v>3948</v>
      </c>
      <c r="B65" s="555">
        <f>C57-10</f>
        <v>367</v>
      </c>
      <c r="C65" s="1102">
        <f>ROUND(E57-4,0)</f>
        <v>125</v>
      </c>
      <c r="D65" s="555">
        <f>(B1-F1-D57*2-D58*2)/2-0.5</f>
        <v>17.5</v>
      </c>
      <c r="F65" s="204">
        <v>9</v>
      </c>
      <c r="G65" s="204">
        <v>20</v>
      </c>
      <c r="H65" s="204">
        <v>31</v>
      </c>
      <c r="I65" s="204"/>
      <c r="J65" s="1105" t="str">
        <f t="shared" si="2"/>
        <v>[mm]UNIbia9=367</v>
      </c>
      <c r="K65" s="1105" t="str">
        <f t="shared" si="1"/>
        <v>[mm]UNIbia20=125</v>
      </c>
      <c r="L65" s="1105" t="str">
        <f t="shared" si="1"/>
        <v>[mm]UNIbia31=17.5</v>
      </c>
      <c r="M65" s="1105"/>
    </row>
    <row r="66" spans="1:18" x14ac:dyDescent="0.25">
      <c r="A66" s="545" t="s">
        <v>3950</v>
      </c>
      <c r="B66" s="1102">
        <f>B1+B4</f>
        <v>390</v>
      </c>
      <c r="C66" s="1102">
        <f>F2-20</f>
        <v>132</v>
      </c>
      <c r="D66" s="555">
        <v>2</v>
      </c>
      <c r="F66" s="204">
        <v>10</v>
      </c>
      <c r="G66" s="204">
        <v>21</v>
      </c>
      <c r="H66" s="204">
        <v>32</v>
      </c>
      <c r="I66" s="204"/>
      <c r="J66" s="1105" t="str">
        <f t="shared" si="2"/>
        <v>[mm]UNIbia10=390</v>
      </c>
      <c r="K66" s="1105" t="str">
        <f t="shared" si="1"/>
        <v>[mm]UNIbia21=132</v>
      </c>
      <c r="L66" s="1105" t="str">
        <f t="shared" si="1"/>
        <v>[mm]UNIbia32=2</v>
      </c>
      <c r="M66" s="1105"/>
    </row>
    <row r="67" spans="1:18" x14ac:dyDescent="0.25">
      <c r="A67" s="545" t="s">
        <v>3975</v>
      </c>
      <c r="B67" s="1087">
        <f>F1-30</f>
        <v>320</v>
      </c>
      <c r="C67" s="1102">
        <f>C58-20</f>
        <v>357</v>
      </c>
      <c r="D67" s="555">
        <f>B3-(F11-F2)/2-D57-D58-2</f>
        <v>-134.5</v>
      </c>
      <c r="F67" s="204">
        <v>11</v>
      </c>
      <c r="G67" s="204">
        <v>22</v>
      </c>
      <c r="H67" s="204">
        <v>33</v>
      </c>
      <c r="I67" s="204"/>
      <c r="J67" s="1105" t="str">
        <f t="shared" si="2"/>
        <v>[mm]UNIbia11=320</v>
      </c>
      <c r="K67" s="1105" t="str">
        <f t="shared" si="1"/>
        <v>[mm]UNIbia22=357</v>
      </c>
      <c r="L67" s="1105" t="str">
        <f t="shared" si="1"/>
        <v>[mm]UNIbia33=-134.5</v>
      </c>
      <c r="M67" s="1105"/>
    </row>
    <row r="68" spans="1:18" s="1109" customFormat="1" x14ac:dyDescent="0.25">
      <c r="A68" s="1109" t="s">
        <v>4109</v>
      </c>
      <c r="B68" s="1087">
        <f>B78-4</f>
        <v>453</v>
      </c>
      <c r="C68" s="1102">
        <f>B5-4</f>
        <v>-4</v>
      </c>
      <c r="D68" s="555">
        <f>IF(Sheet5!C26&gt;=1,ROUND(15+C32*0.2,0),0)</f>
        <v>0</v>
      </c>
      <c r="E68" s="555"/>
      <c r="F68" s="204">
        <v>39</v>
      </c>
      <c r="G68" s="204">
        <v>40</v>
      </c>
      <c r="H68" s="204">
        <v>41</v>
      </c>
      <c r="I68" s="204"/>
      <c r="J68" s="1105" t="str">
        <f t="shared" si="2"/>
        <v>[mm]UNIbia39=453</v>
      </c>
      <c r="K68" s="1105" t="str">
        <f t="shared" si="1"/>
        <v>[mm]UNIbia40=-4</v>
      </c>
      <c r="L68" s="1105" t="str">
        <f t="shared" si="1"/>
        <v>[mm]UNIbia41=0</v>
      </c>
      <c r="M68" s="1105"/>
      <c r="N68" s="1101"/>
      <c r="O68" s="1101"/>
      <c r="P68" s="1101"/>
      <c r="Q68" s="1101"/>
      <c r="R68" s="1101"/>
    </row>
    <row r="69" spans="1:18" s="1109" customFormat="1" x14ac:dyDescent="0.25">
      <c r="A69" s="1109" t="s">
        <v>4138</v>
      </c>
      <c r="B69" s="1087">
        <f>C63*2</f>
        <v>10</v>
      </c>
      <c r="C69" s="1102"/>
      <c r="D69" s="555"/>
      <c r="E69" s="555"/>
      <c r="F69" s="204">
        <v>42</v>
      </c>
      <c r="G69" s="204"/>
      <c r="H69" s="204"/>
      <c r="I69" s="204"/>
      <c r="J69" s="1105" t="str">
        <f t="shared" si="2"/>
        <v>[mm]UNIbia42=10</v>
      </c>
      <c r="K69" s="1105"/>
      <c r="L69" s="1105"/>
      <c r="M69" s="1105"/>
      <c r="N69" s="1101"/>
      <c r="O69" s="1101"/>
      <c r="P69" s="1101"/>
      <c r="Q69" s="1101"/>
      <c r="R69" s="1101"/>
    </row>
    <row r="70" spans="1:18" s="1109" customFormat="1" x14ac:dyDescent="0.25">
      <c r="A70" s="1109" t="s">
        <v>4148</v>
      </c>
      <c r="B70" s="1087">
        <f>ROUND(B4*8+B2*2+B3*2+B8*3-2*B45+2*(B4-B45)+2*2*PI()*B45+B41*2+5,0)</f>
        <v>509</v>
      </c>
      <c r="C70" s="1102">
        <f>ROUND(B5+B4*2+B41*2+5,0)</f>
        <v>18</v>
      </c>
      <c r="D70" s="555"/>
      <c r="E70" s="555"/>
      <c r="F70" s="204">
        <v>43</v>
      </c>
      <c r="G70" s="204">
        <v>44</v>
      </c>
      <c r="H70" s="204"/>
      <c r="I70" s="204"/>
      <c r="J70" s="1105" t="str">
        <f t="shared" si="2"/>
        <v>[mm]UNIbia43=509</v>
      </c>
      <c r="K70" s="1105" t="str">
        <f t="shared" si="2"/>
        <v>[mm]UNIbia44=18</v>
      </c>
      <c r="L70" s="1105"/>
      <c r="M70" s="1105"/>
      <c r="N70" s="1101"/>
      <c r="O70" s="1101"/>
      <c r="P70" s="1101"/>
      <c r="Q70" s="1101"/>
      <c r="R70" s="1101"/>
    </row>
    <row r="71" spans="1:18" s="1109" customFormat="1" x14ac:dyDescent="0.25">
      <c r="B71" s="1087"/>
      <c r="C71" s="1102"/>
      <c r="D71" s="555"/>
      <c r="E71" s="555"/>
      <c r="F71" s="204"/>
      <c r="G71" s="204"/>
      <c r="H71" s="204"/>
      <c r="I71" s="204"/>
      <c r="J71" s="1105"/>
      <c r="K71" s="1105"/>
      <c r="L71" s="1105"/>
      <c r="M71" s="1105"/>
      <c r="N71" s="1101"/>
      <c r="O71" s="1101"/>
      <c r="P71" s="1101"/>
      <c r="Q71" s="1101"/>
      <c r="R71" s="1101"/>
    </row>
    <row r="72" spans="1:18" s="1109" customFormat="1" x14ac:dyDescent="0.25">
      <c r="B72" s="1087"/>
      <c r="C72" s="1102"/>
      <c r="D72" s="555"/>
      <c r="E72" s="555"/>
      <c r="F72" s="204"/>
      <c r="G72" s="204"/>
      <c r="H72" s="204"/>
      <c r="I72" s="204"/>
      <c r="J72" s="1105"/>
      <c r="K72" s="1105"/>
      <c r="L72" s="1105"/>
      <c r="M72" s="1105"/>
      <c r="N72" s="1101"/>
      <c r="O72" s="1101"/>
      <c r="P72" s="1101"/>
      <c r="Q72" s="1101"/>
      <c r="R72" s="1101"/>
    </row>
    <row r="73" spans="1:18" s="1109" customFormat="1" x14ac:dyDescent="0.25">
      <c r="B73" s="1087"/>
      <c r="C73" s="1102"/>
      <c r="D73" s="555"/>
      <c r="E73" s="555"/>
      <c r="F73" s="204"/>
      <c r="G73" s="204"/>
      <c r="H73" s="204"/>
      <c r="I73" s="204"/>
      <c r="J73" s="1105"/>
      <c r="K73" s="1105"/>
      <c r="L73" s="1105"/>
      <c r="M73" s="1105"/>
      <c r="N73" s="1101"/>
      <c r="O73" s="1101"/>
      <c r="P73" s="1101"/>
      <c r="Q73" s="1101"/>
      <c r="R73" s="1101"/>
    </row>
    <row r="74" spans="1:18" x14ac:dyDescent="0.25">
      <c r="J74" s="1105"/>
      <c r="K74" s="1105"/>
      <c r="L74" s="1105"/>
      <c r="M74" s="1105"/>
    </row>
    <row r="75" spans="1:18" x14ac:dyDescent="0.25">
      <c r="A75" s="905" t="s">
        <v>3951</v>
      </c>
      <c r="B75" s="1104" t="s">
        <v>3983</v>
      </c>
      <c r="J75" s="1105"/>
      <c r="K75" s="1105"/>
      <c r="L75" s="1105"/>
      <c r="M75" s="1105"/>
    </row>
    <row r="76" spans="1:18" x14ac:dyDescent="0.25">
      <c r="A76" s="545" t="s">
        <v>3952</v>
      </c>
      <c r="B76" s="555">
        <v>3</v>
      </c>
      <c r="F76" s="204">
        <v>1</v>
      </c>
      <c r="G76" s="204"/>
      <c r="H76" s="204"/>
      <c r="I76" s="204"/>
      <c r="J76" s="1105" t="str">
        <f>CONCATENATE("[mm]",$B$26,$B$75,F76,"=",B76)</f>
        <v>[mm]UNIsatkepduoi1=3</v>
      </c>
      <c r="K76" s="1105"/>
      <c r="L76" s="1105"/>
      <c r="M76" s="1105"/>
    </row>
    <row r="77" spans="1:18" x14ac:dyDescent="0.25">
      <c r="A77" s="545" t="s">
        <v>3956</v>
      </c>
      <c r="B77" s="1102">
        <f>B5+D59*2+D60*2+1</f>
        <v>5</v>
      </c>
      <c r="F77" s="204">
        <v>2</v>
      </c>
      <c r="G77" s="204"/>
      <c r="H77" s="204"/>
      <c r="I77" s="204"/>
      <c r="J77" s="1105" t="str">
        <f t="shared" ref="J77:J84" si="3">CONCATENATE("[mm]",$B$26,$B$75,F77,"=",B77)</f>
        <v>[mm]UNIsatkepduoi2=5</v>
      </c>
      <c r="K77" s="1105"/>
      <c r="L77" s="1105"/>
      <c r="M77" s="1105"/>
    </row>
    <row r="78" spans="1:18" x14ac:dyDescent="0.25">
      <c r="A78" s="545" t="s">
        <v>3955</v>
      </c>
      <c r="B78" s="555">
        <f>ROUNDUP(B4*8+B3*2+B2*2+(F2-B6-B4*2)*3,0)+D59*2+2</f>
        <v>457</v>
      </c>
      <c r="F78" s="204">
        <v>3</v>
      </c>
      <c r="G78" s="204"/>
      <c r="H78" s="204"/>
      <c r="I78" s="204"/>
      <c r="J78" s="1105" t="str">
        <f t="shared" si="3"/>
        <v>[mm]UNIsatkepduoi3=457</v>
      </c>
      <c r="K78" s="1105"/>
      <c r="L78" s="1105"/>
      <c r="M78" s="1105"/>
    </row>
    <row r="79" spans="1:18" x14ac:dyDescent="0.25">
      <c r="A79" s="545" t="s">
        <v>4108</v>
      </c>
      <c r="B79" s="555">
        <f>D61+B4*2+B1+D59+B90+B93/2+75+D68</f>
        <v>488</v>
      </c>
      <c r="F79" s="204">
        <v>4</v>
      </c>
      <c r="G79" s="204"/>
      <c r="H79" s="204"/>
      <c r="I79" s="204"/>
      <c r="J79" s="1105" t="str">
        <f t="shared" si="3"/>
        <v>[mm]UNIsatkepduoi4=488</v>
      </c>
      <c r="K79" s="1105"/>
      <c r="L79" s="1105"/>
      <c r="M79" s="1105"/>
    </row>
    <row r="80" spans="1:18" x14ac:dyDescent="0.25">
      <c r="A80" s="545" t="s">
        <v>3949</v>
      </c>
      <c r="B80" s="1102">
        <f>ROUND(B4-20,0)+B76</f>
        <v>-17</v>
      </c>
      <c r="F80" s="204">
        <v>5</v>
      </c>
      <c r="G80" s="204"/>
      <c r="H80" s="204"/>
      <c r="I80" s="204"/>
      <c r="J80" s="1105" t="str">
        <f t="shared" si="3"/>
        <v>[mm]UNIsatkepduoi5=-17</v>
      </c>
      <c r="K80" s="1105"/>
      <c r="L80" s="1105"/>
      <c r="M80" s="1105"/>
    </row>
    <row r="81" spans="1:13" x14ac:dyDescent="0.25">
      <c r="A81" s="545" t="s">
        <v>3957</v>
      </c>
      <c r="B81" s="555">
        <v>26</v>
      </c>
      <c r="C81" s="555">
        <v>16</v>
      </c>
      <c r="D81" s="555">
        <f>B115</f>
        <v>25</v>
      </c>
      <c r="F81" s="204">
        <v>6</v>
      </c>
      <c r="G81" s="1104">
        <v>10</v>
      </c>
      <c r="H81" s="1104">
        <v>13</v>
      </c>
      <c r="I81" s="204"/>
      <c r="J81" s="1105" t="str">
        <f t="shared" si="3"/>
        <v>[mm]UNIsatkepduoi6=26</v>
      </c>
      <c r="K81" s="1105" t="str">
        <f>CONCATENATE("[mm]",$B$26,$B$75,G81,"=",C81)</f>
        <v>[mm]UNIsatkepduoi10=16</v>
      </c>
      <c r="L81" s="1105" t="str">
        <f>CONCATENATE("[mm]",$B$26,$B$75,H81,"=",D81)</f>
        <v>[mm]UNIsatkepduoi13=25</v>
      </c>
      <c r="M81" s="1105"/>
    </row>
    <row r="82" spans="1:13" x14ac:dyDescent="0.25">
      <c r="A82" s="545" t="s">
        <v>3958</v>
      </c>
      <c r="B82" s="555">
        <v>20</v>
      </c>
      <c r="C82" s="555">
        <v>10</v>
      </c>
      <c r="D82" s="555">
        <f>D61+B4+B1+B4+D59+B90+B93/2+D68</f>
        <v>413</v>
      </c>
      <c r="F82" s="204">
        <v>7</v>
      </c>
      <c r="G82" s="1104">
        <v>11</v>
      </c>
      <c r="H82" s="204">
        <v>16</v>
      </c>
      <c r="I82" s="204"/>
      <c r="J82" s="1105" t="str">
        <f t="shared" si="3"/>
        <v>[mm]UNIsatkepduoi7=20</v>
      </c>
      <c r="K82" s="1105" t="str">
        <f>CONCATENATE("[mm]",$B$26,$B$75,G82,"=",C82)</f>
        <v>[mm]UNIsatkepduoi11=10</v>
      </c>
      <c r="L82" s="1105" t="str">
        <f>CONCATENATE("[mm]",$B$26,$B$75,H82,"=",D82)</f>
        <v>[mm]UNIsatkepduoi16=413</v>
      </c>
      <c r="M82" s="1105"/>
    </row>
    <row r="83" spans="1:13" x14ac:dyDescent="0.25">
      <c r="A83" s="545" t="s">
        <v>3959</v>
      </c>
      <c r="B83" s="555">
        <v>8</v>
      </c>
      <c r="C83" s="555">
        <v>16</v>
      </c>
      <c r="D83" s="555">
        <f>IF((B77/C83-INT(B77/C83))*C83/2&gt;6,INT(B77/C83)+1,INT(B77/C83))</f>
        <v>0</v>
      </c>
      <c r="E83" s="555">
        <f>(B77-C83*(D83-1))/2</f>
        <v>10.5</v>
      </c>
      <c r="F83" s="204">
        <v>8</v>
      </c>
      <c r="G83" s="1104">
        <v>12</v>
      </c>
      <c r="H83" s="1104">
        <v>14</v>
      </c>
      <c r="I83" s="1104">
        <v>15</v>
      </c>
      <c r="J83" s="1105" t="str">
        <f t="shared" si="3"/>
        <v>[mm]UNIsatkepduoi8=8</v>
      </c>
      <c r="K83" s="1105" t="str">
        <f>CONCATENATE("[mm]",$B$26,$B$75,G83,"=",C83)</f>
        <v>[mm]UNIsatkepduoi12=16</v>
      </c>
      <c r="L83" s="1105" t="str">
        <f>CONCATENATE($B$26,$B$75,H83,"=",D83)</f>
        <v>UNIsatkepduoi14=0</v>
      </c>
      <c r="M83" s="1105" t="str">
        <f>CONCATENATE("[mm]",$B$26,$B$75,I83,"=",E83)</f>
        <v>[mm]UNIsatkepduoi15=10.5</v>
      </c>
    </row>
    <row r="84" spans="1:13" x14ac:dyDescent="0.25">
      <c r="A84" s="545" t="s">
        <v>3960</v>
      </c>
      <c r="B84" s="555">
        <f>D63+B2+B4*2</f>
        <v>150</v>
      </c>
      <c r="F84" s="204">
        <v>9</v>
      </c>
      <c r="G84" s="204"/>
      <c r="H84" s="204"/>
      <c r="I84" s="204"/>
      <c r="J84" s="1105" t="str">
        <f t="shared" si="3"/>
        <v>[mm]UNIsatkepduoi9=150</v>
      </c>
      <c r="K84" s="1105"/>
      <c r="L84" s="1105"/>
      <c r="M84" s="1105"/>
    </row>
    <row r="85" spans="1:13" x14ac:dyDescent="0.25">
      <c r="A85" s="545" t="s">
        <v>4101</v>
      </c>
      <c r="B85" s="555">
        <v>50</v>
      </c>
      <c r="C85" s="555">
        <v>6</v>
      </c>
      <c r="D85" s="555">
        <v>36</v>
      </c>
      <c r="F85" s="204">
        <v>17</v>
      </c>
      <c r="G85" s="204">
        <v>18</v>
      </c>
      <c r="H85" s="204">
        <v>19</v>
      </c>
      <c r="J85" s="1105" t="str">
        <f>CONCATENATE("[mm]",$B$26,$B$75,F85,"=",B85)</f>
        <v>[mm]UNIsatkepduoi17=50</v>
      </c>
      <c r="K85" s="1105" t="str">
        <f>CONCATENATE("[mm]",$B$26,$B$75,G85,"=",C85)</f>
        <v>[mm]UNIsatkepduoi18=6</v>
      </c>
      <c r="L85" s="1105" t="str">
        <f>CONCATENATE("[mm]",$B$26,$B$75,H85,"=",D85)</f>
        <v>[mm]UNIsatkepduoi19=36</v>
      </c>
      <c r="M85" s="1105"/>
    </row>
    <row r="86" spans="1:13" x14ac:dyDescent="0.25">
      <c r="J86" s="1105"/>
      <c r="K86" s="1105"/>
      <c r="L86" s="1105"/>
      <c r="M86" s="1105"/>
    </row>
    <row r="87" spans="1:13" x14ac:dyDescent="0.25">
      <c r="A87" s="905" t="s">
        <v>3953</v>
      </c>
      <c r="B87" s="1104" t="s">
        <v>3984</v>
      </c>
      <c r="J87" s="1105"/>
      <c r="K87" s="1105"/>
      <c r="L87" s="1105"/>
      <c r="M87" s="1105"/>
    </row>
    <row r="88" spans="1:13" x14ac:dyDescent="0.25">
      <c r="A88" s="545" t="s">
        <v>3961</v>
      </c>
      <c r="B88" s="555">
        <f>B78-2</f>
        <v>455</v>
      </c>
      <c r="F88" s="204">
        <v>1</v>
      </c>
      <c r="G88" s="204"/>
      <c r="J88" s="1105" t="str">
        <f t="shared" ref="J88:J95" si="4">CONCATENATE("[mm]",$B$26,$B$87,F88,"=",B88)</f>
        <v>[mm]UNIsatkeptren1=455</v>
      </c>
      <c r="K88" s="1105"/>
      <c r="L88" s="1105"/>
      <c r="M88" s="1105"/>
    </row>
    <row r="89" spans="1:13" x14ac:dyDescent="0.25">
      <c r="A89" s="545" t="s">
        <v>3956</v>
      </c>
      <c r="B89" s="1102">
        <f>B77</f>
        <v>5</v>
      </c>
      <c r="F89" s="204">
        <v>2</v>
      </c>
      <c r="G89" s="204"/>
      <c r="J89" s="1105" t="str">
        <f t="shared" si="4"/>
        <v>[mm]UNIsatkeptren2=5</v>
      </c>
      <c r="K89" s="1105"/>
      <c r="L89" s="1105"/>
      <c r="M89" s="1105"/>
    </row>
    <row r="90" spans="1:13" x14ac:dyDescent="0.25">
      <c r="A90" s="545" t="s">
        <v>3952</v>
      </c>
      <c r="B90" s="555">
        <v>3</v>
      </c>
      <c r="F90" s="204">
        <v>3</v>
      </c>
      <c r="G90" s="204"/>
      <c r="J90" s="1105" t="str">
        <f t="shared" si="4"/>
        <v>[mm]UNIsatkeptren3=3</v>
      </c>
      <c r="K90" s="1105"/>
      <c r="L90" s="1105"/>
      <c r="M90" s="1105"/>
    </row>
    <row r="91" spans="1:13" x14ac:dyDescent="0.25">
      <c r="A91" s="545" t="s">
        <v>3963</v>
      </c>
      <c r="B91" s="1102">
        <f>B80+20</f>
        <v>3</v>
      </c>
      <c r="F91" s="204">
        <v>4</v>
      </c>
      <c r="G91" s="204"/>
      <c r="J91" s="1105" t="str">
        <f t="shared" si="4"/>
        <v>[mm]UNIsatkeptren4=3</v>
      </c>
      <c r="K91" s="1105"/>
      <c r="L91" s="1105"/>
      <c r="M91" s="1105"/>
    </row>
    <row r="92" spans="1:13" x14ac:dyDescent="0.25">
      <c r="A92" s="545" t="s">
        <v>3949</v>
      </c>
      <c r="B92" s="1102">
        <f>ROUND(B4-20,0)+B90</f>
        <v>-17</v>
      </c>
      <c r="F92" s="204">
        <v>5</v>
      </c>
      <c r="G92" s="204"/>
      <c r="J92" s="1105" t="str">
        <f t="shared" si="4"/>
        <v>[mm]UNIsatkeptren5=-17</v>
      </c>
      <c r="K92" s="1105"/>
      <c r="L92" s="1105"/>
      <c r="M92" s="1105"/>
    </row>
    <row r="93" spans="1:13" x14ac:dyDescent="0.25">
      <c r="A93" s="545" t="s">
        <v>3954</v>
      </c>
      <c r="B93" s="555">
        <v>36</v>
      </c>
      <c r="F93" s="204">
        <v>6</v>
      </c>
      <c r="G93" s="204"/>
      <c r="J93" s="1105" t="str">
        <f t="shared" si="4"/>
        <v>[mm]UNIsatkeptren6=36</v>
      </c>
      <c r="K93" s="1105"/>
      <c r="L93" s="1105"/>
      <c r="M93" s="1105"/>
    </row>
    <row r="94" spans="1:13" x14ac:dyDescent="0.25">
      <c r="A94" s="545" t="s">
        <v>3962</v>
      </c>
      <c r="B94" s="555">
        <v>12</v>
      </c>
      <c r="C94" s="555">
        <v>30</v>
      </c>
      <c r="F94" s="204">
        <v>7</v>
      </c>
      <c r="G94" s="1104">
        <v>9</v>
      </c>
      <c r="J94" s="1105" t="str">
        <f t="shared" si="4"/>
        <v>[mm]UNIsatkeptren7=12</v>
      </c>
      <c r="K94" s="1105" t="str">
        <f>CONCATENATE("[mm]",$B$26,$B$87,G94,"=",C94)</f>
        <v>[mm]UNIsatkeptren9=30</v>
      </c>
      <c r="L94" s="1105"/>
      <c r="M94" s="1105"/>
    </row>
    <row r="95" spans="1:13" x14ac:dyDescent="0.25">
      <c r="A95" s="545" t="s">
        <v>3964</v>
      </c>
      <c r="B95" s="1102">
        <f>B89-30</f>
        <v>-25</v>
      </c>
      <c r="F95" s="204">
        <v>8</v>
      </c>
      <c r="G95" s="204"/>
      <c r="J95" s="1105" t="str">
        <f t="shared" si="4"/>
        <v>[mm]UNIsatkeptren8=-25</v>
      </c>
      <c r="K95" s="1105"/>
      <c r="L95" s="1105"/>
      <c r="M95" s="1105"/>
    </row>
    <row r="96" spans="1:13" x14ac:dyDescent="0.25">
      <c r="J96" s="1105"/>
      <c r="K96" s="1105"/>
      <c r="L96" s="1105"/>
      <c r="M96" s="1105"/>
    </row>
    <row r="97" spans="1:13" x14ac:dyDescent="0.25">
      <c r="A97" s="905" t="s">
        <v>1011</v>
      </c>
      <c r="B97" s="1104" t="s">
        <v>3985</v>
      </c>
      <c r="J97" s="1105"/>
      <c r="K97" s="1105"/>
      <c r="L97" s="1105"/>
      <c r="M97" s="1105"/>
    </row>
    <row r="98" spans="1:13" x14ac:dyDescent="0.25">
      <c r="A98" s="545" t="s">
        <v>3952</v>
      </c>
      <c r="B98" s="555">
        <v>6</v>
      </c>
      <c r="F98" s="204">
        <v>1</v>
      </c>
      <c r="G98" s="204"/>
      <c r="J98" s="1105" t="str">
        <f>CONCATENATE("[mm]",$B$26,$B$97,F98,"=",B98)</f>
        <v>[mm]UNIchanke1=6</v>
      </c>
      <c r="K98" s="1105"/>
      <c r="L98" s="1105"/>
      <c r="M98" s="1105"/>
    </row>
    <row r="99" spans="1:13" x14ac:dyDescent="0.25">
      <c r="A99" s="545" t="s">
        <v>3961</v>
      </c>
      <c r="B99" s="555">
        <f>Sheet5!B12-B105*2-20</f>
        <v>379</v>
      </c>
      <c r="F99" s="204">
        <v>2</v>
      </c>
      <c r="G99" s="204"/>
      <c r="J99" s="1105" t="str">
        <f>CONCATENATE("[mm]",$B$26,$B$97,F99,"=",B99)</f>
        <v>[mm]UNIchanke2=379</v>
      </c>
      <c r="K99" s="1105"/>
      <c r="L99" s="1105"/>
      <c r="M99" s="1105"/>
    </row>
    <row r="100" spans="1:13" x14ac:dyDescent="0.25">
      <c r="A100" s="545" t="s">
        <v>3965</v>
      </c>
      <c r="B100" s="555">
        <f>B77/2+B76+36/2</f>
        <v>23.5</v>
      </c>
      <c r="F100" s="204">
        <v>3</v>
      </c>
      <c r="G100" s="204"/>
      <c r="J100" s="1105" t="str">
        <f>CONCATENATE("[mm]",$B$26,$B$97,F100,"=",B100)</f>
        <v>[mm]UNIchanke3=23.5</v>
      </c>
      <c r="K100" s="1105"/>
      <c r="L100" s="1105"/>
      <c r="M100" s="1105"/>
    </row>
    <row r="101" spans="1:13" x14ac:dyDescent="0.25">
      <c r="A101" s="545" t="s">
        <v>3973</v>
      </c>
      <c r="B101" s="555">
        <f>Sheet5!B13-(B114+B79+B76-D81)</f>
        <v>267</v>
      </c>
      <c r="F101" s="204">
        <v>4</v>
      </c>
      <c r="G101" s="204"/>
      <c r="J101" s="1105" t="str">
        <f>CONCATENATE("[mm]",$B$26,$B$97,F101,"=",B101)</f>
        <v>[mm]UNIchanke4=267</v>
      </c>
      <c r="K101" s="1105"/>
      <c r="L101" s="1105"/>
      <c r="M101" s="1105"/>
    </row>
    <row r="102" spans="1:13" x14ac:dyDescent="0.25">
      <c r="A102" s="545" t="s">
        <v>3974</v>
      </c>
      <c r="B102" s="555">
        <v>50</v>
      </c>
      <c r="C102" s="555">
        <v>30</v>
      </c>
      <c r="F102" s="204">
        <v>5</v>
      </c>
      <c r="G102" s="1104">
        <v>6</v>
      </c>
      <c r="J102" s="1105" t="str">
        <f>CONCATENATE("[mm]",$B$26,$B$97,F102,"=",B102)</f>
        <v>[mm]UNIchanke5=50</v>
      </c>
      <c r="K102" s="1105" t="str">
        <f>CONCATENATE("[mm]",$B$26,$B$97,G102,"=",C102)</f>
        <v>[mm]UNIchanke6=30</v>
      </c>
      <c r="L102" s="1105"/>
      <c r="M102" s="1105"/>
    </row>
    <row r="104" spans="1:13" x14ac:dyDescent="0.25">
      <c r="A104" s="905" t="s">
        <v>3966</v>
      </c>
      <c r="B104" s="1104" t="s">
        <v>3986</v>
      </c>
    </row>
    <row r="105" spans="1:13" x14ac:dyDescent="0.25">
      <c r="A105" s="545" t="s">
        <v>3968</v>
      </c>
      <c r="B105" s="555">
        <f>IF(B109&gt;0,55,0)</f>
        <v>55</v>
      </c>
    </row>
    <row r="106" spans="1:13" x14ac:dyDescent="0.25">
      <c r="A106" s="545" t="s">
        <v>4021</v>
      </c>
      <c r="B106" s="555">
        <f>Sheet5!B13-Sheet5!B27-Unicore!B90-Unicore!D59-Unicore!B4-(Unicore!B1-Unicore!F1)/2-Unicore!F1-Unicore!B107</f>
        <v>246</v>
      </c>
    </row>
    <row r="107" spans="1:13" x14ac:dyDescent="0.25">
      <c r="A107" s="545" t="s">
        <v>3978</v>
      </c>
      <c r="B107" s="555">
        <v>45</v>
      </c>
    </row>
    <row r="108" spans="1:13" x14ac:dyDescent="0.25">
      <c r="A108" s="545" t="s">
        <v>3979</v>
      </c>
      <c r="B108" s="1087">
        <f>Sheet2!H52-Sheet2!L51</f>
        <v>126</v>
      </c>
    </row>
    <row r="109" spans="1:13" x14ac:dyDescent="0.25">
      <c r="A109" s="545" t="s">
        <v>3969</v>
      </c>
      <c r="B109" s="1100">
        <f>IF(AND(B108&gt;=75,B106&gt;=40,B106+35&lt;=B108),B106,IF(AND(B108&gt;=75,B106&gt;=40,B106&gt;=B108),B108-35,0))</f>
        <v>91</v>
      </c>
    </row>
    <row r="110" spans="1:13" x14ac:dyDescent="0.25">
      <c r="B110" s="1087"/>
    </row>
    <row r="111" spans="1:13" x14ac:dyDescent="0.25">
      <c r="B111" s="1087"/>
    </row>
    <row r="113" spans="1:2" x14ac:dyDescent="0.25">
      <c r="A113" s="905" t="s">
        <v>3967</v>
      </c>
      <c r="B113" s="1104" t="s">
        <v>3987</v>
      </c>
    </row>
    <row r="114" spans="1:2" x14ac:dyDescent="0.25">
      <c r="A114" s="545" t="s">
        <v>3971</v>
      </c>
      <c r="B114" s="555">
        <f>B11-(75-B115+B93/2)</f>
        <v>52</v>
      </c>
    </row>
    <row r="115" spans="1:2" x14ac:dyDescent="0.25">
      <c r="A115" s="545" t="s">
        <v>3980</v>
      </c>
      <c r="B115" s="555">
        <v>25</v>
      </c>
    </row>
    <row r="116" spans="1:2" x14ac:dyDescent="0.25">
      <c r="A116" s="545" t="s">
        <v>3970</v>
      </c>
      <c r="B116" s="555">
        <f>B114+B115</f>
        <v>77</v>
      </c>
    </row>
    <row r="117" spans="1:2" x14ac:dyDescent="0.25">
      <c r="A117" s="545" t="s">
        <v>3972</v>
      </c>
      <c r="B117" s="555">
        <f>B114-60</f>
        <v>-8</v>
      </c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Q38"/>
  <sheetViews>
    <sheetView workbookViewId="0">
      <selection activeCell="B7" sqref="B7"/>
    </sheetView>
  </sheetViews>
  <sheetFormatPr defaultRowHeight="15" x14ac:dyDescent="0.25"/>
  <cols>
    <col min="1" max="1" width="19.28515625" customWidth="1"/>
    <col min="4" max="4" width="13.42578125" customWidth="1"/>
    <col min="8" max="8" width="9.7109375" customWidth="1"/>
    <col min="10" max="10" width="10.42578125" customWidth="1"/>
    <col min="11" max="11" width="10.42578125" style="545" customWidth="1"/>
    <col min="13" max="13" width="22.5703125" customWidth="1"/>
    <col min="15" max="15" width="10.42578125" customWidth="1"/>
    <col min="17" max="17" width="10.42578125" customWidth="1"/>
  </cols>
  <sheetData>
    <row r="1" spans="1:16" x14ac:dyDescent="0.25">
      <c r="A1" s="1" t="s">
        <v>3674</v>
      </c>
      <c r="B1" s="452">
        <f>Sheet5!E20</f>
        <v>15</v>
      </c>
      <c r="C1" s="1"/>
      <c r="D1" s="1"/>
      <c r="E1" s="1">
        <v>22</v>
      </c>
      <c r="F1" s="1">
        <v>2.25</v>
      </c>
      <c r="G1" s="1"/>
      <c r="H1" s="1"/>
      <c r="I1" s="1"/>
      <c r="J1" s="1"/>
      <c r="K1" s="1"/>
      <c r="L1" s="1"/>
      <c r="M1" s="1" t="s">
        <v>3921</v>
      </c>
      <c r="N1" s="1"/>
      <c r="O1" s="1"/>
      <c r="P1" s="1"/>
    </row>
    <row r="2" spans="1:16" ht="15.75" x14ac:dyDescent="0.25">
      <c r="A2" s="1" t="s">
        <v>575</v>
      </c>
      <c r="B2" s="1">
        <f>Sheet5!B18</f>
        <v>17.5</v>
      </c>
      <c r="C2" s="1"/>
      <c r="D2" s="1"/>
      <c r="E2" s="1">
        <v>35</v>
      </c>
      <c r="F2" s="1">
        <v>4.5</v>
      </c>
      <c r="G2" s="1"/>
      <c r="H2" s="1"/>
      <c r="I2" s="1"/>
      <c r="J2" s="1"/>
      <c r="K2" s="1"/>
      <c r="L2" s="1"/>
      <c r="M2" s="1074" t="s">
        <v>3932</v>
      </c>
      <c r="N2" s="1"/>
      <c r="O2" s="1"/>
      <c r="P2" s="1"/>
    </row>
    <row r="3" spans="1:16" x14ac:dyDescent="0.25">
      <c r="A3" s="1" t="s">
        <v>3906</v>
      </c>
      <c r="B3" s="1">
        <f>IF(B2&gt;=E2,F2,IF(AND(B2&gt;=E1,B2&lt;E2),F1,F3))</f>
        <v>1.2</v>
      </c>
      <c r="C3" s="1"/>
      <c r="D3" s="1">
        <f>B3-B10</f>
        <v>0.19999999999999996</v>
      </c>
      <c r="E3">
        <v>10</v>
      </c>
      <c r="F3">
        <v>1.2</v>
      </c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5">
      <c r="A4" s="1" t="s">
        <v>157</v>
      </c>
      <c r="B4" s="452">
        <f>B1-B3</f>
        <v>13.8</v>
      </c>
      <c r="C4" s="452">
        <f>INT(B4)</f>
        <v>13</v>
      </c>
      <c r="D4" s="452">
        <f>B4-C4</f>
        <v>0.80000000000000071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5">
      <c r="A5" s="1" t="s">
        <v>3911</v>
      </c>
      <c r="B5" s="1">
        <f>Sheet2!O237</f>
        <v>7.4999999999999997E-2</v>
      </c>
      <c r="C5" s="1" t="s">
        <v>3912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5">
      <c r="A6" s="1" t="s">
        <v>3914</v>
      </c>
      <c r="B6" s="1098" t="e">
        <f>D3+D4+HLOOKUP(C4,B15:R18,4,FALSE)</f>
        <v>#N/A</v>
      </c>
      <c r="C6" s="1" t="e">
        <f>ROUND(B6/B5,0)</f>
        <v>#N/A</v>
      </c>
      <c r="D6" s="1099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s="545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s="545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s="545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545" customFormat="1" x14ac:dyDescent="0.25">
      <c r="A10" s="1" t="s">
        <v>630</v>
      </c>
      <c r="B10" s="1">
        <f>VLOOKUP(B3,B11:C13,2,FALSE)</f>
        <v>1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s="545" customFormat="1" x14ac:dyDescent="0.25">
      <c r="A11" s="1" t="s">
        <v>3910</v>
      </c>
      <c r="B11" s="1">
        <v>2.25</v>
      </c>
      <c r="C11" s="1">
        <f>G26</f>
        <v>1.5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s="545" customFormat="1" x14ac:dyDescent="0.25">
      <c r="A12" s="1" t="s">
        <v>3909</v>
      </c>
      <c r="B12" s="1">
        <v>4.5</v>
      </c>
      <c r="C12" s="1">
        <f>G28+N28</f>
        <v>3.5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 t="s">
        <v>3988</v>
      </c>
      <c r="B13" s="545">
        <v>1.2</v>
      </c>
      <c r="C13" s="1">
        <f>G30</f>
        <v>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 t="s">
        <v>3919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" t="s">
        <v>157</v>
      </c>
      <c r="B15" s="1">
        <v>9</v>
      </c>
      <c r="C15" s="1">
        <v>8</v>
      </c>
      <c r="D15" s="1">
        <v>7</v>
      </c>
      <c r="E15" s="1">
        <v>6</v>
      </c>
      <c r="F15" s="1">
        <v>5</v>
      </c>
      <c r="G15" s="1">
        <v>4</v>
      </c>
      <c r="H15" s="1">
        <v>3</v>
      </c>
      <c r="I15" s="1">
        <v>10</v>
      </c>
      <c r="J15" s="1">
        <v>11</v>
      </c>
      <c r="K15" s="1">
        <v>12</v>
      </c>
      <c r="M15" s="1"/>
      <c r="N15" s="1"/>
      <c r="O15" s="1"/>
      <c r="P15" s="1"/>
    </row>
    <row r="16" spans="1:16" x14ac:dyDescent="0.25">
      <c r="A16" s="1" t="s">
        <v>3907</v>
      </c>
      <c r="B16" s="1">
        <v>5</v>
      </c>
      <c r="C16" s="1">
        <v>5</v>
      </c>
      <c r="D16" s="1">
        <v>4</v>
      </c>
      <c r="E16" s="1">
        <v>3</v>
      </c>
      <c r="F16" s="1">
        <v>5</v>
      </c>
      <c r="G16" s="1">
        <v>4</v>
      </c>
      <c r="H16" s="1">
        <v>3</v>
      </c>
      <c r="I16" s="1">
        <v>5</v>
      </c>
      <c r="J16" s="1">
        <v>5</v>
      </c>
      <c r="K16" s="1">
        <v>5</v>
      </c>
      <c r="M16" s="1"/>
      <c r="N16" s="1"/>
      <c r="O16" s="1"/>
      <c r="P16" s="1"/>
    </row>
    <row r="17" spans="1:17" x14ac:dyDescent="0.25">
      <c r="A17" s="1" t="s">
        <v>3908</v>
      </c>
      <c r="B17" s="1">
        <f>B15-B16</f>
        <v>4</v>
      </c>
      <c r="C17" s="1">
        <f t="shared" ref="C17:H17" si="0">C15-C16</f>
        <v>3</v>
      </c>
      <c r="D17" s="1">
        <f t="shared" si="0"/>
        <v>3</v>
      </c>
      <c r="E17" s="1">
        <f t="shared" si="0"/>
        <v>3</v>
      </c>
      <c r="F17" s="1">
        <f t="shared" si="0"/>
        <v>0</v>
      </c>
      <c r="G17" s="1">
        <f t="shared" si="0"/>
        <v>0</v>
      </c>
      <c r="H17" s="1">
        <f t="shared" si="0"/>
        <v>0</v>
      </c>
      <c r="I17" s="1">
        <v>5</v>
      </c>
      <c r="J17" s="1">
        <v>5</v>
      </c>
      <c r="K17" s="1">
        <v>5</v>
      </c>
      <c r="M17" s="1"/>
      <c r="N17" s="1"/>
      <c r="O17" s="1"/>
      <c r="P17" s="1"/>
    </row>
    <row r="18" spans="1:17" x14ac:dyDescent="0.25">
      <c r="A18" s="1" t="s">
        <v>3917</v>
      </c>
      <c r="B18" s="1">
        <f>B15-B16-B17</f>
        <v>0</v>
      </c>
      <c r="C18" s="1">
        <f t="shared" ref="C18:J18" si="1">C15-C16-C17</f>
        <v>0</v>
      </c>
      <c r="D18" s="1">
        <f t="shared" si="1"/>
        <v>0</v>
      </c>
      <c r="E18" s="1">
        <f t="shared" si="1"/>
        <v>0</v>
      </c>
      <c r="F18" s="1">
        <f t="shared" si="1"/>
        <v>0</v>
      </c>
      <c r="G18" s="1">
        <f t="shared" si="1"/>
        <v>0</v>
      </c>
      <c r="H18" s="1">
        <f t="shared" si="1"/>
        <v>0</v>
      </c>
      <c r="I18" s="1">
        <f t="shared" si="1"/>
        <v>0</v>
      </c>
      <c r="J18" s="1">
        <f t="shared" si="1"/>
        <v>1</v>
      </c>
      <c r="K18" s="1">
        <f>K15-K16-K17</f>
        <v>2</v>
      </c>
      <c r="M18" s="1"/>
      <c r="N18" s="1"/>
      <c r="O18" s="1"/>
      <c r="P18" s="1"/>
    </row>
    <row r="19" spans="1:17" s="545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7" s="545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7" s="545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7" s="545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7" s="545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7" x14ac:dyDescent="0.25">
      <c r="A24" s="1"/>
    </row>
    <row r="25" spans="1:17" x14ac:dyDescent="0.25">
      <c r="A25" t="str">
        <f>"&lt;C0.75&gt;Cao hạ:"&amp;B1&amp;"="</f>
        <v>&lt;C0.75&gt;Cao hạ:15=</v>
      </c>
    </row>
    <row r="26" spans="1:17" x14ac:dyDescent="0.25">
      <c r="A26" s="1" t="s">
        <v>3910</v>
      </c>
      <c r="B26" s="1" t="s">
        <v>3916</v>
      </c>
      <c r="C26" t="e">
        <f>ROUNDDOWN((C6-L26)/2,0)</f>
        <v>#N/A</v>
      </c>
      <c r="D26" s="1" t="str">
        <f>"x"&amp;B5&amp;C5&amp;" + "</f>
        <v xml:space="preserve">x0.075) DDP + </v>
      </c>
      <c r="E26" s="1" t="e">
        <f>HLOOKUP(C4,B15:U18,2,FALSE)</f>
        <v>#N/A</v>
      </c>
      <c r="F26" s="1" t="s">
        <v>3913</v>
      </c>
      <c r="G26" s="953">
        <v>1.5</v>
      </c>
      <c r="H26" s="1" t="s">
        <v>3915</v>
      </c>
      <c r="I26" s="1" t="e">
        <f>IF(HLOOKUP(C4,B15:U18,3,FALSE)=0,"",HLOOKUP(C4,B15:U18,3,FALSE))</f>
        <v>#N/A</v>
      </c>
      <c r="J26" s="1" t="e">
        <f>IF(I26="","","mm căn + ")</f>
        <v>#N/A</v>
      </c>
      <c r="K26" s="1" t="s">
        <v>3916</v>
      </c>
      <c r="L26" s="953">
        <v>2</v>
      </c>
      <c r="M26" s="1" t="str">
        <f>"x"&amp;B5&amp;C5&amp;" + vành xòe + "</f>
        <v xml:space="preserve">x0.075) DDP + vành xòe + </v>
      </c>
      <c r="N26" s="1" t="s">
        <v>3916</v>
      </c>
      <c r="O26" s="1" t="e">
        <f>IF(ROUNDUP((C6-L26)/2,0)&gt;=3,ROUNDUP((C6-L26)/2,0),"giảm bìa")</f>
        <v>#N/A</v>
      </c>
      <c r="P26" s="1" t="str">
        <f>"x"&amp;B5&amp;C5</f>
        <v>x0.075) DDP</v>
      </c>
    </row>
    <row r="27" spans="1:17" x14ac:dyDescent="0.25">
      <c r="A27" s="1" t="s">
        <v>3910</v>
      </c>
      <c r="B27" s="1"/>
      <c r="C27" s="1" t="e">
        <f>CONCATENATE(A25,B26,C26,D26,E26,F26,G26,H26,I26,J26,K26,L26,M26,N26,O26,P26)</f>
        <v>#N/A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7" x14ac:dyDescent="0.25">
      <c r="A28" s="1" t="s">
        <v>3909</v>
      </c>
      <c r="B28" s="1" t="s">
        <v>3916</v>
      </c>
      <c r="C28" s="1" t="e">
        <f>ROUNDDOWN((C6-L28)/2,0)</f>
        <v>#N/A</v>
      </c>
      <c r="D28" s="1" t="str">
        <f>D26</f>
        <v xml:space="preserve">x0.075) DDP + </v>
      </c>
      <c r="E28" s="1" t="e">
        <f>E26</f>
        <v>#N/A</v>
      </c>
      <c r="F28" s="1" t="s">
        <v>3913</v>
      </c>
      <c r="G28" s="953">
        <v>3</v>
      </c>
      <c r="H28" s="1" t="s">
        <v>3915</v>
      </c>
      <c r="I28" s="1" t="e">
        <f>I26</f>
        <v>#N/A</v>
      </c>
      <c r="J28" s="1" t="e">
        <f>IF(I28="","","mm căn + ")</f>
        <v>#N/A</v>
      </c>
      <c r="K28" s="1" t="s">
        <v>3916</v>
      </c>
      <c r="L28" s="953">
        <v>2</v>
      </c>
      <c r="M28" s="1" t="str">
        <f>M26</f>
        <v xml:space="preserve">x0.075) DDP + vành xòe + </v>
      </c>
      <c r="N28" s="953">
        <v>0.5</v>
      </c>
      <c r="O28" s="1" t="s">
        <v>3918</v>
      </c>
      <c r="P28" s="1" t="e">
        <f>ROUNDUP((C6-L28)/2,0)</f>
        <v>#N/A</v>
      </c>
      <c r="Q28" t="str">
        <f>P26</f>
        <v>x0.075) DDP</v>
      </c>
    </row>
    <row r="29" spans="1:17" x14ac:dyDescent="0.25">
      <c r="A29" s="1" t="s">
        <v>3909</v>
      </c>
      <c r="B29" s="1"/>
      <c r="C29" s="1" t="e">
        <f>CONCATENATE(A25,B28,C28,D28,E28,F28,G28,H28,I28,J28,K28,L28,M28,N28,O28,P28,Q28)</f>
        <v>#N/A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7" x14ac:dyDescent="0.25">
      <c r="A30" s="1" t="s">
        <v>3988</v>
      </c>
      <c r="B30" s="1" t="s">
        <v>3916</v>
      </c>
      <c r="C30" s="1" t="e">
        <f>ROUNDDOWN(C6/2,0)</f>
        <v>#N/A</v>
      </c>
      <c r="D30" s="1" t="str">
        <f>D28</f>
        <v xml:space="preserve">x0.075) DDP + </v>
      </c>
      <c r="E30" s="1" t="e">
        <f>E28</f>
        <v>#N/A</v>
      </c>
      <c r="F30" s="1" t="s">
        <v>3913</v>
      </c>
      <c r="G30" s="953">
        <v>1</v>
      </c>
      <c r="H30" s="1" t="s">
        <v>3915</v>
      </c>
      <c r="I30" s="1" t="e">
        <f>I28</f>
        <v>#N/A</v>
      </c>
      <c r="J30" s="1" t="e">
        <f>IF(I30="","","mm căn + ")</f>
        <v>#N/A</v>
      </c>
      <c r="K30" s="1" t="s">
        <v>3916</v>
      </c>
      <c r="L30" s="1" t="e">
        <f>ROUNDUP(C6/2,0)</f>
        <v>#N/A</v>
      </c>
      <c r="M30" s="1" t="str">
        <f>Q28</f>
        <v>x0.075) DDP</v>
      </c>
      <c r="N30" s="1"/>
      <c r="O30" s="1"/>
      <c r="P30" s="1"/>
    </row>
    <row r="31" spans="1:17" x14ac:dyDescent="0.25">
      <c r="A31" s="1" t="s">
        <v>3988</v>
      </c>
      <c r="B31" s="1"/>
      <c r="C31" s="1" t="e">
        <f>CONCATENATE(A25,B30,C30,D30,E30,F30,G30,H30,I30,J30,K30,L30,M30)</f>
        <v>#N/A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7" x14ac:dyDescent="0.25">
      <c r="A32" t="s">
        <v>3990</v>
      </c>
      <c r="B32" t="s">
        <v>3916</v>
      </c>
      <c r="C32">
        <f>ROUNDDOWN((B1-E32)/B5/2,0)</f>
        <v>66</v>
      </c>
      <c r="D32" t="str">
        <f>D30</f>
        <v xml:space="preserve">x0.075) DDP + </v>
      </c>
      <c r="E32">
        <f>IF(B1&gt;=5.5,5,IF(AND(B1&lt;5.5,B1&gt;=4.5),4.13,3.13))</f>
        <v>5</v>
      </c>
      <c r="F32" s="1" t="s">
        <v>3913</v>
      </c>
      <c r="G32" t="s">
        <v>3916</v>
      </c>
      <c r="H32">
        <f>ROUNDUP((B1-E32)/B5/2,0)</f>
        <v>67</v>
      </c>
      <c r="I32" t="str">
        <f>M30</f>
        <v>x0.075) DDP</v>
      </c>
    </row>
    <row r="33" spans="1:3" x14ac:dyDescent="0.25">
      <c r="A33" s="545" t="s">
        <v>3990</v>
      </c>
      <c r="C33" s="1" t="str">
        <f>CONCATENATE(A25,B32,C32,D32,E32,F32,G32,H32,I32,J32,K32,L32,M32)</f>
        <v>&lt;C0.75&gt;Cao hạ:15=(66x0.075) DDP + 5mm căn + (67x0.075) DDP</v>
      </c>
    </row>
    <row r="35" spans="1:3" x14ac:dyDescent="0.25">
      <c r="C35" s="122" t="e">
        <f>IF(B2&gt;=E2,C29,IF(AND(B2&lt;E2,B2&gt;=E1),C27,IF(AND(B2&lt;E1,B2&gt;=E3),C31,C33)))</f>
        <v>#N/A</v>
      </c>
    </row>
    <row r="36" spans="1:3" x14ac:dyDescent="0.25">
      <c r="B36">
        <f>IF(B2&gt;=35,9,6)</f>
        <v>6</v>
      </c>
      <c r="C36" s="122" t="e">
        <f>"Khoảng cách cao hạ phần thanh đồng ngoài hạ thế: "&amp;B36&amp;" mm =  "&amp;B36-B10*2-B6&amp;" mm bìa chắn pha đầu dây + "&amp;B10*2&amp;" mm bìa cao hạ chồng mép + ("&amp;C6&amp;P26</f>
        <v>#N/A</v>
      </c>
    </row>
    <row r="37" spans="1:3" x14ac:dyDescent="0.25">
      <c r="C37" s="427"/>
    </row>
    <row r="38" spans="1:3" x14ac:dyDescent="0.25">
      <c r="C38" s="428"/>
    </row>
  </sheetData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L370"/>
  <sheetViews>
    <sheetView zoomScale="70" zoomScaleNormal="70" zoomScaleSheetLayoutView="69" workbookViewId="0">
      <pane ySplit="1" topLeftCell="A56" activePane="bottomLeft" state="frozen"/>
      <selection pane="bottomLeft" activeCell="C93" sqref="C93"/>
    </sheetView>
  </sheetViews>
  <sheetFormatPr defaultColWidth="8.85546875" defaultRowHeight="15" x14ac:dyDescent="0.25"/>
  <cols>
    <col min="1" max="1" width="63.42578125" style="228" customWidth="1"/>
    <col min="2" max="2" width="33.5703125" style="228" customWidth="1"/>
    <col min="3" max="3" width="60.42578125" style="228" customWidth="1"/>
    <col min="4" max="4" width="28" style="228" customWidth="1"/>
    <col min="5" max="5" width="48.7109375" style="228" customWidth="1"/>
    <col min="6" max="6" width="30.7109375" style="228" customWidth="1"/>
    <col min="7" max="7" width="57.42578125" style="228" customWidth="1"/>
    <col min="8" max="9" width="35.140625" style="228" customWidth="1"/>
    <col min="10" max="10" width="31.28515625" style="228" customWidth="1"/>
    <col min="11" max="11" width="37.140625" style="228" customWidth="1"/>
    <col min="12" max="12" width="36.28515625" style="228" customWidth="1"/>
    <col min="13" max="13" width="37.140625" style="228" customWidth="1"/>
    <col min="14" max="14" width="31.7109375" style="228" customWidth="1"/>
    <col min="15" max="15" width="22.85546875" style="228" customWidth="1"/>
    <col min="16" max="16" width="27.28515625" style="228" customWidth="1"/>
    <col min="17" max="17" width="34.28515625" style="228" customWidth="1"/>
    <col min="18" max="18" width="22.5703125" style="228" customWidth="1"/>
    <col min="19" max="19" width="29.28515625" style="228" customWidth="1"/>
    <col min="20" max="20" width="25.7109375" style="228" customWidth="1"/>
    <col min="21" max="21" width="17.5703125" style="228" customWidth="1"/>
    <col min="22" max="22" width="28.7109375" style="228" customWidth="1"/>
    <col min="23" max="25" width="8.85546875" style="228"/>
    <col min="26" max="26" width="14.85546875" style="228" customWidth="1"/>
    <col min="27" max="27" width="14" style="228" customWidth="1"/>
    <col min="28" max="28" width="13.7109375" style="228" customWidth="1"/>
    <col min="29" max="29" width="14.85546875" style="228" customWidth="1"/>
    <col min="30" max="30" width="38.5703125" style="228" customWidth="1"/>
    <col min="31" max="31" width="22" style="228" customWidth="1"/>
    <col min="32" max="32" width="40.7109375" style="228" customWidth="1"/>
    <col min="33" max="33" width="20" style="228" customWidth="1"/>
    <col min="34" max="16384" width="8.85546875" style="228"/>
  </cols>
  <sheetData>
    <row r="1" spans="1:22" s="1217" customFormat="1" ht="63" customHeight="1" x14ac:dyDescent="0.25"/>
    <row r="2" spans="1:22" s="335" customFormat="1" ht="15.75" thickBot="1" x14ac:dyDescent="0.3"/>
    <row r="3" spans="1:22" ht="16.5" thickTop="1" thickBot="1" x14ac:dyDescent="0.3">
      <c r="A3" s="228" t="s">
        <v>0</v>
      </c>
      <c r="B3" s="228">
        <v>20</v>
      </c>
      <c r="E3" s="135" t="s">
        <v>251</v>
      </c>
    </row>
    <row r="4" spans="1:22" ht="16.5" thickTop="1" thickBot="1" x14ac:dyDescent="0.3">
      <c r="A4" s="228" t="s">
        <v>1</v>
      </c>
      <c r="B4" s="228">
        <v>1.2</v>
      </c>
      <c r="C4" s="135" t="s">
        <v>602</v>
      </c>
      <c r="F4" s="127" t="s">
        <v>12</v>
      </c>
      <c r="G4" s="127" t="s">
        <v>271</v>
      </c>
      <c r="K4" s="229"/>
    </row>
    <row r="5" spans="1:22" ht="18.75" thickTop="1" thickBot="1" x14ac:dyDescent="0.3">
      <c r="A5" s="228" t="s">
        <v>2</v>
      </c>
      <c r="B5" s="228">
        <v>20</v>
      </c>
      <c r="C5" s="221" t="str">
        <f>CONCATENATE("&lt;C0.75&gt;Sản phẩm : MBA ",B26,"KVA ",C27,"/0,4kV ",C28,"(",C26,")")</f>
        <v>&lt;C0.75&gt;Sản phẩm : MBA 303KVA 22/0,4kV Dyn11(20A261)</v>
      </c>
      <c r="E5" s="216">
        <f>H31</f>
        <v>78</v>
      </c>
      <c r="F5" s="485" t="str">
        <f>F37</f>
        <v>MTN-4</v>
      </c>
      <c r="G5" s="216">
        <f>G44</f>
        <v>400</v>
      </c>
      <c r="H5" s="128" t="str">
        <f>CONCATENATE("&lt;C0.75&gt;Tấm inox ",G5,"x",G6,"x",G7)</f>
        <v>&lt;C0.75&gt;Tấm inox 400x66x4</v>
      </c>
    </row>
    <row r="6" spans="1:22" ht="16.5" thickTop="1" thickBot="1" x14ac:dyDescent="0.3">
      <c r="A6" s="228" t="s">
        <v>138</v>
      </c>
      <c r="B6" s="230">
        <f>Sheet5!B1</f>
        <v>2052.8193444504759</v>
      </c>
      <c r="C6" s="451" t="str">
        <f>CONCATENATE("&lt;C0.75&gt;Sản phẩm : MBA ",B26,"KVA ",C27,"/0,4kV ","(",C26,")")</f>
        <v>&lt;C0.75&gt;Sản phẩm : MBA 303KVA 22/0,4kV (20A261)</v>
      </c>
      <c r="E6" s="216">
        <f>I31</f>
        <v>123</v>
      </c>
      <c r="F6" s="217"/>
      <c r="G6" s="216">
        <f>H44</f>
        <v>66</v>
      </c>
      <c r="I6" s="231"/>
      <c r="J6" s="231" t="s">
        <v>229</v>
      </c>
      <c r="K6" s="231" t="s">
        <v>230</v>
      </c>
      <c r="L6" s="231" t="s">
        <v>224</v>
      </c>
      <c r="M6" s="231" t="s">
        <v>225</v>
      </c>
      <c r="N6" s="231" t="s">
        <v>231</v>
      </c>
      <c r="O6" s="231" t="s">
        <v>232</v>
      </c>
      <c r="P6" s="231" t="s">
        <v>233</v>
      </c>
      <c r="Q6" s="231" t="s">
        <v>234</v>
      </c>
      <c r="R6" s="231" t="s">
        <v>235</v>
      </c>
      <c r="S6" s="231" t="s">
        <v>254</v>
      </c>
      <c r="T6" s="231" t="s">
        <v>253</v>
      </c>
      <c r="U6" s="231" t="s">
        <v>255</v>
      </c>
      <c r="V6" s="231" t="s">
        <v>456</v>
      </c>
    </row>
    <row r="7" spans="1:22" ht="18.75" thickTop="1" thickBot="1" x14ac:dyDescent="0.3">
      <c r="B7" s="228">
        <f>IF(B6&gt;4000,4,2)</f>
        <v>2</v>
      </c>
      <c r="C7" s="227" t="s">
        <v>616</v>
      </c>
      <c r="D7" s="220" t="s">
        <v>600</v>
      </c>
      <c r="E7" s="219" t="s">
        <v>548</v>
      </c>
      <c r="F7" s="216"/>
      <c r="G7" s="216">
        <f>I44</f>
        <v>4</v>
      </c>
      <c r="I7" s="231" t="s">
        <v>226</v>
      </c>
      <c r="J7" s="231">
        <f>B20/2-35</f>
        <v>660</v>
      </c>
      <c r="K7" s="231">
        <f>B21/2-35</f>
        <v>219.5</v>
      </c>
      <c r="L7" s="231">
        <v>0</v>
      </c>
      <c r="M7" s="231">
        <v>0</v>
      </c>
      <c r="N7" s="231">
        <v>0</v>
      </c>
      <c r="O7" s="231">
        <v>0</v>
      </c>
      <c r="P7" s="231">
        <v>0</v>
      </c>
      <c r="Q7" s="231">
        <v>0</v>
      </c>
      <c r="R7" s="231">
        <f>J7-G44/2+G60/2</f>
        <v>480.5</v>
      </c>
      <c r="S7" s="231">
        <f>J7-85</f>
        <v>575</v>
      </c>
      <c r="T7" s="231">
        <f>(B21/2-35)</f>
        <v>219.5</v>
      </c>
      <c r="U7" s="231">
        <v>41</v>
      </c>
      <c r="V7" s="231">
        <v>0</v>
      </c>
    </row>
    <row r="8" spans="1:22" ht="16.5" thickTop="1" thickBot="1" x14ac:dyDescent="0.3">
      <c r="A8" s="232" t="s">
        <v>212</v>
      </c>
      <c r="B8" s="144"/>
      <c r="F8" s="128" t="s">
        <v>270</v>
      </c>
      <c r="I8" s="231" t="s">
        <v>227</v>
      </c>
      <c r="J8" s="231">
        <f>M82</f>
        <v>594</v>
      </c>
      <c r="K8" s="162">
        <f>IF(B7=4,0,85)</f>
        <v>85</v>
      </c>
      <c r="L8" s="231">
        <v>10</v>
      </c>
      <c r="M8" s="231">
        <v>10</v>
      </c>
      <c r="N8" s="231">
        <f>IF(AND(180&lt;=B26,B26&lt;=320),IF(MOD('Lo vanh vs nap'!C3,2)=0,10,0),0)</f>
        <v>10</v>
      </c>
      <c r="O8" s="231">
        <f>J8</f>
        <v>594</v>
      </c>
      <c r="P8" s="231">
        <f>K8</f>
        <v>85</v>
      </c>
      <c r="Q8" s="231">
        <f>J60</f>
        <v>90</v>
      </c>
      <c r="R8" s="231">
        <v>0</v>
      </c>
      <c r="S8" s="231">
        <v>140</v>
      </c>
      <c r="T8" s="231">
        <f>H57</f>
        <v>-20</v>
      </c>
      <c r="U8" s="231">
        <v>40</v>
      </c>
      <c r="V8" s="231">
        <f>'Lo vanh vs nap'!P10</f>
        <v>202.5</v>
      </c>
    </row>
    <row r="9" spans="1:22" ht="16.5" thickTop="1" thickBot="1" x14ac:dyDescent="0.3">
      <c r="A9" s="144" t="s">
        <v>3675</v>
      </c>
      <c r="B9" s="233">
        <f>Sheet5!B4</f>
        <v>380</v>
      </c>
      <c r="C9" s="231" t="s">
        <v>468</v>
      </c>
      <c r="D9" s="234">
        <f>Sheet5!B4</f>
        <v>380</v>
      </c>
      <c r="F9" s="218">
        <f>H25</f>
        <v>6</v>
      </c>
      <c r="G9" s="216" t="str">
        <f>E60</f>
        <v>BD36</v>
      </c>
    </row>
    <row r="10" spans="1:22" ht="16.5" thickTop="1" thickBot="1" x14ac:dyDescent="0.3">
      <c r="A10" s="144" t="s">
        <v>479</v>
      </c>
      <c r="B10" s="233">
        <f>Sheet5!C5</f>
        <v>380</v>
      </c>
      <c r="C10" s="231" t="s">
        <v>473</v>
      </c>
      <c r="D10" s="234">
        <f>Sheet5!B5</f>
        <v>380</v>
      </c>
      <c r="H10" s="135" t="s">
        <v>228</v>
      </c>
      <c r="I10" s="162" t="str">
        <f>IF(OR(Sheet5!F35=2,Sheet5!F35=3),"Kín",IF(Sheet5!F35=1,"Hở","SAI"))</f>
        <v>Kín</v>
      </c>
      <c r="J10" s="228">
        <f>IF(Sheet5!F35=3,2,IF(Sheet5!F35=2,2,IF(Sheet5!F35=1,1,"SAI")))</f>
        <v>2</v>
      </c>
      <c r="K10" s="228" t="s">
        <v>4023</v>
      </c>
      <c r="L10" s="228">
        <f>IF(OR(Sheet5!B26="Unicore",Sheet5!B26="Amo"),2,1)</f>
        <v>1</v>
      </c>
    </row>
    <row r="11" spans="1:22" ht="16.5" thickTop="1" thickBot="1" x14ac:dyDescent="0.3">
      <c r="A11" s="144" t="s">
        <v>478</v>
      </c>
      <c r="B11" s="235">
        <f>Sheet5!B6</f>
        <v>600</v>
      </c>
      <c r="C11" s="231" t="s">
        <v>1038</v>
      </c>
      <c r="D11" s="137">
        <f>Sheet5!B9</f>
        <v>45</v>
      </c>
      <c r="E11" s="137">
        <f>Sheet5!C9</f>
        <v>45</v>
      </c>
      <c r="H11" s="135" t="s">
        <v>675</v>
      </c>
      <c r="I11" s="162" t="str">
        <f>IF(J11=1," Quây Góc",IF(J11=2,"Thường","Sai"))</f>
        <v>Thường</v>
      </c>
      <c r="J11" s="363">
        <f>Sheet5!B3</f>
        <v>2</v>
      </c>
    </row>
    <row r="12" spans="1:22" ht="16.5" thickTop="1" thickBot="1" x14ac:dyDescent="0.3">
      <c r="A12" s="144" t="s">
        <v>93</v>
      </c>
      <c r="B12" s="236">
        <v>10</v>
      </c>
      <c r="C12" s="231" t="s">
        <v>472</v>
      </c>
      <c r="D12" s="231">
        <f>(B13-1)*D11+10</f>
        <v>460</v>
      </c>
      <c r="E12" s="237" t="s">
        <v>91</v>
      </c>
      <c r="F12" s="129" t="s">
        <v>7</v>
      </c>
      <c r="G12" s="144" t="s">
        <v>209</v>
      </c>
    </row>
    <row r="13" spans="1:22" ht="16.5" thickTop="1" thickBot="1" x14ac:dyDescent="0.3">
      <c r="A13" s="144" t="s">
        <v>477</v>
      </c>
      <c r="B13" s="236">
        <f>T71</f>
        <v>11</v>
      </c>
      <c r="C13" s="231" t="s">
        <v>471</v>
      </c>
      <c r="D13" s="231">
        <f>(B14-1)*D11+10</f>
        <v>1315</v>
      </c>
      <c r="E13" s="238"/>
      <c r="F13" s="130">
        <f>G22</f>
        <v>60</v>
      </c>
      <c r="G13" s="148">
        <f>Sheet3!D56</f>
        <v>10</v>
      </c>
    </row>
    <row r="14" spans="1:22" ht="16.5" thickTop="1" thickBot="1" x14ac:dyDescent="0.3">
      <c r="A14" s="239" t="s">
        <v>476</v>
      </c>
      <c r="B14" s="240">
        <f>S71</f>
        <v>30</v>
      </c>
      <c r="C14" s="231" t="s">
        <v>470</v>
      </c>
      <c r="D14" s="231">
        <f>T72</f>
        <v>35</v>
      </c>
      <c r="H14" s="228" t="s">
        <v>605</v>
      </c>
      <c r="K14" s="335"/>
    </row>
    <row r="15" spans="1:22" ht="16.5" thickTop="1" thickBot="1" x14ac:dyDescent="0.3">
      <c r="A15" s="231" t="s">
        <v>475</v>
      </c>
      <c r="B15" s="131">
        <f>Sheet5!B7</f>
        <v>380</v>
      </c>
      <c r="C15" s="231" t="s">
        <v>469</v>
      </c>
      <c r="D15" s="231">
        <f>S72</f>
        <v>48</v>
      </c>
      <c r="E15" s="132" t="s">
        <v>26</v>
      </c>
      <c r="F15" s="239" t="s">
        <v>240</v>
      </c>
      <c r="G15" s="144" t="s">
        <v>14</v>
      </c>
      <c r="H15" s="228" t="s">
        <v>1021</v>
      </c>
      <c r="M15" s="229"/>
      <c r="N15" s="229"/>
      <c r="O15" s="229"/>
      <c r="P15" s="229"/>
      <c r="Q15" s="229"/>
    </row>
    <row r="16" spans="1:22" ht="16.5" thickTop="1" thickBot="1" x14ac:dyDescent="0.3">
      <c r="A16" s="231" t="s">
        <v>474</v>
      </c>
      <c r="B16" s="133">
        <f>Sheet5!B8</f>
        <v>380</v>
      </c>
      <c r="E16" s="236"/>
      <c r="F16" s="136" t="str">
        <f>IF(AND(0&lt;B26,B26&lt;500),F100,IF(AND(500&lt;=B26),F101,"NO VALID SCORE"))</f>
        <v>&lt;500</v>
      </c>
      <c r="G16" s="134">
        <f>IF(Sheet5!B1&lt;1500,4,6)</f>
        <v>6</v>
      </c>
      <c r="H16" s="228">
        <f>IF(G44=0,10,0)</f>
        <v>0</v>
      </c>
      <c r="M16" s="229">
        <v>0.70710678118654757</v>
      </c>
      <c r="N16" s="229"/>
      <c r="O16" s="229"/>
      <c r="P16" s="229"/>
      <c r="Q16" s="229"/>
    </row>
    <row r="17" spans="1:17" ht="16.5" thickTop="1" thickBot="1" x14ac:dyDescent="0.3">
      <c r="M17" s="229"/>
      <c r="N17" s="229"/>
      <c r="O17" s="229"/>
      <c r="P17" s="229"/>
      <c r="Q17" s="229"/>
    </row>
    <row r="18" spans="1:17" ht="16.5" thickTop="1" thickBot="1" x14ac:dyDescent="0.3">
      <c r="A18" s="228" t="s">
        <v>272</v>
      </c>
      <c r="C18" s="225" t="s">
        <v>384</v>
      </c>
      <c r="E18" s="135" t="s">
        <v>75</v>
      </c>
      <c r="F18" s="241" t="s">
        <v>75</v>
      </c>
      <c r="G18" s="144" t="s">
        <v>239</v>
      </c>
      <c r="H18" s="228" t="s">
        <v>3644</v>
      </c>
      <c r="M18" s="229">
        <f>DEGREES(45)</f>
        <v>2578.3100780887044</v>
      </c>
      <c r="N18" s="229"/>
      <c r="O18" s="229"/>
      <c r="P18" s="229"/>
      <c r="Q18" s="229"/>
    </row>
    <row r="19" spans="1:17" ht="16.5" thickTop="1" thickBot="1" x14ac:dyDescent="0.3">
      <c r="A19" s="135" t="s">
        <v>17</v>
      </c>
      <c r="C19" s="226" t="s">
        <v>386</v>
      </c>
      <c r="E19" s="231"/>
      <c r="F19" s="242">
        <f>IF(B21&lt;=400,4,IF(AND(B21&gt;400,B21&lt;=500),6,IF(AND(B21&gt;500,B21&lt;=830),8,8)))</f>
        <v>8</v>
      </c>
      <c r="G19" s="148"/>
      <c r="H19" s="228">
        <f>IF(F19&gt;=8,25,20)</f>
        <v>25</v>
      </c>
      <c r="M19" s="229"/>
      <c r="N19" s="229"/>
      <c r="O19" s="229"/>
      <c r="P19" s="229"/>
      <c r="Q19" s="229"/>
    </row>
    <row r="20" spans="1:17" ht="16.5" thickTop="1" thickBot="1" x14ac:dyDescent="0.3">
      <c r="A20" s="136" t="s">
        <v>162</v>
      </c>
      <c r="B20" s="137">
        <f>ROUND(Sheet5!B11,0)</f>
        <v>1390</v>
      </c>
      <c r="C20" s="243">
        <f>Sheet5!B11-(2*Sheet5!B28+Sheet5!E25)</f>
        <v>91.023200000000088</v>
      </c>
      <c r="D20" s="224" t="str">
        <f>IF(C20&lt;70,"SAI","OK")</f>
        <v>OK</v>
      </c>
      <c r="M20" s="138"/>
      <c r="N20" s="138"/>
      <c r="O20" s="138"/>
      <c r="P20" s="138"/>
      <c r="Q20" s="229"/>
    </row>
    <row r="21" spans="1:17" ht="16.5" thickTop="1" thickBot="1" x14ac:dyDescent="0.3">
      <c r="A21" s="136" t="s">
        <v>163</v>
      </c>
      <c r="B21" s="137">
        <f>ROUND(Sheet5!B12,0)</f>
        <v>509</v>
      </c>
      <c r="C21" s="244">
        <f>Sheet5!B12-Sheet5!F25</f>
        <v>66.306066310674339</v>
      </c>
      <c r="D21" s="224" t="str">
        <f>IF(C21&lt;75,"SAI","OK")</f>
        <v>SAI</v>
      </c>
      <c r="E21" s="139" t="s">
        <v>7</v>
      </c>
      <c r="F21" s="231" t="s">
        <v>48</v>
      </c>
      <c r="G21" s="140" t="s">
        <v>23</v>
      </c>
      <c r="H21" s="141" t="s">
        <v>19</v>
      </c>
      <c r="I21" s="140" t="s">
        <v>20</v>
      </c>
      <c r="J21" s="140" t="s">
        <v>21</v>
      </c>
      <c r="K21" s="140" t="s">
        <v>22</v>
      </c>
      <c r="L21" s="228" t="s">
        <v>3729</v>
      </c>
      <c r="M21" s="138"/>
      <c r="N21" s="138"/>
      <c r="O21" s="138"/>
      <c r="P21" s="138"/>
      <c r="Q21" s="229"/>
    </row>
    <row r="22" spans="1:17" ht="16.5" thickTop="1" thickBot="1" x14ac:dyDescent="0.3">
      <c r="A22" s="136" t="s">
        <v>164</v>
      </c>
      <c r="B22" s="137">
        <f>ROUND(Sheet5!B13,0)</f>
        <v>785</v>
      </c>
      <c r="E22" s="136"/>
      <c r="F22" s="231" t="str">
        <f>IF(B21&lt;=400,E100,IF(AND(400&lt;B21,B21&lt;=4000),E101,"NO VALID SCORE"))</f>
        <v>&gt;400</v>
      </c>
      <c r="G22" s="140">
        <f>Sheet3!I7</f>
        <v>60</v>
      </c>
      <c r="H22" s="140">
        <f>Sheet3!J7</f>
        <v>8</v>
      </c>
      <c r="I22" s="140">
        <f>Sheet3!K7</f>
        <v>35</v>
      </c>
      <c r="J22" s="140">
        <f>Sheet3!L7</f>
        <v>12</v>
      </c>
      <c r="K22" s="140">
        <f>Sheet3!M7</f>
        <v>15</v>
      </c>
      <c r="L22" s="228">
        <f>(H22-G16)*2</f>
        <v>4</v>
      </c>
      <c r="M22" s="138"/>
      <c r="N22" s="138"/>
      <c r="O22" s="138"/>
      <c r="P22" s="138"/>
      <c r="Q22" s="229"/>
    </row>
    <row r="23" spans="1:17" ht="16.5" thickTop="1" thickBot="1" x14ac:dyDescent="0.3"/>
    <row r="24" spans="1:17" ht="16.5" thickTop="1" thickBot="1" x14ac:dyDescent="0.3">
      <c r="A24" s="231" t="s">
        <v>238</v>
      </c>
      <c r="B24" s="245">
        <f>IF(Sheet5!D33="Dung tích dầu (Lít)",1,Sheet5!B15)</f>
        <v>1</v>
      </c>
      <c r="D24" s="335"/>
      <c r="E24" s="135" t="s">
        <v>5</v>
      </c>
      <c r="F24" s="231" t="s">
        <v>48</v>
      </c>
      <c r="G24" s="136" t="s">
        <v>27</v>
      </c>
      <c r="H24" s="136" t="s">
        <v>28</v>
      </c>
      <c r="I24" s="136" t="s">
        <v>18</v>
      </c>
      <c r="J24" s="136" t="s">
        <v>123</v>
      </c>
      <c r="K24" s="136" t="s">
        <v>134</v>
      </c>
      <c r="L24" s="136" t="s">
        <v>135</v>
      </c>
      <c r="M24" s="136" t="s">
        <v>4102</v>
      </c>
      <c r="N24" s="136" t="s">
        <v>199</v>
      </c>
      <c r="O24" s="136" t="s">
        <v>200</v>
      </c>
      <c r="P24" s="231" t="s">
        <v>781</v>
      </c>
      <c r="Q24" s="228" t="s">
        <v>4107</v>
      </c>
    </row>
    <row r="25" spans="1:17" ht="16.5" thickTop="1" thickBot="1" x14ac:dyDescent="0.3">
      <c r="A25" s="231" t="s">
        <v>237</v>
      </c>
      <c r="B25" s="245">
        <f>Sheet5!E33</f>
        <v>700.84643620322231</v>
      </c>
      <c r="C25" s="135" t="s">
        <v>601</v>
      </c>
      <c r="D25" s="335"/>
      <c r="E25" s="136"/>
      <c r="F25" s="231" t="str">
        <f>G108</f>
        <v>100-1000</v>
      </c>
      <c r="G25" s="136">
        <f>Sheet3!D72</f>
        <v>50</v>
      </c>
      <c r="H25" s="142">
        <f>Sheet3!E72</f>
        <v>6</v>
      </c>
      <c r="I25" s="136">
        <f>IF(L10=1,Sheet3!F72,IF(L10=2,Unicore!B116,"sai"))</f>
        <v>210</v>
      </c>
      <c r="J25" s="136">
        <f>IF(L10=1,Sheet3!G72,IF(L10=2,Unicore!B114,"sai"))</f>
        <v>170</v>
      </c>
      <c r="K25" s="136">
        <f>IF(L10=1,Sheet3!H72,IF(L10=2,Unicore!B117,"sai"))</f>
        <v>80</v>
      </c>
      <c r="L25" s="136">
        <f>Sheet3!I72</f>
        <v>12</v>
      </c>
      <c r="M25" s="136">
        <f>Sheet3!J72</f>
        <v>16</v>
      </c>
      <c r="N25" s="136">
        <f>IF(L10=1,C58,IF(L10=2,Unicore!B77/2+Unicore!B76+Sheet2!H25/2,"sai"))</f>
        <v>73</v>
      </c>
      <c r="O25" s="136">
        <f>IF(L10=1,C59,IF(L10=2,Unicore!B77/2+Unicore!B76+Sheet2!H25/2,"sai"))</f>
        <v>73</v>
      </c>
      <c r="P25" s="231">
        <f>IF(L10=1,20-B174,IF(L10=2,Sheet5!B11/2-Unicore!B78/2-Unicore!B76,"sai"))</f>
        <v>20</v>
      </c>
      <c r="Q25" s="228">
        <f>IF(L10=1,G25/2,IF(L10=2,Unicore!B80/2,"sai"))</f>
        <v>25</v>
      </c>
    </row>
    <row r="26" spans="1:17" ht="16.5" thickTop="1" thickBot="1" x14ac:dyDescent="0.3">
      <c r="A26" s="231" t="s">
        <v>118</v>
      </c>
      <c r="B26" s="245">
        <f>Sheet5!B17</f>
        <v>303</v>
      </c>
      <c r="C26" s="527" t="s">
        <v>1090</v>
      </c>
    </row>
    <row r="27" spans="1:17" ht="16.5" thickTop="1" thickBot="1" x14ac:dyDescent="0.3">
      <c r="A27" s="231" t="s">
        <v>120</v>
      </c>
      <c r="B27" s="245">
        <f>Sheet5!B18</f>
        <v>17.5</v>
      </c>
      <c r="C27" s="525">
        <v>22</v>
      </c>
      <c r="E27" s="143" t="s">
        <v>8</v>
      </c>
      <c r="F27" s="330" t="s">
        <v>69</v>
      </c>
      <c r="G27" s="130" t="s">
        <v>49</v>
      </c>
      <c r="H27" s="145" t="s">
        <v>32</v>
      </c>
      <c r="I27" s="146" t="s">
        <v>33</v>
      </c>
      <c r="J27" s="147" t="s">
        <v>34</v>
      </c>
      <c r="K27" s="231" t="s">
        <v>267</v>
      </c>
      <c r="L27" s="231" t="s">
        <v>689</v>
      </c>
    </row>
    <row r="28" spans="1:17" ht="16.5" thickTop="1" thickBot="1" x14ac:dyDescent="0.3">
      <c r="A28" s="231" t="s">
        <v>606</v>
      </c>
      <c r="B28" s="450">
        <f>Sheet5!B19</f>
        <v>9.9967007588254688</v>
      </c>
      <c r="C28" s="456" t="s">
        <v>1089</v>
      </c>
      <c r="E28" s="145"/>
      <c r="F28" s="155" t="str">
        <f>B108</f>
        <v>0-180KVA</v>
      </c>
      <c r="G28" s="331" t="str">
        <f>Sheet3!K21</f>
        <v>M12-250A</v>
      </c>
      <c r="H28" s="148">
        <f>Sheet3!L21</f>
        <v>29</v>
      </c>
      <c r="I28" s="149">
        <f>Sheet3!M21</f>
        <v>100</v>
      </c>
      <c r="J28" s="150">
        <f>Sheet3!N21</f>
        <v>28</v>
      </c>
      <c r="K28" s="231">
        <f>Sheet3!O21</f>
        <v>50</v>
      </c>
      <c r="L28" s="231">
        <f>Sheet3!P21</f>
        <v>1</v>
      </c>
    </row>
    <row r="29" spans="1:17" ht="16.5" thickTop="1" thickBot="1" x14ac:dyDescent="0.3">
      <c r="A29" s="228" t="s">
        <v>607</v>
      </c>
      <c r="B29" s="245">
        <f>Sheet5!B20</f>
        <v>9.9967007588254688</v>
      </c>
      <c r="C29" s="222" t="str">
        <f>IF(B29&gt;B98,Sheet3!H80,Sheet3!H79)</f>
        <v>1 HÀNG SỨ</v>
      </c>
      <c r="J29" s="247"/>
    </row>
    <row r="30" spans="1:17" ht="16.5" thickTop="1" thickBot="1" x14ac:dyDescent="0.3">
      <c r="A30" s="231" t="s">
        <v>119</v>
      </c>
      <c r="B30" s="248">
        <f>B6/B7</f>
        <v>1026.409672225238</v>
      </c>
      <c r="E30" s="151" t="s">
        <v>4</v>
      </c>
      <c r="F30" s="144" t="s">
        <v>70</v>
      </c>
      <c r="G30" s="241" t="s">
        <v>49</v>
      </c>
      <c r="H30" s="140" t="s">
        <v>21</v>
      </c>
      <c r="I30" s="136" t="s">
        <v>73</v>
      </c>
      <c r="J30" s="152" t="s">
        <v>74</v>
      </c>
      <c r="K30" s="153" t="s">
        <v>608</v>
      </c>
      <c r="L30" s="231" t="s">
        <v>513</v>
      </c>
      <c r="M30" s="249" t="s">
        <v>514</v>
      </c>
    </row>
    <row r="31" spans="1:17" ht="16.5" thickTop="1" thickBot="1" x14ac:dyDescent="0.3">
      <c r="A31" s="151" t="s">
        <v>494</v>
      </c>
      <c r="B31" s="245">
        <f>Sheet5!B22</f>
        <v>30</v>
      </c>
      <c r="C31" s="228">
        <f>B31/2</f>
        <v>15</v>
      </c>
      <c r="E31" s="152"/>
      <c r="F31" s="250" t="str">
        <f>C108</f>
        <v>22Kv-250A</v>
      </c>
      <c r="G31" s="251" t="str">
        <f>Sheet3!I12</f>
        <v>M12</v>
      </c>
      <c r="H31" s="154">
        <f>Sheet3!J12</f>
        <v>78</v>
      </c>
      <c r="I31" s="154">
        <f>Sheet3!K12</f>
        <v>123</v>
      </c>
      <c r="J31" s="251">
        <f>Sheet3!L12</f>
        <v>270</v>
      </c>
      <c r="K31" s="252" t="str">
        <f>Sheet3!M12</f>
        <v>M10X58/M10X55</v>
      </c>
      <c r="L31" s="253">
        <f>IF(AND(B28&lt;=630,B28&gt;250),6,4)</f>
        <v>4</v>
      </c>
      <c r="M31" s="254">
        <f>IF(L31=4,I31/2*[3]!COSD(45),IF(L31=6,I31/2,"DHKG"))</f>
        <v>43.487067042972676</v>
      </c>
    </row>
    <row r="32" spans="1:17" ht="16.5" thickTop="1" thickBot="1" x14ac:dyDescent="0.3">
      <c r="A32" s="169" t="s">
        <v>493</v>
      </c>
      <c r="B32" s="245">
        <f>Sheet5!B23</f>
        <v>3</v>
      </c>
      <c r="C32" s="335"/>
    </row>
    <row r="33" spans="1:31" ht="16.5" thickTop="1" thickBot="1" x14ac:dyDescent="0.3">
      <c r="A33" s="151" t="s">
        <v>925</v>
      </c>
      <c r="B33" s="245">
        <f>Sheet5!B24</f>
        <v>152</v>
      </c>
      <c r="C33" s="228">
        <f>B33/2</f>
        <v>76</v>
      </c>
      <c r="E33" s="143" t="s">
        <v>15</v>
      </c>
      <c r="F33" s="144" t="s">
        <v>48</v>
      </c>
      <c r="G33" s="144" t="s">
        <v>208</v>
      </c>
      <c r="H33" s="144" t="s">
        <v>80</v>
      </c>
      <c r="I33" s="144" t="s">
        <v>71</v>
      </c>
      <c r="J33" s="144" t="s">
        <v>14</v>
      </c>
      <c r="K33" s="241" t="s">
        <v>62</v>
      </c>
      <c r="L33" s="241" t="s">
        <v>63</v>
      </c>
      <c r="M33" s="228" t="s">
        <v>1134</v>
      </c>
    </row>
    <row r="34" spans="1:31" ht="16.5" thickTop="1" thickBot="1" x14ac:dyDescent="0.3">
      <c r="A34" s="228" t="s">
        <v>926</v>
      </c>
      <c r="B34" s="245">
        <f>ROUNDUP(Sheet5!B25,0)</f>
        <v>186</v>
      </c>
      <c r="C34" s="228">
        <f>B34/2</f>
        <v>93</v>
      </c>
      <c r="E34" s="236"/>
      <c r="F34" s="255" t="str">
        <f>H108</f>
        <v>&lt;=200</v>
      </c>
      <c r="G34" s="148">
        <f>Sheet3!J31</f>
        <v>520</v>
      </c>
      <c r="H34" s="148">
        <f>Sheet3!K31</f>
        <v>100</v>
      </c>
      <c r="I34" s="148">
        <f>Sheet3!L31</f>
        <v>50</v>
      </c>
      <c r="J34" s="148">
        <f>Sheet3!M31</f>
        <v>6</v>
      </c>
      <c r="K34" s="148">
        <f>IF(G34=820,180,220)</f>
        <v>220</v>
      </c>
      <c r="L34" s="148">
        <f>IF(G34=820,100,120)</f>
        <v>120</v>
      </c>
      <c r="M34" s="228">
        <f>IF(G34=820,46,53)</f>
        <v>53</v>
      </c>
    </row>
    <row r="35" spans="1:31" ht="16.5" thickTop="1" thickBot="1" x14ac:dyDescent="0.3">
      <c r="A35" s="228" t="s">
        <v>4147</v>
      </c>
      <c r="B35" s="256">
        <f>IF(Sheet5!E40=0,0,Sheet2!B33+C78+C80)</f>
        <v>260.96960000000001</v>
      </c>
    </row>
    <row r="36" spans="1:31" ht="16.5" thickTop="1" thickBot="1" x14ac:dyDescent="0.3">
      <c r="A36" s="135" t="s">
        <v>252</v>
      </c>
      <c r="B36" s="245">
        <f>Sheet5!B27</f>
        <v>120</v>
      </c>
      <c r="E36" s="151" t="s">
        <v>12</v>
      </c>
      <c r="F36" s="159" t="s">
        <v>103</v>
      </c>
      <c r="G36" s="249" t="s">
        <v>104</v>
      </c>
      <c r="H36" s="231" t="s">
        <v>48</v>
      </c>
      <c r="I36" s="231" t="s">
        <v>913</v>
      </c>
      <c r="J36" s="231" t="s">
        <v>914</v>
      </c>
      <c r="K36" s="231" t="s">
        <v>915</v>
      </c>
      <c r="L36" s="231" t="s">
        <v>916</v>
      </c>
      <c r="M36" s="231" t="s">
        <v>269</v>
      </c>
    </row>
    <row r="37" spans="1:31" ht="16.5" thickTop="1" thickBot="1" x14ac:dyDescent="0.3">
      <c r="A37" s="257" t="s">
        <v>249</v>
      </c>
      <c r="B37" s="245">
        <f>IF(L10=1,ROUND(Sheet5!B28,0),IF(L10=2,Unicore!B9,"sai"))</f>
        <v>443</v>
      </c>
      <c r="C37" s="258"/>
      <c r="E37" s="231"/>
      <c r="F37" s="155" t="str">
        <f>Sheet3!J44</f>
        <v>MTN-4</v>
      </c>
      <c r="G37" s="259">
        <f>IF(AND(0&lt;=B30,B30&lt;=300),300,IF(AND(300&lt;B30,B30&lt;=500),500,IF(AND(500&lt;B30,B30&lt;=1000),1000,IF(AND(1000&lt;B30,B30&lt;=1500),1500,IF(AND(1500&lt;B30,B30&lt;=2000),2000,"NO VALID SCORE")))))</f>
        <v>1500</v>
      </c>
      <c r="H37" s="260" t="str">
        <f>Sheet3!D44</f>
        <v>1000-1800</v>
      </c>
      <c r="I37" s="260">
        <f>IF(B7=2,Sheet3!E44,0)</f>
        <v>50</v>
      </c>
      <c r="J37" s="260">
        <f>IF(B7=2,Sheet3!F44,0)</f>
        <v>120</v>
      </c>
      <c r="K37" s="260">
        <f>IF(B7=2,Sheet3!G44,0)</f>
        <v>100</v>
      </c>
      <c r="L37" s="260">
        <f>IF(B7=2,Sheet3!H44,0)</f>
        <v>20</v>
      </c>
      <c r="M37" s="231">
        <f>M38</f>
        <v>565</v>
      </c>
    </row>
    <row r="38" spans="1:31" ht="16.5" thickTop="1" thickBot="1" x14ac:dyDescent="0.3">
      <c r="B38" s="139" t="s">
        <v>259</v>
      </c>
      <c r="C38" s="135" t="s">
        <v>260</v>
      </c>
      <c r="I38" s="231">
        <f>IF(AND($B$7=4,$H$39&lt;90),Sheet3!E44,0)</f>
        <v>0</v>
      </c>
      <c r="J38" s="231">
        <f>IF(AND($B$7=4,$H$39&lt;90),Sheet3!F44,0)</f>
        <v>0</v>
      </c>
      <c r="K38" s="231">
        <f>IF(AND($B$7=4,$H$39&lt;90),Sheet3!G44,0)</f>
        <v>0</v>
      </c>
      <c r="L38" s="231">
        <f>IF(AND($B$7=4,$H$39&lt;90),Sheet3!H44,0)</f>
        <v>0</v>
      </c>
      <c r="M38" s="231">
        <f>B20/2-10-J37</f>
        <v>565</v>
      </c>
    </row>
    <row r="39" spans="1:31" ht="16.5" thickTop="1" thickBot="1" x14ac:dyDescent="0.3">
      <c r="A39" s="261" t="s">
        <v>139</v>
      </c>
      <c r="B39" s="245">
        <f>AB73</f>
        <v>120</v>
      </c>
      <c r="C39" s="245">
        <f>Sheet5!B51+Sheet5!C51</f>
        <v>52.5</v>
      </c>
      <c r="D39" s="262">
        <f>C39/2</f>
        <v>26.25</v>
      </c>
      <c r="H39" s="293">
        <f>B21/2-35-60-F93-G66-Sheet3!H44/2</f>
        <v>81.25</v>
      </c>
      <c r="I39" s="231">
        <f>IF(AND($B$7=4,$H$39&gt;=90),Sheet3!E44,0)</f>
        <v>0</v>
      </c>
      <c r="J39" s="231">
        <f>IF(AND($B$7=4,$H$39&gt;=90),Sheet3!F44,0)</f>
        <v>0</v>
      </c>
      <c r="K39" s="231">
        <f>IF(AND($B$7=4,$H$39&gt;=90),Sheet3!G44,0)</f>
        <v>0</v>
      </c>
      <c r="L39" s="231">
        <f>IF(AND($B$7=4,$H$39&gt;=90),Sheet3!H44,0)</f>
        <v>0</v>
      </c>
      <c r="M39" s="231">
        <f>IF(H60=ROUNDDOWN(B20/2-20-G25-10-G60/2,0),B20/2+I22-50-J37,B20/2-20-G25/2-J37)</f>
        <v>530</v>
      </c>
      <c r="N39" s="335">
        <f>IF(AND($B$7=4,$H$39&lt;90),Sheet3!F44,0)</f>
        <v>0</v>
      </c>
      <c r="O39" s="335">
        <f>IF(AND($B$7=4,$H$39&lt;90),Sheet3!G44,0)</f>
        <v>0</v>
      </c>
    </row>
    <row r="40" spans="1:31" ht="16.5" thickTop="1" thickBot="1" x14ac:dyDescent="0.3">
      <c r="A40" s="231" t="s">
        <v>165</v>
      </c>
      <c r="B40" s="245">
        <f t="shared" ref="B40:B46" si="0">AB74</f>
        <v>110</v>
      </c>
      <c r="C40" s="245">
        <f>Sheet5!B52+Sheet5!C52</f>
        <v>18</v>
      </c>
      <c r="D40" s="262">
        <f t="shared" ref="D40:D46" si="1">C40/2</f>
        <v>9</v>
      </c>
      <c r="E40" s="156" t="s">
        <v>6</v>
      </c>
      <c r="F40" s="136" t="s">
        <v>24</v>
      </c>
      <c r="G40" s="140" t="s">
        <v>24</v>
      </c>
      <c r="H40" s="136" t="s">
        <v>30</v>
      </c>
      <c r="I40" s="524" t="s">
        <v>31</v>
      </c>
      <c r="J40" s="248" t="s">
        <v>910</v>
      </c>
    </row>
    <row r="41" spans="1:31" ht="16.5" thickTop="1" thickBot="1" x14ac:dyDescent="0.3">
      <c r="A41" s="231" t="s">
        <v>166</v>
      </c>
      <c r="B41" s="245">
        <f t="shared" si="0"/>
        <v>100</v>
      </c>
      <c r="C41" s="245">
        <f>Sheet5!B53+Sheet5!C53</f>
        <v>17</v>
      </c>
      <c r="D41" s="262">
        <f t="shared" si="1"/>
        <v>8.5</v>
      </c>
      <c r="E41" s="140"/>
      <c r="F41" s="157">
        <v>12</v>
      </c>
      <c r="G41" s="158">
        <v>45</v>
      </c>
      <c r="H41" s="159">
        <f>I28+I28/2+J41</f>
        <v>260</v>
      </c>
      <c r="I41" s="159">
        <f>B21/2-K28</f>
        <v>204.5</v>
      </c>
      <c r="J41" s="231">
        <f>IF(OR(G28=Sheet3!D24,G28=Sheet3!D25,G28=Sheet3!D26),125,110)</f>
        <v>110</v>
      </c>
      <c r="Z41" s="335" t="s">
        <v>1141</v>
      </c>
      <c r="AC41" s="335" t="s">
        <v>1144</v>
      </c>
      <c r="AE41" s="335" t="s">
        <v>1145</v>
      </c>
    </row>
    <row r="42" spans="1:31" ht="16.5" thickTop="1" thickBot="1" x14ac:dyDescent="0.3">
      <c r="A42" s="231" t="s">
        <v>167</v>
      </c>
      <c r="B42" s="245">
        <f t="shared" si="0"/>
        <v>90</v>
      </c>
      <c r="C42" s="245">
        <f>Sheet5!B54+Sheet5!C54</f>
        <v>13</v>
      </c>
      <c r="D42" s="262">
        <f t="shared" si="1"/>
        <v>6.5</v>
      </c>
      <c r="Z42" s="335"/>
      <c r="AA42" s="335" t="s">
        <v>18</v>
      </c>
      <c r="AB42" s="335" t="s">
        <v>1146</v>
      </c>
    </row>
    <row r="43" spans="1:31" ht="16.5" thickTop="1" thickBot="1" x14ac:dyDescent="0.3">
      <c r="A43" s="231" t="s">
        <v>168</v>
      </c>
      <c r="B43" s="245">
        <f t="shared" si="0"/>
        <v>60</v>
      </c>
      <c r="C43" s="245">
        <f>Sheet5!B55+Sheet5!C55</f>
        <v>24</v>
      </c>
      <c r="D43" s="262">
        <f t="shared" si="1"/>
        <v>12</v>
      </c>
      <c r="E43" s="156" t="s">
        <v>9</v>
      </c>
      <c r="F43" s="231" t="s">
        <v>48</v>
      </c>
      <c r="G43" s="140" t="s">
        <v>885</v>
      </c>
      <c r="H43" s="136" t="s">
        <v>886</v>
      </c>
      <c r="I43" s="136" t="s">
        <v>887</v>
      </c>
      <c r="J43" s="231" t="s">
        <v>888</v>
      </c>
      <c r="K43" s="231" t="s">
        <v>889</v>
      </c>
      <c r="L43" s="334" t="s">
        <v>907</v>
      </c>
      <c r="M43" s="231" t="s">
        <v>908</v>
      </c>
      <c r="N43" s="231" t="s">
        <v>909</v>
      </c>
      <c r="O43" s="606" t="s">
        <v>1046</v>
      </c>
      <c r="P43" s="606" t="s">
        <v>1047</v>
      </c>
      <c r="Z43" s="335" t="s">
        <v>1143</v>
      </c>
      <c r="AA43" s="333">
        <f>(T76-3)*E11+20</f>
        <v>1235</v>
      </c>
      <c r="AB43" s="335">
        <f>AA43/75</f>
        <v>16.466666666666665</v>
      </c>
      <c r="AC43" s="228" t="s">
        <v>1147</v>
      </c>
    </row>
    <row r="44" spans="1:31" ht="16.5" thickTop="1" thickBot="1" x14ac:dyDescent="0.3">
      <c r="A44" s="231" t="s">
        <v>169</v>
      </c>
      <c r="B44" s="245">
        <f t="shared" si="0"/>
        <v>0</v>
      </c>
      <c r="C44" s="245">
        <f>Sheet5!B56+Sheet5!C56</f>
        <v>0</v>
      </c>
      <c r="D44" s="262">
        <f>C44/2</f>
        <v>0</v>
      </c>
      <c r="E44" s="160"/>
      <c r="F44" s="231" t="str">
        <f>I108</f>
        <v>M12</v>
      </c>
      <c r="G44" s="161">
        <f>Sheet3!G75</f>
        <v>400</v>
      </c>
      <c r="H44" s="161">
        <f>Sheet3!H75</f>
        <v>66</v>
      </c>
      <c r="I44" s="161">
        <f>Sheet3!I75</f>
        <v>4</v>
      </c>
      <c r="J44" s="231">
        <f>IF(G44=0,0,G44-10)</f>
        <v>390</v>
      </c>
      <c r="K44" s="231">
        <f>IF(H44=0,0,H44-10)</f>
        <v>56</v>
      </c>
      <c r="L44" s="231">
        <f>IF(C29="2 HÀNG SỨ",10+J28*2,0)</f>
        <v>0</v>
      </c>
      <c r="M44" s="231">
        <f>IF(C29="2 HÀNG SỨ",J28+5,0)</f>
        <v>0</v>
      </c>
      <c r="N44" s="231">
        <f>IF(C29="2 HÀNG SỨ",10,0)</f>
        <v>0</v>
      </c>
      <c r="O44" s="606">
        <f>IF(C29=Sheet3!H79,(Sheet2!H44)/2,ROUND((Sheet2!H44/4),2))</f>
        <v>33</v>
      </c>
      <c r="P44" s="606">
        <f>IF(C29=Sheet3!H79,(Sheet2!H44-10)/2,(Sheet2!H44-10)/4)</f>
        <v>28</v>
      </c>
      <c r="AA44" s="335"/>
      <c r="AB44" s="333">
        <f>IF((AB43-(AB45-1))*75/2&lt;50,AB46,AB45)</f>
        <v>16</v>
      </c>
      <c r="AC44" s="333">
        <f>IF(AC45&lt;50,AC46,AC45)</f>
        <v>54.999999999999936</v>
      </c>
    </row>
    <row r="45" spans="1:31" ht="16.5" thickTop="1" thickBot="1" x14ac:dyDescent="0.3">
      <c r="A45" s="231" t="s">
        <v>170</v>
      </c>
      <c r="B45" s="245">
        <f t="shared" si="0"/>
        <v>0</v>
      </c>
      <c r="C45" s="245">
        <f>Sheet5!B57+Sheet5!C57</f>
        <v>0</v>
      </c>
      <c r="D45" s="262">
        <f>C45/2</f>
        <v>0</v>
      </c>
      <c r="AB45" s="335">
        <f>INT(AB43)</f>
        <v>16</v>
      </c>
      <c r="AC45" s="228">
        <f>(AB43-(AB45-1))*75/2</f>
        <v>54.999999999999936</v>
      </c>
    </row>
    <row r="46" spans="1:31" ht="16.5" thickTop="1" thickBot="1" x14ac:dyDescent="0.3">
      <c r="A46" s="231" t="s">
        <v>171</v>
      </c>
      <c r="B46" s="245">
        <f t="shared" si="0"/>
        <v>0</v>
      </c>
      <c r="C46" s="245">
        <f>Sheet5!B58+Sheet5!C58</f>
        <v>0</v>
      </c>
      <c r="D46" s="262">
        <f t="shared" si="1"/>
        <v>0</v>
      </c>
      <c r="AB46" s="228">
        <f>AB45-1</f>
        <v>15</v>
      </c>
      <c r="AC46" s="335">
        <f>(AB43-(AB45-2))*75/2</f>
        <v>92.499999999999943</v>
      </c>
    </row>
    <row r="47" spans="1:31" ht="16.5" thickTop="1" thickBot="1" x14ac:dyDescent="0.3">
      <c r="A47" s="188"/>
      <c r="B47" s="188"/>
      <c r="C47" s="138"/>
      <c r="D47" s="262">
        <f>SUM(D39:D46)</f>
        <v>62.25</v>
      </c>
      <c r="E47" s="265" t="s">
        <v>10</v>
      </c>
      <c r="F47" s="241" t="s">
        <v>76</v>
      </c>
      <c r="G47" s="144" t="s">
        <v>77</v>
      </c>
      <c r="H47" s="241"/>
    </row>
    <row r="48" spans="1:31" ht="16.5" thickTop="1" thickBot="1" x14ac:dyDescent="0.3">
      <c r="A48" s="231" t="s">
        <v>287</v>
      </c>
      <c r="B48" s="245">
        <f>Sheet5!E17</f>
        <v>54.4848</v>
      </c>
      <c r="C48" s="246">
        <f>Sheet5!F17</f>
        <v>54.4848</v>
      </c>
      <c r="D48" s="264">
        <f>SUM(D39:D46)*2</f>
        <v>124.5</v>
      </c>
      <c r="E48" s="248"/>
      <c r="F48" s="251">
        <v>35</v>
      </c>
      <c r="G48" s="266">
        <f>ROUNDUP(B20/2-35,0)</f>
        <v>660</v>
      </c>
      <c r="H48" s="267"/>
      <c r="J48" s="263"/>
    </row>
    <row r="49" spans="1:29" ht="16.5" thickTop="1" thickBot="1" x14ac:dyDescent="0.3">
      <c r="A49" s="231" t="s">
        <v>289</v>
      </c>
      <c r="B49" s="245">
        <f>Sheet5!E26</f>
        <v>61.003599999999999</v>
      </c>
      <c r="C49" s="245">
        <f>Sheet5!F26</f>
        <v>58.753599999999999</v>
      </c>
      <c r="D49" s="262"/>
      <c r="Z49" s="335" t="s">
        <v>1142</v>
      </c>
      <c r="AA49" s="333">
        <f>B21+2*G16</f>
        <v>521</v>
      </c>
      <c r="AB49" s="335">
        <f>AA49/75</f>
        <v>6.9466666666666663</v>
      </c>
      <c r="AC49" s="335" t="s">
        <v>1147</v>
      </c>
    </row>
    <row r="50" spans="1:29" ht="16.5" thickTop="1" thickBot="1" x14ac:dyDescent="0.3">
      <c r="A50" s="231" t="s">
        <v>288</v>
      </c>
      <c r="B50" s="245">
        <f>Sheet5!E20</f>
        <v>15</v>
      </c>
      <c r="E50" s="135" t="s">
        <v>16</v>
      </c>
      <c r="F50" s="136" t="s">
        <v>3632</v>
      </c>
      <c r="G50" s="136" t="s">
        <v>3633</v>
      </c>
      <c r="H50" s="136" t="s">
        <v>24</v>
      </c>
      <c r="I50" s="136" t="s">
        <v>24</v>
      </c>
      <c r="J50" s="136" t="s">
        <v>25</v>
      </c>
      <c r="K50" s="136" t="s">
        <v>25</v>
      </c>
      <c r="L50" s="261" t="s">
        <v>676</v>
      </c>
      <c r="M50" s="449" t="s">
        <v>3634</v>
      </c>
      <c r="N50" s="449" t="s">
        <v>3635</v>
      </c>
      <c r="AB50" s="333">
        <f>IF((AB49-(AB51-1))*75/2&lt;50,AB52,AB51)</f>
        <v>6</v>
      </c>
      <c r="AC50" s="333">
        <f>IF(AC51&lt;50,AC52,AC51)</f>
        <v>72.999999999999986</v>
      </c>
    </row>
    <row r="51" spans="1:29" ht="16.5" thickTop="1" thickBot="1" x14ac:dyDescent="0.3">
      <c r="E51" s="136"/>
      <c r="F51" s="136">
        <f>IF(L10=2,Unicore!B105,IF(G51&gt;=40,55,0))</f>
        <v>55</v>
      </c>
      <c r="G51" s="268">
        <f>IF(L10=2,Unicore!B109,IF(G52&gt;=40,E52,H52-55))</f>
        <v>90</v>
      </c>
      <c r="H51" s="158">
        <v>12</v>
      </c>
      <c r="I51" s="158">
        <v>45</v>
      </c>
      <c r="J51" s="162">
        <v>60</v>
      </c>
      <c r="K51" s="162">
        <v>30</v>
      </c>
      <c r="L51" s="261">
        <f>IF(G22=50,10,IF(AND(J11=1,OR(Sheet2!B9&gt;=230,Sheet2!B10&gt;=230)),10,IF(AND(J11=2,OR(Sheet2!B9&gt;=160,Sheet2!B10&gt;=160,D9&gt;=160,D10&gt;=160)),10,0)))</f>
        <v>10</v>
      </c>
      <c r="M51" s="295">
        <v>55</v>
      </c>
      <c r="N51" s="295">
        <v>100</v>
      </c>
      <c r="AB51" s="335">
        <f>INT(AB49)</f>
        <v>6</v>
      </c>
      <c r="AC51" s="335">
        <f>(AB49-(AB51-1))*75/2</f>
        <v>72.999999999999986</v>
      </c>
    </row>
    <row r="52" spans="1:29" ht="16.5" thickTop="1" thickBot="1" x14ac:dyDescent="0.3">
      <c r="A52" s="228">
        <f>IF(D46=0,IF(D45=0,IF(D44=0,IF(D43=0,IF(D42=0,IF(D41=0,IF(D40=0,D39,D40),D41),D42),D43),D44),D45),D46)</f>
        <v>12</v>
      </c>
      <c r="B52" s="335">
        <f>IF(A53&gt;B62,A55,A53)</f>
        <v>50.25</v>
      </c>
      <c r="C52" s="335" t="s">
        <v>618</v>
      </c>
      <c r="E52" s="176">
        <f>B39-30</f>
        <v>90</v>
      </c>
      <c r="F52" s="269">
        <f>((B22+G16-G22-B11-L51+15)-E52)</f>
        <v>46</v>
      </c>
      <c r="G52" s="175">
        <f>IF(F52&gt;=40,F52,0)</f>
        <v>46</v>
      </c>
      <c r="H52" s="269">
        <f>B22+G16-G22-B11-L51+15</f>
        <v>136</v>
      </c>
      <c r="I52" s="229"/>
      <c r="J52" s="229"/>
      <c r="M52" s="943">
        <f>M53+N53</f>
        <v>52</v>
      </c>
      <c r="N52" s="944">
        <f>MROUND(M52,5)</f>
        <v>50</v>
      </c>
      <c r="O52" s="270" t="s">
        <v>515</v>
      </c>
      <c r="AB52" s="335">
        <f>AB51-1</f>
        <v>5</v>
      </c>
      <c r="AC52" s="335">
        <f>(AB49-(AB51-2))*75/2</f>
        <v>110.49999999999999</v>
      </c>
    </row>
    <row r="53" spans="1:29" ht="16.5" thickTop="1" thickBot="1" x14ac:dyDescent="0.3">
      <c r="A53" s="228">
        <f>IF(A52=D46,SUM(D39:D45),IF(A52=D45,SUM(D39:D44),IF(A52=D44,SUM(D39:D43),IF(A52=D43,SUM(D39:D42),IF(A52=D42,SUM(D39:D41),IF(A52=D41,SUM(D39:D40),IF(A52=D40,D39,"SAI")))))))</f>
        <v>50.25</v>
      </c>
      <c r="B53" s="228">
        <f>A53+A53-B52</f>
        <v>50.25</v>
      </c>
      <c r="E53" s="135" t="s">
        <v>11</v>
      </c>
      <c r="F53" s="241" t="s">
        <v>76</v>
      </c>
      <c r="G53" s="144" t="s">
        <v>78</v>
      </c>
      <c r="H53" s="241" t="s">
        <v>79</v>
      </c>
      <c r="M53" s="271">
        <v>50</v>
      </c>
      <c r="N53" s="272">
        <v>2</v>
      </c>
    </row>
    <row r="54" spans="1:29" ht="16.5" thickTop="1" thickBot="1" x14ac:dyDescent="0.3">
      <c r="A54" s="228">
        <f>IF(A52=D46,SUM(D39:D44),IF(A52=D45,SUM(D39:D43),IF(A52=D44,SUM(D39:D42),IF(A52=D43,SUM(D39:D41)))))</f>
        <v>43.75</v>
      </c>
      <c r="C54" s="1243" t="str">
        <f>IF(AND(Sheet3!P183&lt;=Sheet3!M183,Sheet3!P183&gt;=Sheet3!N183),"Thanh đồng OK","Thanh đồng sai")</f>
        <v>Thanh đồng sai</v>
      </c>
      <c r="E54" s="273"/>
      <c r="F54" s="274">
        <f>IF(VatTu!C70=VatTu!Q65,38,43)</f>
        <v>43</v>
      </c>
      <c r="G54" s="266">
        <f>VLOOKUP(I10,I7:U8,11,FALSE)</f>
        <v>575</v>
      </c>
      <c r="H54" s="267">
        <f>VLOOKUP(I10,I7:U8,12,FALSE)</f>
        <v>219.5</v>
      </c>
    </row>
    <row r="55" spans="1:29" ht="16.5" thickTop="1" thickBot="1" x14ac:dyDescent="0.3">
      <c r="A55" s="228">
        <f>IF(INT(B62)+0.5&lt;B62,INT(B62)+0.5,INT(B62))</f>
        <v>85</v>
      </c>
      <c r="C55" s="1243"/>
    </row>
    <row r="56" spans="1:29" ht="16.5" thickTop="1" thickBot="1" x14ac:dyDescent="0.3">
      <c r="E56" s="143" t="s">
        <v>13</v>
      </c>
      <c r="F56" s="144" t="s">
        <v>918</v>
      </c>
      <c r="G56" s="144" t="s">
        <v>919</v>
      </c>
      <c r="H56" s="276" t="s">
        <v>917</v>
      </c>
      <c r="I56" s="231" t="s">
        <v>761</v>
      </c>
      <c r="J56" s="231" t="s">
        <v>920</v>
      </c>
      <c r="K56" s="231" t="s">
        <v>921</v>
      </c>
    </row>
    <row r="57" spans="1:29" ht="16.5" thickTop="1" thickBot="1" x14ac:dyDescent="0.3">
      <c r="B57" s="135" t="s">
        <v>248</v>
      </c>
      <c r="C57" s="228">
        <f>SUM(C39:C46)</f>
        <v>124.5</v>
      </c>
      <c r="D57" s="540"/>
      <c r="E57" s="273"/>
      <c r="F57" s="274">
        <v>20.5</v>
      </c>
      <c r="G57" s="250">
        <v>-90</v>
      </c>
      <c r="H57" s="526">
        <f>IF(C29="2 HÀNG SỨ",-50,IF(AND(C29="1 HÀNG SỨ",I57=2),20,-20))</f>
        <v>-20</v>
      </c>
      <c r="I57" s="231">
        <f>IF(AND(Sheet5!B18&gt;0,Sheet5!C18&gt;0),2,1)</f>
        <v>1</v>
      </c>
      <c r="J57" s="231">
        <f>IF(I57=2,20.5,0)</f>
        <v>0</v>
      </c>
      <c r="K57" s="231">
        <f>IF(I57=2,30,0)</f>
        <v>0</v>
      </c>
    </row>
    <row r="58" spans="1:29" ht="16.5" thickTop="1" thickBot="1" x14ac:dyDescent="0.3">
      <c r="A58" s="228" t="s">
        <v>172</v>
      </c>
      <c r="B58" s="228">
        <f>B52</f>
        <v>50.25</v>
      </c>
      <c r="C58" s="228">
        <f>ROUNDUP(F93+1+G66+H25/2,0)</f>
        <v>73</v>
      </c>
    </row>
    <row r="59" spans="1:29" ht="16.5" thickTop="1" thickBot="1" x14ac:dyDescent="0.3">
      <c r="A59" s="228" t="s">
        <v>173</v>
      </c>
      <c r="B59" s="228">
        <f>B53</f>
        <v>50.25</v>
      </c>
      <c r="C59" s="228">
        <f>ROUNDUP(G93+1+G66+H25/2,0)</f>
        <v>73</v>
      </c>
      <c r="E59" s="275" t="s">
        <v>3</v>
      </c>
      <c r="F59" s="231" t="s">
        <v>48</v>
      </c>
      <c r="G59" s="241" t="s">
        <v>76</v>
      </c>
      <c r="H59" s="144" t="s">
        <v>243</v>
      </c>
      <c r="I59" s="144" t="s">
        <v>79</v>
      </c>
      <c r="J59" s="276" t="s">
        <v>195</v>
      </c>
      <c r="K59" s="231" t="s">
        <v>196</v>
      </c>
      <c r="L59" s="261" t="s">
        <v>197</v>
      </c>
      <c r="M59" s="231" t="s">
        <v>231</v>
      </c>
      <c r="N59" s="231" t="s">
        <v>373</v>
      </c>
      <c r="O59" s="231" t="s">
        <v>210</v>
      </c>
      <c r="P59" s="231" t="s">
        <v>224</v>
      </c>
      <c r="Q59" s="231" t="s">
        <v>225</v>
      </c>
      <c r="R59" s="231" t="s">
        <v>232</v>
      </c>
      <c r="S59" s="231" t="s">
        <v>233</v>
      </c>
      <c r="T59" s="231" t="s">
        <v>234</v>
      </c>
      <c r="U59" s="231" t="s">
        <v>235</v>
      </c>
      <c r="V59" s="231" t="s">
        <v>368</v>
      </c>
      <c r="W59" s="231" t="s">
        <v>370</v>
      </c>
      <c r="X59" s="231" t="s">
        <v>383</v>
      </c>
    </row>
    <row r="60" spans="1:29" ht="16.5" thickTop="1" thickBot="1" x14ac:dyDescent="0.3">
      <c r="A60" s="228" t="s">
        <v>258</v>
      </c>
      <c r="B60" s="228">
        <f>IF(B46=0,IF(B45=0,IF(B44=0,IF(B43=0,IF(B42=0,IF(B41=0,IF(B40=0,B39,B40),B41),B42),B43),B44),B45),B46)</f>
        <v>60</v>
      </c>
      <c r="C60" s="228">
        <f>ROUND(IF(C46=0,IF(C45=0,IF(C44=0,C43,C44),C45),C46),0)</f>
        <v>24</v>
      </c>
      <c r="E60" s="155" t="str">
        <f>IF(AND(H115=220,I115=500),F112,IF(AND(H115=220,I115=600),F113,IF(AND(H115=240,I115=600),F114,IF(AND(H115=240,I115=680),F115,IF(AND(H115=300,I115=700),F116,IF(AND(H115=350,I115=700),F117,IF(AND(H115=400,I115=900),F118,IF(AND(H115=450,I115=900),F119,IF(AND(H115=500,I115=1100),F120,IF(AND(H115=550,I115=1100),F120,IF(AND(H115=600,I115=1100),F122)))))))))))</f>
        <v>BD36</v>
      </c>
      <c r="F60" s="277" t="str">
        <f>IF(AND(25&lt;=B26,B26&lt;=50),J100,IF(AND(75&lt;=B26,B26&lt;=160),J101,IF(AND(180&lt;=B26,B26&lt;=320),J102,IF(B26=400,J103,IF(AND(560&lt;=B26,B26&lt;=750),J104,IF(AND(800&lt;=B26,B26&lt;=1250),J105,IF(AND(2000&lt;=B26,B26&lt;=6300),J106,"NO VALID SCORE")))))))</f>
        <v>180-250-320</v>
      </c>
      <c r="G60" s="251">
        <f>VLOOKUP(I10,I7:U8,13,FALSE)</f>
        <v>41</v>
      </c>
      <c r="H60" s="278">
        <f>VLOOKUP(I10,I7:U8,2,FALSE)</f>
        <v>660</v>
      </c>
      <c r="I60" s="278">
        <f>VLOOKUP(I10,I7:U8,3,FALSE)</f>
        <v>219.5</v>
      </c>
      <c r="J60" s="252">
        <v>90</v>
      </c>
      <c r="K60" s="231">
        <f>J115</f>
        <v>100</v>
      </c>
      <c r="L60" s="261">
        <f>VLOOKUP(I10,I6:V8,14,FALSE)</f>
        <v>0</v>
      </c>
      <c r="M60" s="231">
        <f>VLOOKUP(I10,I7:U8,6,FALSE)</f>
        <v>0</v>
      </c>
      <c r="N60" s="231">
        <f>H115</f>
        <v>400</v>
      </c>
      <c r="O60" s="231">
        <f>I115</f>
        <v>900</v>
      </c>
      <c r="P60" s="231">
        <f>VLOOKUP(I10,I7:U8,4,FALSE)</f>
        <v>0</v>
      </c>
      <c r="Q60" s="231">
        <f>VLOOKUP(I10,I7:U8,5,FALSE)</f>
        <v>0</v>
      </c>
      <c r="R60" s="231">
        <f>VLOOKUP(I10,I7:U8,7,FALSE)</f>
        <v>0</v>
      </c>
      <c r="S60" s="231">
        <f>VLOOKUP(I10,I7:U8,8,FALSE)</f>
        <v>0</v>
      </c>
      <c r="T60" s="231">
        <f>VLOOKUP(I10,I7:U8,9,FALSE)</f>
        <v>0</v>
      </c>
      <c r="U60" s="231">
        <f>VLOOKUP(I10,I7:U8,10,FALSE)</f>
        <v>480.5</v>
      </c>
      <c r="V60" s="231">
        <f>IF(B27&gt;=35,350,IF(B27&lt;35,260,"DHKG"))</f>
        <v>260</v>
      </c>
      <c r="W60" s="231">
        <f>IF(B27&gt;=35,420+H115/2,IF(B27&lt;35,310+H115/2,"DHKG"))</f>
        <v>510</v>
      </c>
      <c r="X60" s="231">
        <f>M83</f>
        <v>376</v>
      </c>
    </row>
    <row r="61" spans="1:29" ht="16.5" thickTop="1" thickBot="1" x14ac:dyDescent="0.3">
      <c r="C61" s="467">
        <f>C60/2</f>
        <v>12</v>
      </c>
    </row>
    <row r="62" spans="1:29" ht="16.5" thickTop="1" thickBot="1" x14ac:dyDescent="0.3">
      <c r="A62" s="228" t="s">
        <v>261</v>
      </c>
      <c r="B62" s="188">
        <f>C34-C33+((C33-1)^2-C31^2)^(1/2)-B32-2</f>
        <v>85.484692283495349</v>
      </c>
      <c r="C62" s="528">
        <f>B62-B58-B65</f>
        <v>23.234692283495349</v>
      </c>
      <c r="D62" s="128" t="str">
        <f>IF(C62&gt;=0,"HỢP LÝ","VÔ LÝ")</f>
        <v>HỢP LÝ</v>
      </c>
      <c r="E62" s="135" t="s">
        <v>201</v>
      </c>
      <c r="F62" s="231" t="s">
        <v>48</v>
      </c>
      <c r="G62" s="231" t="s">
        <v>206</v>
      </c>
      <c r="H62" s="231" t="s">
        <v>203</v>
      </c>
    </row>
    <row r="63" spans="1:29" ht="16.5" thickTop="1" thickBot="1" x14ac:dyDescent="0.3">
      <c r="A63" s="228" t="s">
        <v>262</v>
      </c>
      <c r="B63" s="228">
        <f>C34-C33+((C33-1)^2-(B60/2)^2)^(1/2)</f>
        <v>85.738635424337602</v>
      </c>
      <c r="C63" s="528">
        <f>B63-B59-B66</f>
        <v>23.488635424337602</v>
      </c>
      <c r="D63" s="128" t="str">
        <f>IF(B63&lt;=B59+B66,"VÔ LÝ","HỢP LÝ")</f>
        <v>HỢP LÝ</v>
      </c>
      <c r="E63" s="231"/>
      <c r="F63" s="231" t="s">
        <v>204</v>
      </c>
      <c r="G63" s="231">
        <f>Sheet3!F110</f>
        <v>30</v>
      </c>
      <c r="H63" s="231">
        <f>Sheet3!G110</f>
        <v>32</v>
      </c>
    </row>
    <row r="64" spans="1:29" ht="16.5" thickTop="1" thickBot="1" x14ac:dyDescent="0.3">
      <c r="A64" s="228" t="s">
        <v>806</v>
      </c>
      <c r="C64" s="484">
        <f>A200</f>
        <v>0</v>
      </c>
    </row>
    <row r="65" spans="1:38" ht="31.5" thickTop="1" thickBot="1" x14ac:dyDescent="0.3">
      <c r="A65" s="228" t="s">
        <v>263</v>
      </c>
      <c r="B65" s="228">
        <f>C66</f>
        <v>12</v>
      </c>
      <c r="C65" s="467">
        <f>IF(AND(C61+B58&lt;B62,C61&gt;1.5),C61,IF(AND(C61-10+B58&lt;B62,C61-10&gt;1.5),C61-10,IF(AND(C61-9+B58&lt;B62,C61-9&gt;1.5),C61-9,IF(AND(C61-8+B58&lt;B62,C61-8&gt;1.5),C61-8,IF(AND(C61-7+B58&lt;B62,C61-7&gt;1.5),C61-7,IF(AND(C61-6+B58&lt;B62,C61-6&gt;1.5),C61-6,IF(AND(C61-5+B58&lt;B62,C61-5&gt;1.5),C61-5,IF(AND(C61-4+B58&lt;B62,C61-4&gt;1.5),C61-4,IF(AND(C61-3+B58&lt;B62,C61-3&gt;1.5),C61-3,IF(AND(C61-2+B58&lt;B62,C61-2&gt;1.5),C61-2,IF(AND(C61-1+B58&lt;B62,C61-1&gt;1.5),C61-1,0)))))))))))</f>
        <v>12</v>
      </c>
      <c r="E65" s="135" t="s">
        <v>250</v>
      </c>
      <c r="F65" s="231" t="s">
        <v>286</v>
      </c>
      <c r="G65" s="231" t="s">
        <v>284</v>
      </c>
      <c r="H65" s="231" t="s">
        <v>285</v>
      </c>
      <c r="I65" s="470" t="s">
        <v>490</v>
      </c>
      <c r="J65" s="471" t="s">
        <v>537</v>
      </c>
      <c r="K65" s="470" t="s">
        <v>293</v>
      </c>
      <c r="L65" s="231" t="s">
        <v>488</v>
      </c>
      <c r="M65" s="231" t="s">
        <v>489</v>
      </c>
    </row>
    <row r="66" spans="1:38" ht="16.5" thickTop="1" thickBot="1" x14ac:dyDescent="0.3">
      <c r="A66" s="228" t="s">
        <v>264</v>
      </c>
      <c r="B66" s="228">
        <f>C60-B65</f>
        <v>12</v>
      </c>
      <c r="C66" s="228">
        <f>IF(AND(A55-B58&gt;1.5,A55-B58&lt;=C61),A55-B58,C65)</f>
        <v>12</v>
      </c>
      <c r="F66" s="231">
        <f>ROUNDUP((H93-L66+2)/2,0)</f>
        <v>46</v>
      </c>
      <c r="G66" s="231">
        <f>IF(B26&lt;560,6,8)</f>
        <v>6</v>
      </c>
      <c r="H66" s="231">
        <v>4</v>
      </c>
      <c r="I66" s="472">
        <f>IF(B26&lt;=400,45,50)</f>
        <v>45</v>
      </c>
      <c r="J66" s="470">
        <f>(N87-B46)/2+20</f>
        <v>75</v>
      </c>
      <c r="K66" s="470">
        <v>30</v>
      </c>
      <c r="L66" s="231">
        <f>IF(B26&lt;1000,35,45)</f>
        <v>35</v>
      </c>
      <c r="M66" s="279">
        <f>(B20-10)/2-(2*B37-B39)/2</f>
        <v>307</v>
      </c>
      <c r="Z66" s="1244" t="s">
        <v>342</v>
      </c>
      <c r="AA66" s="1245"/>
      <c r="AB66" s="1245"/>
      <c r="AC66" s="1245"/>
      <c r="AD66" s="1245"/>
      <c r="AE66" s="1245"/>
      <c r="AF66" s="1245"/>
      <c r="AG66" s="1246"/>
    </row>
    <row r="67" spans="1:38" ht="16.5" thickTop="1" thickBot="1" x14ac:dyDescent="0.3">
      <c r="Z67" s="536">
        <f>B31</f>
        <v>30</v>
      </c>
      <c r="AA67" s="283"/>
      <c r="AB67" s="283"/>
      <c r="AC67" s="283"/>
      <c r="AD67" s="283"/>
      <c r="AE67" s="283"/>
      <c r="AF67" s="283"/>
      <c r="AG67" s="284"/>
    </row>
    <row r="68" spans="1:38" ht="16.5" customHeight="1" thickTop="1" thickBot="1" x14ac:dyDescent="0.3">
      <c r="A68" s="280" t="s">
        <v>334</v>
      </c>
      <c r="B68" s="281"/>
      <c r="C68" s="1249" t="str">
        <f>IF(OR(A69&gt;B69,A70&gt;B70),"SAI","OK")</f>
        <v>SAI</v>
      </c>
      <c r="D68" s="1188"/>
      <c r="E68" s="237" t="s">
        <v>283</v>
      </c>
      <c r="F68" s="231">
        <f>B20/2+G22+25-H60</f>
        <v>120</v>
      </c>
      <c r="G68" s="231">
        <f>F69-F68-175/2</f>
        <v>-47.5</v>
      </c>
      <c r="H68" s="231">
        <f>G68+G69+175</f>
        <v>282.5</v>
      </c>
      <c r="J68" s="282"/>
      <c r="K68" s="283"/>
      <c r="L68" s="283">
        <f>C58-H25/2</f>
        <v>70</v>
      </c>
      <c r="M68" s="283"/>
      <c r="N68" s="283"/>
      <c r="O68" s="284"/>
      <c r="Q68" s="602"/>
      <c r="R68" s="600" t="s">
        <v>482</v>
      </c>
      <c r="S68" s="285">
        <v>2</v>
      </c>
      <c r="T68" s="286">
        <v>1</v>
      </c>
      <c r="U68" s="286"/>
      <c r="V68" s="286"/>
      <c r="W68" s="286"/>
      <c r="X68" s="287"/>
      <c r="Z68" s="481">
        <f>B32</f>
        <v>3</v>
      </c>
      <c r="AA68" s="188"/>
      <c r="AB68" s="188"/>
      <c r="AC68" s="188"/>
      <c r="AD68" s="188" t="s">
        <v>340</v>
      </c>
      <c r="AE68" s="542">
        <f>B74</f>
        <v>390</v>
      </c>
      <c r="AF68" s="188"/>
      <c r="AG68" s="290"/>
    </row>
    <row r="69" spans="1:38" ht="16.5" customHeight="1" thickTop="1" thickBot="1" x14ac:dyDescent="0.3">
      <c r="A69" s="288">
        <f>Sheet5!E18</f>
        <v>2</v>
      </c>
      <c r="B69" s="288">
        <f>(Sheet5!F18+Sheet5!F19)/2</f>
        <v>2</v>
      </c>
      <c r="C69" s="1250"/>
      <c r="D69" s="1189" t="str">
        <f>A69&amp;B69</f>
        <v>22</v>
      </c>
      <c r="E69" s="249" t="s">
        <v>369</v>
      </c>
      <c r="F69" s="231">
        <f>J31+350-H60+N60/2</f>
        <v>160</v>
      </c>
      <c r="G69" s="231">
        <f>30+K60+G22-I22</f>
        <v>155</v>
      </c>
      <c r="H69" s="231"/>
      <c r="J69" s="289"/>
      <c r="K69" s="188"/>
      <c r="L69" s="188">
        <f>G60/2+I60+5</f>
        <v>245</v>
      </c>
      <c r="M69" s="188"/>
      <c r="N69" s="188"/>
      <c r="O69" s="290"/>
      <c r="Q69" s="602"/>
      <c r="R69" s="601" t="s">
        <v>212</v>
      </c>
      <c r="S69" s="188" t="s">
        <v>464</v>
      </c>
      <c r="T69" s="188" t="s">
        <v>465</v>
      </c>
      <c r="U69" s="188"/>
      <c r="V69" s="188"/>
      <c r="W69" s="188"/>
      <c r="X69" s="290"/>
      <c r="Z69" s="481">
        <f>B33</f>
        <v>152</v>
      </c>
      <c r="AA69" s="188">
        <f>C33</f>
        <v>76</v>
      </c>
      <c r="AB69" s="188"/>
      <c r="AC69" s="188"/>
      <c r="AD69" s="188" t="s">
        <v>249</v>
      </c>
      <c r="AE69" s="480">
        <f>B37</f>
        <v>443</v>
      </c>
      <c r="AF69" s="188"/>
      <c r="AG69" s="290"/>
    </row>
    <row r="70" spans="1:38" ht="16.5" customHeight="1" thickTop="1" thickBot="1" x14ac:dyDescent="0.3">
      <c r="A70" s="291">
        <f>Sheet5!E27</f>
        <v>3</v>
      </c>
      <c r="B70" s="291">
        <f>(Sheet5!F27+Sheet5!F28)/2</f>
        <v>2.5</v>
      </c>
      <c r="C70" s="1251"/>
      <c r="D70" s="1189" t="str">
        <f>A70&amp;B70</f>
        <v>32.5</v>
      </c>
      <c r="J70" s="289"/>
      <c r="K70" s="188"/>
      <c r="L70" s="188">
        <f>B20/2-20-G25-10-G60/2</f>
        <v>594.5</v>
      </c>
      <c r="M70" s="188">
        <f>ROUNDDOWN(B20/2-125/2,0)-5</f>
        <v>627</v>
      </c>
      <c r="N70" s="188"/>
      <c r="O70" s="290"/>
      <c r="Q70" s="602"/>
      <c r="R70" s="602" t="s">
        <v>149</v>
      </c>
      <c r="S70" s="188">
        <f>IF(B9=0,B20,ROUNDUP(B20+L22+2*G16+1.2-7,0))</f>
        <v>1401</v>
      </c>
      <c r="T70" s="188">
        <f>IF(B9=0,0,ROUNDUP(B21+L22+2*G16+1.2-7,0))</f>
        <v>520</v>
      </c>
      <c r="U70" s="188"/>
      <c r="V70" s="188"/>
      <c r="W70" s="188">
        <f>INT(S70/D11)</f>
        <v>31</v>
      </c>
      <c r="X70" s="290">
        <f>INT(T70/E11)</f>
        <v>11</v>
      </c>
      <c r="Z70" s="481">
        <f>B34</f>
        <v>186</v>
      </c>
      <c r="AA70" s="188">
        <f>C34</f>
        <v>93</v>
      </c>
      <c r="AB70" s="188">
        <f>AA70-AA69</f>
        <v>17</v>
      </c>
      <c r="AC70" s="188"/>
      <c r="AD70" s="188"/>
      <c r="AE70" s="188"/>
      <c r="AF70" s="188"/>
      <c r="AG70" s="290"/>
    </row>
    <row r="71" spans="1:38" ht="31.5" thickTop="1" thickBot="1" x14ac:dyDescent="0.3">
      <c r="A71" s="592" t="s">
        <v>492</v>
      </c>
      <c r="B71" s="592" t="s">
        <v>491</v>
      </c>
      <c r="C71" s="138"/>
      <c r="E71" s="135" t="s">
        <v>486</v>
      </c>
      <c r="F71" s="231" t="s">
        <v>82</v>
      </c>
      <c r="G71" s="231" t="s">
        <v>81</v>
      </c>
      <c r="J71" s="289"/>
      <c r="K71" s="294" t="s">
        <v>387</v>
      </c>
      <c r="L71" s="188">
        <f>IF(C58-H25/2&lt;G60/2+I60+5,ROUNDDOWN(B20/2-20-G25-10-G60/2,0),ROUNDDOWN(B20/2-125/2,0)-5)</f>
        <v>594</v>
      </c>
      <c r="M71" s="188"/>
      <c r="N71" s="188"/>
      <c r="O71" s="290"/>
      <c r="Q71" s="602"/>
      <c r="R71" s="602" t="s">
        <v>466</v>
      </c>
      <c r="S71" s="188">
        <f>IF(V72&gt;=30,W70,W70-1)</f>
        <v>30</v>
      </c>
      <c r="T71" s="188">
        <f>IF(W72&gt;=30,X70,X70-1)</f>
        <v>11</v>
      </c>
      <c r="U71" s="188"/>
      <c r="V71" s="188">
        <f>(W70-1)*D11</f>
        <v>1350</v>
      </c>
      <c r="W71" s="188">
        <f>(X70-1)*E11</f>
        <v>450</v>
      </c>
      <c r="X71" s="290"/>
      <c r="Z71" s="289"/>
      <c r="AA71" s="188"/>
      <c r="AB71" s="188"/>
      <c r="AC71" s="188"/>
      <c r="AD71" s="188"/>
      <c r="AE71" s="188"/>
      <c r="AF71" s="188"/>
      <c r="AG71" s="290"/>
    </row>
    <row r="72" spans="1:38" ht="16.5" thickTop="1" thickBot="1" x14ac:dyDescent="0.3">
      <c r="A72" s="151" t="s">
        <v>341</v>
      </c>
      <c r="B72" s="245">
        <f>Sheet5!E28</f>
        <v>4.5</v>
      </c>
      <c r="E72" s="231"/>
      <c r="F72" s="231">
        <f>IF(B26&lt;=450,50,80)</f>
        <v>50</v>
      </c>
      <c r="G72" s="231">
        <v>3</v>
      </c>
      <c r="H72" s="262"/>
      <c r="I72" s="262"/>
      <c r="J72" s="289"/>
      <c r="K72" s="188"/>
      <c r="L72" s="188" t="s">
        <v>463</v>
      </c>
      <c r="M72" s="188"/>
      <c r="N72" s="188"/>
      <c r="O72" s="290"/>
      <c r="Q72" s="602"/>
      <c r="R72" s="254" t="s">
        <v>467</v>
      </c>
      <c r="S72" s="190">
        <f>(S70-(S71-1)*D11)/2</f>
        <v>48</v>
      </c>
      <c r="T72" s="190">
        <f>(T70-(T71-1)*E11)/2</f>
        <v>35</v>
      </c>
      <c r="U72" s="190"/>
      <c r="V72" s="190">
        <f>(S70-V71)/2</f>
        <v>25.5</v>
      </c>
      <c r="W72" s="190">
        <f>(T70-W71)/2</f>
        <v>35</v>
      </c>
      <c r="X72" s="296"/>
      <c r="Z72" s="289"/>
      <c r="AA72" s="188"/>
      <c r="AB72" s="188" t="s">
        <v>927</v>
      </c>
      <c r="AC72" s="188"/>
      <c r="AD72" s="188"/>
      <c r="AE72" s="188" t="s">
        <v>928</v>
      </c>
      <c r="AF72" s="188" t="s">
        <v>929</v>
      </c>
      <c r="AG72" s="290"/>
    </row>
    <row r="73" spans="1:38" ht="31.5" thickTop="1" thickBot="1" x14ac:dyDescent="0.3">
      <c r="A73" s="188"/>
      <c r="B73" s="188"/>
      <c r="C73" s="228" t="s">
        <v>1048</v>
      </c>
      <c r="H73" s="262"/>
      <c r="I73" s="262"/>
      <c r="J73" s="297" t="s">
        <v>375</v>
      </c>
      <c r="K73" s="188">
        <f>J31+V60+N60/2-L71</f>
        <v>136</v>
      </c>
      <c r="L73" s="188" t="s">
        <v>371</v>
      </c>
      <c r="M73" s="188">
        <f>G44/2</f>
        <v>200</v>
      </c>
      <c r="N73" s="188"/>
      <c r="O73" s="290"/>
      <c r="Z73" s="289"/>
      <c r="AA73" s="188">
        <v>1</v>
      </c>
      <c r="AB73" s="480">
        <f>Sheet5!D51</f>
        <v>120</v>
      </c>
      <c r="AC73" s="480"/>
      <c r="AD73" s="480"/>
      <c r="AE73" s="480">
        <f>Sheet5!B51</f>
        <v>26.25</v>
      </c>
      <c r="AF73" s="480">
        <f>Sheet5!C51</f>
        <v>26.25</v>
      </c>
      <c r="AG73" s="537"/>
      <c r="AK73" s="480"/>
      <c r="AL73" s="480"/>
    </row>
    <row r="74" spans="1:38" ht="16.5" thickTop="1" thickBot="1" x14ac:dyDescent="0.3">
      <c r="A74" s="135" t="s">
        <v>340</v>
      </c>
      <c r="B74" s="137">
        <f>ROUND(Sheet5!C28,0)</f>
        <v>390</v>
      </c>
      <c r="C74" s="619" t="e">
        <f>C80+C84+B50</f>
        <v>#N/A</v>
      </c>
      <c r="E74" s="135" t="s">
        <v>487</v>
      </c>
      <c r="F74" s="231" t="s">
        <v>82</v>
      </c>
      <c r="G74" s="231" t="s">
        <v>81</v>
      </c>
      <c r="H74" s="262"/>
      <c r="I74" s="262"/>
      <c r="J74" s="289" t="s">
        <v>382</v>
      </c>
      <c r="K74" s="188">
        <f>IF(K73&gt;=300,K73,300)</f>
        <v>300</v>
      </c>
      <c r="L74" s="188"/>
      <c r="M74" s="188"/>
      <c r="N74" s="188"/>
      <c r="O74" s="290"/>
      <c r="R74" s="163" t="s">
        <v>482</v>
      </c>
      <c r="S74" s="298" t="s">
        <v>149</v>
      </c>
      <c r="T74" s="231">
        <f>INT(Sheet2!B21+Sheet2!G16*2+Sheet2!B4*2+2*Sheet2!T78+1+L22)-14</f>
        <v>1274</v>
      </c>
      <c r="U74" s="299">
        <f>(T74-(INT(T74/E11)-1)*E11)/2</f>
        <v>29.5</v>
      </c>
      <c r="Z74" s="289"/>
      <c r="AA74" s="188">
        <v>2</v>
      </c>
      <c r="AB74" s="480">
        <f>Sheet5!D52</f>
        <v>110</v>
      </c>
      <c r="AC74" s="188"/>
      <c r="AD74" s="188"/>
      <c r="AE74" s="480">
        <f>Sheet5!B52</f>
        <v>9</v>
      </c>
      <c r="AF74" s="480">
        <f>Sheet5!C52</f>
        <v>9</v>
      </c>
      <c r="AG74" s="537"/>
      <c r="AH74" s="447"/>
      <c r="AK74" s="480"/>
      <c r="AL74" s="188"/>
    </row>
    <row r="75" spans="1:38" ht="16.5" thickTop="1" thickBot="1" x14ac:dyDescent="0.3">
      <c r="E75" s="231"/>
      <c r="F75" s="231">
        <f>IF(B26&lt;=450,30,50)</f>
        <v>30</v>
      </c>
      <c r="G75" s="231">
        <f>IF(B26&lt;=450,3,5)</f>
        <v>3</v>
      </c>
      <c r="H75" s="262"/>
      <c r="I75" s="262"/>
      <c r="J75" s="289"/>
      <c r="K75" s="188"/>
      <c r="L75" s="188"/>
      <c r="M75" s="188"/>
      <c r="N75" s="188"/>
      <c r="O75" s="290"/>
      <c r="R75" s="164" t="s">
        <v>213</v>
      </c>
      <c r="S75" s="254" t="s">
        <v>214</v>
      </c>
      <c r="T75" s="248">
        <f>IF(U74&gt;=30,INT(T74/E11),INT(T74/E11-1))</f>
        <v>27</v>
      </c>
      <c r="Z75" s="289"/>
      <c r="AA75" s="188">
        <v>3</v>
      </c>
      <c r="AB75" s="480">
        <f>Sheet5!D53</f>
        <v>100</v>
      </c>
      <c r="AC75" s="188"/>
      <c r="AD75" s="188"/>
      <c r="AE75" s="480">
        <f>Sheet5!B53</f>
        <v>8.5</v>
      </c>
      <c r="AF75" s="480">
        <f>Sheet5!C53</f>
        <v>8.5</v>
      </c>
      <c r="AG75" s="537"/>
      <c r="AH75" s="292"/>
      <c r="AK75" s="480"/>
      <c r="AL75" s="188"/>
    </row>
    <row r="76" spans="1:38" ht="31.5" thickTop="1" thickBot="1" x14ac:dyDescent="0.3">
      <c r="A76" s="135" t="s">
        <v>335</v>
      </c>
      <c r="B76" s="231"/>
      <c r="C76" s="293" t="s">
        <v>516</v>
      </c>
      <c r="H76" s="262"/>
      <c r="I76" s="262"/>
      <c r="J76" s="297" t="s">
        <v>372</v>
      </c>
      <c r="K76" s="188">
        <f>300-K73</f>
        <v>164</v>
      </c>
      <c r="L76" s="294" t="s">
        <v>378</v>
      </c>
      <c r="M76" s="188">
        <f>IF(K73&lt;K74,L71-K76,L71)</f>
        <v>430</v>
      </c>
      <c r="N76" s="188"/>
      <c r="O76" s="290"/>
      <c r="S76" s="231" t="s">
        <v>215</v>
      </c>
      <c r="T76" s="231">
        <f>IF(((B20+L22+2*G16-(INT((B20+L22+G16*2)/D11)-3)*D11-(2*D11-10))/2)&lt;=35,INT((B20+L22+G16*2)/D11)-1,INT((B20+L22+G16*2)/D11))</f>
        <v>30</v>
      </c>
      <c r="U76" s="165"/>
      <c r="Z76" s="289"/>
      <c r="AA76" s="188">
        <v>4</v>
      </c>
      <c r="AB76" s="480">
        <f>Sheet5!D54</f>
        <v>90</v>
      </c>
      <c r="AC76" s="188"/>
      <c r="AD76" s="188"/>
      <c r="AE76" s="480">
        <f>Sheet5!B54</f>
        <v>6.5</v>
      </c>
      <c r="AF76" s="480">
        <f>Sheet5!C54</f>
        <v>6.5</v>
      </c>
      <c r="AG76" s="537"/>
      <c r="AH76" s="292"/>
      <c r="AK76" s="480"/>
      <c r="AL76" s="188"/>
    </row>
    <row r="77" spans="1:38" ht="16.5" thickTop="1" thickBot="1" x14ac:dyDescent="0.3">
      <c r="A77" s="231" t="s">
        <v>363</v>
      </c>
      <c r="B77" s="231">
        <f>ROUND(B69,0)*B72</f>
        <v>9</v>
      </c>
      <c r="C77" s="300">
        <f>VLOOKUP($D$69,$K$194:$O$202,L184,FALSE)</f>
        <v>54.4848</v>
      </c>
      <c r="E77" s="135" t="s">
        <v>1028</v>
      </c>
      <c r="F77" s="261">
        <f>IF(AND(F13=50,L51=0),20,IF(AND(F13=50,L51=10),30,IF(AND(F13=60,L51=0),30,IF(AND(F13=60,L51=10),40,"Sai"))))</f>
        <v>40</v>
      </c>
      <c r="G77" s="231">
        <f>IF(F13=50,48,IF(F13=60,58,"SAI"))</f>
        <v>58</v>
      </c>
      <c r="H77" s="262"/>
      <c r="I77" s="262"/>
      <c r="J77" s="289"/>
      <c r="K77" s="188"/>
      <c r="L77" s="188"/>
      <c r="M77" s="188"/>
      <c r="N77" s="188"/>
      <c r="O77" s="290"/>
      <c r="S77" s="231" t="s">
        <v>217</v>
      </c>
      <c r="T77" s="301">
        <f>Sheet5!E4</f>
        <v>380</v>
      </c>
      <c r="Z77" s="289"/>
      <c r="AA77" s="188">
        <v>5</v>
      </c>
      <c r="AB77" s="480">
        <f>Sheet5!D55</f>
        <v>60</v>
      </c>
      <c r="AC77" s="188"/>
      <c r="AD77" s="188"/>
      <c r="AE77" s="480">
        <f>Sheet5!B55</f>
        <v>12</v>
      </c>
      <c r="AF77" s="480">
        <f>Sheet5!C55</f>
        <v>12</v>
      </c>
      <c r="AG77" s="537"/>
      <c r="AH77" s="292"/>
      <c r="AK77" s="480"/>
      <c r="AL77" s="188"/>
    </row>
    <row r="78" spans="1:38" ht="16.5" thickTop="1" thickBot="1" x14ac:dyDescent="0.3">
      <c r="A78" s="231" t="s">
        <v>336</v>
      </c>
      <c r="B78" s="231">
        <f>ROUND(A69,0)*B72</f>
        <v>9</v>
      </c>
      <c r="C78" s="300">
        <f>VLOOKUP($D$69,$K$194:$O$202,L185,FALSE)</f>
        <v>54.4848</v>
      </c>
      <c r="F78" s="228" t="s">
        <v>1029</v>
      </c>
      <c r="G78" s="228" t="s">
        <v>1030</v>
      </c>
      <c r="H78" s="262"/>
      <c r="I78" s="262"/>
      <c r="J78" s="289" t="s">
        <v>376</v>
      </c>
      <c r="K78" s="188">
        <f>G22+B20/2+20+5</f>
        <v>780</v>
      </c>
      <c r="L78" s="188" t="s">
        <v>377</v>
      </c>
      <c r="M78" s="188">
        <f>M76-125/2-M73</f>
        <v>167.5</v>
      </c>
      <c r="N78" s="188" t="s">
        <v>379</v>
      </c>
      <c r="O78" s="290">
        <f>IF(AND(M78&lt;10,M78&gt;=0),M76+10-M78,IF(M78&lt;0,M76-M78+10,M76))</f>
        <v>430</v>
      </c>
      <c r="S78" s="231" t="s">
        <v>216</v>
      </c>
      <c r="T78" s="301">
        <f>Sheet5!E5</f>
        <v>380</v>
      </c>
      <c r="Z78" s="289"/>
      <c r="AA78" s="188">
        <v>6</v>
      </c>
      <c r="AB78" s="480">
        <f>Sheet5!D56</f>
        <v>0</v>
      </c>
      <c r="AC78" s="188"/>
      <c r="AD78" s="188"/>
      <c r="AE78" s="480">
        <f>Sheet5!B56</f>
        <v>0</v>
      </c>
      <c r="AF78" s="480">
        <f>Sheet5!C56</f>
        <v>0</v>
      </c>
      <c r="AG78" s="541"/>
      <c r="AH78" s="292"/>
      <c r="AK78" s="480"/>
      <c r="AL78" s="188"/>
    </row>
    <row r="79" spans="1:38" ht="31.5" thickTop="1" thickBot="1" x14ac:dyDescent="0.3">
      <c r="A79" s="231" t="s">
        <v>364</v>
      </c>
      <c r="B79" s="231">
        <f>ROUNDDOWN(B69,0)*B72</f>
        <v>9</v>
      </c>
      <c r="C79" s="300">
        <f>VLOOKUP($D$69,$K$194:$O$202,L186,FALSE)</f>
        <v>54.4848</v>
      </c>
      <c r="E79" s="151" t="s">
        <v>1037</v>
      </c>
      <c r="F79" s="159">
        <f>IF(B26&gt;=3000,5,0)</f>
        <v>0</v>
      </c>
      <c r="G79" s="159">
        <f>IF(B26&gt;=3000,50,0)</f>
        <v>0</v>
      </c>
      <c r="H79" s="262"/>
      <c r="I79" s="262"/>
      <c r="J79" s="289"/>
      <c r="K79" s="188"/>
      <c r="L79" s="294" t="s">
        <v>374</v>
      </c>
      <c r="M79" s="188">
        <f>O78+K74-3/8*N60-K78</f>
        <v>-200</v>
      </c>
      <c r="N79" s="188"/>
      <c r="O79" s="290"/>
      <c r="S79" s="231" t="s">
        <v>480</v>
      </c>
      <c r="T79" s="335">
        <f>U79-5</f>
        <v>50.5</v>
      </c>
      <c r="U79" s="231">
        <f>IF(((B20+L22+2*G16-(INT((B20+L22+G16*2)/D11)-3)*D11-(2*D11-10))/2)&lt;=35,(B20+L22+2*G16-(INT((B20+L22+G16*2)/D11)-4)*D11-(2*D11-10))/2,(B20+L22+2*G16-(INT((B20+L22+G16*2)/D11)-3)*D11-(2*D11-10))/2)</f>
        <v>55.5</v>
      </c>
      <c r="V79" s="228">
        <f>U79-5</f>
        <v>50.5</v>
      </c>
      <c r="Z79" s="289"/>
      <c r="AA79" s="188">
        <v>7</v>
      </c>
      <c r="AB79" s="480">
        <f>Sheet5!D57</f>
        <v>0</v>
      </c>
      <c r="AC79" s="188"/>
      <c r="AD79" s="188"/>
      <c r="AE79" s="480">
        <f>Sheet5!B57</f>
        <v>0</v>
      </c>
      <c r="AF79" s="480">
        <f>Sheet5!C57</f>
        <v>0</v>
      </c>
      <c r="AG79" s="537"/>
      <c r="AH79" s="292"/>
      <c r="AK79" s="480"/>
      <c r="AL79" s="188"/>
    </row>
    <row r="80" spans="1:38" ht="16.5" thickTop="1" thickBot="1" x14ac:dyDescent="0.3">
      <c r="A80" s="231" t="s">
        <v>337</v>
      </c>
      <c r="B80" s="231">
        <f>ROUNDDOWN(A69,0)*B72</f>
        <v>9</v>
      </c>
      <c r="C80" s="300">
        <f>VLOOKUP($D$69,$K$194:$O$202,L187,FALSE)</f>
        <v>54.4848</v>
      </c>
      <c r="J80" s="289"/>
      <c r="K80" s="188"/>
      <c r="L80" s="188"/>
      <c r="M80" s="188"/>
      <c r="N80" s="188"/>
      <c r="O80" s="290"/>
      <c r="S80" s="231" t="s">
        <v>481</v>
      </c>
      <c r="T80" s="231">
        <f>(T74-(T75-1)*E11)/2</f>
        <v>52</v>
      </c>
      <c r="Z80" s="289"/>
      <c r="AA80" s="188">
        <v>8</v>
      </c>
      <c r="AB80" s="480">
        <f>Sheet5!D58</f>
        <v>0</v>
      </c>
      <c r="AC80" s="188"/>
      <c r="AD80" s="188"/>
      <c r="AE80" s="480">
        <f>Sheet5!B58</f>
        <v>0</v>
      </c>
      <c r="AF80" s="480">
        <f>Sheet5!C58</f>
        <v>0</v>
      </c>
      <c r="AG80" s="537"/>
      <c r="AH80" s="295"/>
      <c r="AK80" s="480"/>
      <c r="AL80" s="188"/>
    </row>
    <row r="81" spans="1:38" ht="16.5" thickTop="1" thickBot="1" x14ac:dyDescent="0.3">
      <c r="A81" s="231" t="s">
        <v>366</v>
      </c>
      <c r="B81" s="260">
        <f>ROUNDDOWN(B70,0)*B72</f>
        <v>9</v>
      </c>
      <c r="C81" s="300" t="e">
        <f>VLOOKUP($D$70,$K$205:$O$213,L184,FALSE)</f>
        <v>#N/A</v>
      </c>
      <c r="D81" s="247"/>
      <c r="E81" s="247"/>
      <c r="F81" s="529"/>
      <c r="G81" s="529" t="s">
        <v>388</v>
      </c>
      <c r="H81" s="530" t="s">
        <v>518</v>
      </c>
      <c r="J81" s="289"/>
      <c r="K81" s="188"/>
      <c r="L81" s="188"/>
      <c r="M81" s="188"/>
      <c r="N81" s="188"/>
      <c r="O81" s="290"/>
      <c r="S81" s="231" t="s">
        <v>218</v>
      </c>
      <c r="T81" s="159">
        <f>T75*2+2*T76</f>
        <v>114</v>
      </c>
      <c r="X81" s="302"/>
      <c r="Z81" s="289"/>
      <c r="AA81" s="188">
        <v>9</v>
      </c>
      <c r="AB81" s="480">
        <f>Sheet5!D59</f>
        <v>0</v>
      </c>
      <c r="AC81" s="188"/>
      <c r="AD81" s="188"/>
      <c r="AE81" s="480">
        <f>Sheet5!B59</f>
        <v>0</v>
      </c>
      <c r="AF81" s="480">
        <f>Sheet5!C59</f>
        <v>0</v>
      </c>
      <c r="AG81" s="290"/>
    </row>
    <row r="82" spans="1:38" ht="16.5" thickTop="1" thickBot="1" x14ac:dyDescent="0.3">
      <c r="A82" s="231" t="s">
        <v>338</v>
      </c>
      <c r="B82" s="260">
        <f>ROUNDDOWN(A70,0)*B72</f>
        <v>13.5</v>
      </c>
      <c r="C82" s="300" t="e">
        <f>VLOOKUP($D$70,$K$205:$O$213,L185,FALSE)</f>
        <v>#N/A</v>
      </c>
      <c r="D82" s="531" t="s">
        <v>342</v>
      </c>
      <c r="E82" s="532"/>
      <c r="F82" s="532" t="s">
        <v>931</v>
      </c>
      <c r="G82" s="533" t="s">
        <v>4</v>
      </c>
      <c r="H82" s="532" t="s">
        <v>8</v>
      </c>
      <c r="J82" s="289"/>
      <c r="K82" s="188"/>
      <c r="L82" s="135" t="s">
        <v>614</v>
      </c>
      <c r="M82" s="166">
        <f>IF(AND(0&lt;=M79,M79&lt;40),IF(O78+40-M79&lt;=L71,O78+40-M79,L71),IF(M79&lt;0,IF(O78-M79+40&lt;=L71,O78-M79+40,L71),O78))</f>
        <v>594</v>
      </c>
      <c r="N82" s="231" t="s">
        <v>381</v>
      </c>
      <c r="O82" s="290"/>
      <c r="R82" s="229"/>
      <c r="Z82" s="289"/>
      <c r="AA82" s="188">
        <v>10</v>
      </c>
      <c r="AB82" s="480">
        <f>Sheet5!D60</f>
        <v>0</v>
      </c>
      <c r="AC82" s="188"/>
      <c r="AD82" s="188"/>
      <c r="AE82" s="480">
        <f>Sheet5!B60</f>
        <v>0</v>
      </c>
      <c r="AF82" s="480">
        <f>Sheet5!C60</f>
        <v>0</v>
      </c>
      <c r="AG82" s="290"/>
    </row>
    <row r="83" spans="1:38" ht="16.5" thickTop="1" thickBot="1" x14ac:dyDescent="0.3">
      <c r="A83" s="231" t="s">
        <v>365</v>
      </c>
      <c r="B83" s="231">
        <f>ROUND(B70,0)*B72</f>
        <v>13.5</v>
      </c>
      <c r="C83" s="300" t="e">
        <f>VLOOKUP($D$70,$K$205:$O$213,L186,FALSE)</f>
        <v>#N/A</v>
      </c>
      <c r="D83" s="532" t="s">
        <v>343</v>
      </c>
      <c r="E83" s="534">
        <f>F83/2</f>
        <v>26.25</v>
      </c>
      <c r="F83" s="535">
        <f>G83+H83</f>
        <v>52.5</v>
      </c>
      <c r="G83" s="539">
        <f t="shared" ref="G83:H90" si="2">AE73</f>
        <v>26.25</v>
      </c>
      <c r="H83" s="539">
        <f t="shared" si="2"/>
        <v>26.25</v>
      </c>
      <c r="J83" s="289"/>
      <c r="K83" s="188"/>
      <c r="L83" s="135" t="s">
        <v>615</v>
      </c>
      <c r="M83" s="166">
        <f>IF(K73&lt;K74,ROUNDUP(40-M79-(M82-O78)+K74,0),K73)</f>
        <v>376</v>
      </c>
      <c r="N83" s="231" t="s">
        <v>380</v>
      </c>
      <c r="O83" s="290"/>
      <c r="R83" s="229"/>
      <c r="Z83" s="289"/>
      <c r="AA83" s="188"/>
      <c r="AB83" s="480"/>
      <c r="AC83" s="774"/>
      <c r="AD83" s="188"/>
      <c r="AE83" s="480">
        <f>SUM(AE73:AE82)</f>
        <v>62.25</v>
      </c>
      <c r="AF83" s="480">
        <f>SUM(AF73:AF82)</f>
        <v>62.25</v>
      </c>
      <c r="AG83" s="290"/>
    </row>
    <row r="84" spans="1:38" ht="31.5" thickTop="1" thickBot="1" x14ac:dyDescent="0.3">
      <c r="A84" s="231" t="s">
        <v>339</v>
      </c>
      <c r="B84" s="231">
        <f>ROUND(A70,0)*B72</f>
        <v>13.5</v>
      </c>
      <c r="C84" s="300" t="e">
        <f>VLOOKUP($D$70,$K$205:$O$213,L187,FALSE)</f>
        <v>#N/A</v>
      </c>
      <c r="D84" s="532" t="s">
        <v>344</v>
      </c>
      <c r="E84" s="534">
        <f t="shared" ref="E84:E92" si="3">F84/2</f>
        <v>9</v>
      </c>
      <c r="F84" s="535">
        <f t="shared" ref="F84:F92" si="4">G84+H84</f>
        <v>18</v>
      </c>
      <c r="G84" s="539">
        <f t="shared" si="2"/>
        <v>9</v>
      </c>
      <c r="H84" s="539">
        <f t="shared" si="2"/>
        <v>9</v>
      </c>
      <c r="J84" s="167" t="s">
        <v>385</v>
      </c>
      <c r="K84" s="168">
        <v>120</v>
      </c>
      <c r="L84" s="190"/>
      <c r="M84" s="190"/>
      <c r="N84" s="190"/>
      <c r="O84" s="296"/>
      <c r="Z84" s="289">
        <f>B62</f>
        <v>85.484692283495349</v>
      </c>
      <c r="AA84" s="188"/>
      <c r="AB84" s="188"/>
      <c r="AC84" s="480"/>
      <c r="AD84" s="188"/>
      <c r="AE84" s="188"/>
      <c r="AF84" s="188"/>
      <c r="AG84" s="290"/>
      <c r="AL84" s="228" t="s">
        <v>463</v>
      </c>
    </row>
    <row r="85" spans="1:38" ht="16.5" thickTop="1" thickBot="1" x14ac:dyDescent="0.3">
      <c r="D85" s="532" t="s">
        <v>345</v>
      </c>
      <c r="E85" s="534">
        <f t="shared" si="3"/>
        <v>8.5</v>
      </c>
      <c r="F85" s="535">
        <f t="shared" si="4"/>
        <v>17</v>
      </c>
      <c r="G85" s="539">
        <f t="shared" si="2"/>
        <v>8.5</v>
      </c>
      <c r="H85" s="539">
        <f t="shared" si="2"/>
        <v>8.5</v>
      </c>
      <c r="J85" s="169"/>
      <c r="Z85" s="289">
        <f>B63</f>
        <v>85.738635424337602</v>
      </c>
      <c r="AA85" s="188"/>
      <c r="AB85" s="188"/>
      <c r="AC85" s="188"/>
      <c r="AD85" s="188"/>
      <c r="AE85" s="188"/>
      <c r="AF85" s="188"/>
      <c r="AG85" s="290"/>
    </row>
    <row r="86" spans="1:38" ht="16.5" thickTop="1" thickBot="1" x14ac:dyDescent="0.3">
      <c r="A86" s="135" t="s">
        <v>367</v>
      </c>
      <c r="B86" s="137">
        <f>ROUND(Sheet5!E14,0)</f>
        <v>350</v>
      </c>
      <c r="D86" s="532" t="s">
        <v>346</v>
      </c>
      <c r="E86" s="534">
        <f t="shared" si="3"/>
        <v>6.5</v>
      </c>
      <c r="F86" s="535">
        <f t="shared" si="4"/>
        <v>13</v>
      </c>
      <c r="G86" s="539">
        <f t="shared" si="2"/>
        <v>6.5</v>
      </c>
      <c r="H86" s="539">
        <f t="shared" si="2"/>
        <v>6.5</v>
      </c>
      <c r="I86" s="285"/>
      <c r="J86" s="191" t="s">
        <v>538</v>
      </c>
      <c r="K86" s="286"/>
      <c r="L86" s="286"/>
      <c r="M86" s="135" t="s">
        <v>534</v>
      </c>
      <c r="N86" s="135" t="s">
        <v>535</v>
      </c>
      <c r="O86" s="135" t="s">
        <v>536</v>
      </c>
      <c r="Z86" s="289"/>
      <c r="AA86" s="188"/>
      <c r="AB86" s="188"/>
      <c r="AC86" s="188"/>
      <c r="AD86" s="538"/>
      <c r="AE86" s="480"/>
      <c r="AF86" s="188"/>
      <c r="AG86" s="290"/>
    </row>
    <row r="87" spans="1:38" ht="16.5" thickTop="1" thickBot="1" x14ac:dyDescent="0.3">
      <c r="A87" s="135" t="s">
        <v>739</v>
      </c>
      <c r="B87" s="245">
        <f>Sheet5!E38</f>
        <v>39</v>
      </c>
      <c r="D87" s="532" t="s">
        <v>347</v>
      </c>
      <c r="E87" s="534">
        <f t="shared" si="3"/>
        <v>12</v>
      </c>
      <c r="F87" s="535">
        <f t="shared" si="4"/>
        <v>24</v>
      </c>
      <c r="G87" s="539">
        <f t="shared" si="2"/>
        <v>12</v>
      </c>
      <c r="H87" s="539">
        <f t="shared" si="2"/>
        <v>12</v>
      </c>
      <c r="I87" s="289" t="s">
        <v>527</v>
      </c>
      <c r="J87" s="188">
        <f>SUM(H84:$H$89)+$F$90+1+$G$66</f>
        <v>43</v>
      </c>
      <c r="K87" s="188">
        <f t="shared" ref="K87:K93" si="5">50-J87</f>
        <v>7</v>
      </c>
      <c r="L87" s="187">
        <f>IF(K87&gt;=0,K87,L88)</f>
        <v>7</v>
      </c>
      <c r="M87" s="187">
        <f>IF($L$87=K87,2,M88)</f>
        <v>2</v>
      </c>
      <c r="N87" s="187">
        <f>IF($M$87=2,B40,N88)</f>
        <v>110</v>
      </c>
      <c r="O87" s="189">
        <f>IF(B46=0,IF(B45=0,IF(B44=0,IF(B43=0,IF(B42=0,IF(B41=0,IF(B40=0,B39,B40),B41),B42),B43),B44),B45),B46)</f>
        <v>60</v>
      </c>
      <c r="Z87" s="289" t="s">
        <v>932</v>
      </c>
      <c r="AA87" s="188" t="s">
        <v>933</v>
      </c>
      <c r="AB87" s="188"/>
      <c r="AC87" s="188"/>
      <c r="AD87" s="538"/>
      <c r="AE87" s="480"/>
      <c r="AF87" s="188"/>
      <c r="AG87" s="290"/>
    </row>
    <row r="88" spans="1:38" ht="16.5" thickTop="1" thickBot="1" x14ac:dyDescent="0.25">
      <c r="A88" s="417" t="s">
        <v>748</v>
      </c>
      <c r="B88" s="419">
        <f>Sheet5!E39</f>
        <v>43.5</v>
      </c>
      <c r="C88" s="421" t="s">
        <v>749</v>
      </c>
      <c r="D88" s="532" t="s">
        <v>348</v>
      </c>
      <c r="E88" s="534">
        <f>F88/2</f>
        <v>0</v>
      </c>
      <c r="F88" s="535">
        <f t="shared" si="4"/>
        <v>0</v>
      </c>
      <c r="G88" s="539">
        <f t="shared" si="2"/>
        <v>0</v>
      </c>
      <c r="H88" s="539">
        <f t="shared" si="2"/>
        <v>0</v>
      </c>
      <c r="I88" s="289" t="s">
        <v>528</v>
      </c>
      <c r="J88" s="188">
        <f>SUM(H85:$H$89)+$F$90+1+$G$66</f>
        <v>34</v>
      </c>
      <c r="K88" s="188">
        <f t="shared" si="5"/>
        <v>16</v>
      </c>
      <c r="L88" s="188">
        <f t="shared" ref="L88:L93" si="6">IF(K88&gt;=0,K88,L89)</f>
        <v>16</v>
      </c>
      <c r="M88" s="188">
        <f>IF($L$87=K88,3,M89)</f>
        <v>0</v>
      </c>
      <c r="N88" s="188">
        <f>IF($M$87=3,B41,N89)</f>
        <v>0</v>
      </c>
      <c r="O88" s="290"/>
      <c r="R88" s="303"/>
      <c r="S88" s="304"/>
      <c r="T88" s="304"/>
      <c r="U88" s="304"/>
      <c r="V88" s="304"/>
      <c r="W88" s="283"/>
      <c r="X88" s="284"/>
      <c r="Z88" s="289">
        <f>((2*$AE$69+AB73)*($AE$68+2*AB73)-2*($AE$69-AB73)*$AE$68)*F83*7.65*0.96*10^-6</f>
        <v>147.2222304</v>
      </c>
      <c r="AA88" s="188">
        <f>IF(Z88=0,0,(1+(AB73*AB73/2+2*(AB73/2-5)*(AB73/2-5))/((2*$AE$69+AB73)*($AE$68+2*AB73)-2*($AE$69-AB73)*$AE$68))*Z88*1.01)</f>
        <v>153.85420940400002</v>
      </c>
      <c r="AB88" s="188">
        <v>1</v>
      </c>
      <c r="AC88" s="188"/>
      <c r="AD88" s="538"/>
      <c r="AE88" s="480"/>
      <c r="AF88" s="188"/>
      <c r="AG88" s="290"/>
    </row>
    <row r="89" spans="1:38" ht="16.5" thickTop="1" thickBot="1" x14ac:dyDescent="0.25">
      <c r="A89" s="418" t="s">
        <v>746</v>
      </c>
      <c r="B89" s="420">
        <f>ROUND(Sheet5!E29,0)</f>
        <v>2860</v>
      </c>
      <c r="C89" s="228" t="str">
        <f>C88&amp;B89&amp;C88</f>
        <v>"2860"</v>
      </c>
      <c r="D89" s="532" t="s">
        <v>349</v>
      </c>
      <c r="E89" s="534">
        <f t="shared" si="3"/>
        <v>0</v>
      </c>
      <c r="F89" s="535">
        <f t="shared" si="4"/>
        <v>0</v>
      </c>
      <c r="G89" s="539">
        <f t="shared" si="2"/>
        <v>0</v>
      </c>
      <c r="H89" s="539">
        <f t="shared" si="2"/>
        <v>0</v>
      </c>
      <c r="I89" s="289" t="s">
        <v>529</v>
      </c>
      <c r="J89" s="188">
        <f>SUM(H86:$H$89)+$F$90+1+$G$66</f>
        <v>25.5</v>
      </c>
      <c r="K89" s="188">
        <f t="shared" si="5"/>
        <v>24.5</v>
      </c>
      <c r="L89" s="188">
        <f t="shared" si="6"/>
        <v>24.5</v>
      </c>
      <c r="M89" s="188">
        <f>IF($L$87=K89,4,M90)</f>
        <v>0</v>
      </c>
      <c r="N89" s="188">
        <f>IF($M$87=4,B42,N90)</f>
        <v>0</v>
      </c>
      <c r="O89" s="290"/>
      <c r="R89" s="305"/>
      <c r="S89" s="170" t="s">
        <v>483</v>
      </c>
      <c r="T89" s="306" t="s">
        <v>149</v>
      </c>
      <c r="U89" s="307">
        <f>INT(Sheet2!B21+Sheet2!G16*2+Sheet2!B4*2+2*Sheet2!U93+1)-14</f>
        <v>1270</v>
      </c>
      <c r="V89" s="308">
        <f>(U89-(INT(U89/D11)-1)*D11)/2</f>
        <v>27.5</v>
      </c>
      <c r="W89" s="188"/>
      <c r="X89" s="290"/>
      <c r="Z89" s="289">
        <f t="shared" ref="Z89:Z97" si="7">((2*$AE$69+AB74)*($AE$68+2*AB74)-2*($AE$69-AB74)*$AE$68)*F84*7.65*0.96*10^-6</f>
        <v>45.979021439999997</v>
      </c>
      <c r="AA89" s="188">
        <f t="shared" ref="AA89:AA97" si="8">IF(Z89=0,0,(1+(AB74*AB74/2+2*(AB74/2-5)*(AB74/2-5))/((2*$AE$69+AB74)*($AE$68+2*AB74)-2*($AE$69-AB74)*$AE$68))*Z89*1.01)</f>
        <v>47.9141404704</v>
      </c>
      <c r="AB89" s="188">
        <v>2</v>
      </c>
      <c r="AC89" s="188"/>
      <c r="AD89" s="538"/>
      <c r="AE89" s="480"/>
      <c r="AF89" s="188"/>
      <c r="AG89" s="290"/>
    </row>
    <row r="90" spans="1:38" ht="16.5" thickTop="1" thickBot="1" x14ac:dyDescent="0.25">
      <c r="A90" s="418" t="s">
        <v>747</v>
      </c>
      <c r="B90" s="420">
        <f>Sheet5!E30</f>
        <v>0</v>
      </c>
      <c r="C90" s="335" t="str">
        <f>C88&amp;B90&amp;C88</f>
        <v>"0"</v>
      </c>
      <c r="D90" s="532" t="s">
        <v>350</v>
      </c>
      <c r="E90" s="534">
        <f t="shared" si="3"/>
        <v>0</v>
      </c>
      <c r="F90" s="535">
        <f t="shared" si="4"/>
        <v>0</v>
      </c>
      <c r="G90" s="539">
        <f>AE80</f>
        <v>0</v>
      </c>
      <c r="H90" s="539">
        <f t="shared" si="2"/>
        <v>0</v>
      </c>
      <c r="I90" s="289" t="s">
        <v>530</v>
      </c>
      <c r="J90" s="188">
        <f>SUM(H87:$H$89)+$F$90+1+$G$66</f>
        <v>19</v>
      </c>
      <c r="K90" s="188">
        <f t="shared" si="5"/>
        <v>31</v>
      </c>
      <c r="L90" s="188">
        <f t="shared" si="6"/>
        <v>31</v>
      </c>
      <c r="M90" s="188">
        <f>IF($L$87=K90,5,M91)</f>
        <v>0</v>
      </c>
      <c r="N90" s="188">
        <f>IF($M$87=5,B43,N91)</f>
        <v>0</v>
      </c>
      <c r="O90" s="290"/>
      <c r="R90" s="305"/>
      <c r="S90" s="171" t="s">
        <v>213</v>
      </c>
      <c r="T90" s="309" t="s">
        <v>214</v>
      </c>
      <c r="U90" s="310">
        <f>IF(V89&gt;=35,INT(U89/D11),INT(U89/D11-1))</f>
        <v>27</v>
      </c>
      <c r="V90" s="311"/>
      <c r="W90" s="188"/>
      <c r="X90" s="290"/>
      <c r="Z90" s="289">
        <f t="shared" si="7"/>
        <v>39.227241599999999</v>
      </c>
      <c r="AA90" s="188">
        <f t="shared" si="8"/>
        <v>40.760687159999996</v>
      </c>
      <c r="AB90" s="188">
        <v>3</v>
      </c>
      <c r="AC90" s="188"/>
      <c r="AD90" s="538"/>
      <c r="AE90" s="480"/>
      <c r="AF90" s="188"/>
      <c r="AG90" s="290"/>
    </row>
    <row r="91" spans="1:38" ht="16.5" thickTop="1" thickBot="1" x14ac:dyDescent="0.25">
      <c r="A91" s="955" t="s">
        <v>865</v>
      </c>
      <c r="B91" s="502">
        <f>Sheet5!E40</f>
        <v>0.06</v>
      </c>
      <c r="C91" s="228" t="str">
        <f>"(STRING)TEXT1"&amp;"="&amp;C89</f>
        <v>(STRING)TEXT1="2860"</v>
      </c>
      <c r="D91" s="532" t="s">
        <v>3614</v>
      </c>
      <c r="E91" s="534">
        <f t="shared" si="3"/>
        <v>0</v>
      </c>
      <c r="F91" s="535">
        <f t="shared" si="4"/>
        <v>0</v>
      </c>
      <c r="G91" s="539">
        <f>AE81</f>
        <v>0</v>
      </c>
      <c r="H91" s="539">
        <f>AF81</f>
        <v>0</v>
      </c>
      <c r="I91" s="289" t="s">
        <v>531</v>
      </c>
      <c r="J91" s="188">
        <f>SUM(H88:$H$89)+$F$90+1+$G$66</f>
        <v>7</v>
      </c>
      <c r="K91" s="188">
        <f t="shared" si="5"/>
        <v>43</v>
      </c>
      <c r="L91" s="188">
        <f t="shared" si="6"/>
        <v>43</v>
      </c>
      <c r="M91" s="188">
        <f>IF($L$87=K91,6,M92)</f>
        <v>0</v>
      </c>
      <c r="N91" s="188">
        <f>IF($M$87=6,B44,N92)</f>
        <v>0</v>
      </c>
      <c r="O91" s="290"/>
      <c r="R91" s="305"/>
      <c r="S91" s="311"/>
      <c r="T91" s="307" t="s">
        <v>215</v>
      </c>
      <c r="U91" s="307">
        <f>IF(((B20+2*G16-(INT((B20+G16*2)/D11)-3)*D11-80)/2)&lt;40,INT((B20+G16*2)/D11)-1,INT((B20+G16*2)/D11))</f>
        <v>30</v>
      </c>
      <c r="V91" s="172"/>
      <c r="W91" s="188"/>
      <c r="X91" s="290"/>
      <c r="Z91" s="289">
        <f t="shared" si="7"/>
        <v>26.825722559999999</v>
      </c>
      <c r="AA91" s="188">
        <f t="shared" si="8"/>
        <v>27.793073505599999</v>
      </c>
      <c r="AB91" s="188">
        <v>4</v>
      </c>
      <c r="AC91" s="188"/>
      <c r="AD91" s="538"/>
      <c r="AE91" s="480"/>
      <c r="AF91" s="188"/>
      <c r="AG91" s="290"/>
    </row>
    <row r="92" spans="1:38" ht="16.5" thickTop="1" thickBot="1" x14ac:dyDescent="0.25">
      <c r="A92" s="955" t="s">
        <v>866</v>
      </c>
      <c r="B92" s="502">
        <f>Sheet5!E41</f>
        <v>0</v>
      </c>
      <c r="C92" s="335" t="str">
        <f>"(STRING)TEXT2"&amp;"="&amp;C90</f>
        <v>(STRING)TEXT2="0"</v>
      </c>
      <c r="D92" s="532" t="s">
        <v>3615</v>
      </c>
      <c r="E92" s="534">
        <f t="shared" si="3"/>
        <v>0</v>
      </c>
      <c r="F92" s="535">
        <f t="shared" si="4"/>
        <v>0</v>
      </c>
      <c r="G92" s="539">
        <f>AE82</f>
        <v>0</v>
      </c>
      <c r="H92" s="539">
        <f>AF82</f>
        <v>0</v>
      </c>
      <c r="I92" s="289" t="s">
        <v>532</v>
      </c>
      <c r="J92" s="188">
        <f>H89+$F$90+1+$G$66</f>
        <v>7</v>
      </c>
      <c r="K92" s="188">
        <f t="shared" si="5"/>
        <v>43</v>
      </c>
      <c r="L92" s="188">
        <f t="shared" si="6"/>
        <v>43</v>
      </c>
      <c r="M92" s="188">
        <f>IF($L$87=K92,7,M93)</f>
        <v>0</v>
      </c>
      <c r="N92" s="188">
        <f>IF($M$87=7,B45,N93)</f>
        <v>0</v>
      </c>
      <c r="O92" s="290"/>
      <c r="R92" s="1241" t="s">
        <v>485</v>
      </c>
      <c r="S92" s="1242"/>
      <c r="T92" s="307" t="s">
        <v>217</v>
      </c>
      <c r="U92" s="312">
        <f>Sheet5!E4</f>
        <v>380</v>
      </c>
      <c r="V92" s="311"/>
      <c r="W92" s="188"/>
      <c r="X92" s="290"/>
      <c r="Z92" s="289">
        <f t="shared" si="7"/>
        <v>32.381752319999997</v>
      </c>
      <c r="AA92" s="188">
        <f t="shared" si="8"/>
        <v>33.2485264512</v>
      </c>
      <c r="AB92" s="188">
        <v>5</v>
      </c>
      <c r="AC92" s="188"/>
      <c r="AD92" s="538"/>
      <c r="AE92" s="480"/>
      <c r="AF92" s="188"/>
      <c r="AG92" s="290"/>
    </row>
    <row r="93" spans="1:38" ht="16.5" thickTop="1" thickBot="1" x14ac:dyDescent="0.3">
      <c r="B93" s="228">
        <v>265</v>
      </c>
      <c r="C93" s="335" t="str">
        <f>"(STRING)TEXT6"&amp;"="&amp;C88&amp;Sheet5!F30&amp;C88</f>
        <v>(STRING)TEXT6=""</v>
      </c>
      <c r="F93" s="313">
        <f>SUM(H83:H92)</f>
        <v>62.25</v>
      </c>
      <c r="G93" s="313">
        <f>SUM(G83:G92)</f>
        <v>62.25</v>
      </c>
      <c r="H93" s="264">
        <f>SUM(F93:G93)</f>
        <v>124.5</v>
      </c>
      <c r="I93" s="314" t="s">
        <v>533</v>
      </c>
      <c r="J93" s="190">
        <f>F90+1+G66</f>
        <v>7</v>
      </c>
      <c r="K93" s="190">
        <f t="shared" si="5"/>
        <v>43</v>
      </c>
      <c r="L93" s="188">
        <f t="shared" si="6"/>
        <v>43</v>
      </c>
      <c r="M93" s="190">
        <f>IF($L$87=K93,8,M94)</f>
        <v>0</v>
      </c>
      <c r="N93" s="190">
        <f>IF($M$87=8,B46,N94)</f>
        <v>0</v>
      </c>
      <c r="O93" s="296"/>
      <c r="R93" s="1241"/>
      <c r="S93" s="1242"/>
      <c r="T93" s="307" t="s">
        <v>216</v>
      </c>
      <c r="U93" s="312">
        <f>Sheet5!E5</f>
        <v>380</v>
      </c>
      <c r="V93" s="311"/>
      <c r="W93" s="188"/>
      <c r="X93" s="290"/>
      <c r="Z93" s="289">
        <f t="shared" si="7"/>
        <v>0</v>
      </c>
      <c r="AA93" s="188">
        <f t="shared" si="8"/>
        <v>0</v>
      </c>
      <c r="AB93" s="188">
        <v>6</v>
      </c>
      <c r="AC93" s="188"/>
      <c r="AD93" s="538"/>
      <c r="AE93" s="480"/>
      <c r="AF93" s="188"/>
      <c r="AG93" s="290"/>
    </row>
    <row r="94" spans="1:38" ht="16.5" thickTop="1" thickBot="1" x14ac:dyDescent="0.3">
      <c r="B94" s="228">
        <f>499/0.4/(3^(1/2))</f>
        <v>720.24446081405813</v>
      </c>
      <c r="I94" s="192" t="s">
        <v>546</v>
      </c>
      <c r="J94" s="315"/>
      <c r="K94" s="316"/>
      <c r="L94" s="316"/>
      <c r="M94" s="316"/>
      <c r="N94" s="315"/>
      <c r="O94" s="317"/>
      <c r="R94" s="1241"/>
      <c r="S94" s="1242"/>
      <c r="T94" s="307" t="s">
        <v>480</v>
      </c>
      <c r="U94" s="307">
        <f>IF(((B20+2*G16-(INT((B20+G16*2)/D11)-3)*D11-(2*D11-10))/2)&lt;40,(B20+2*G16-(INT((B20+G16*2)/D11)-4)*D11-(2*D11-10))/2,(B20+2*G16-(INT((B20+G16*2)/D11)-3)*D11-(2*D11-10))/2)</f>
        <v>53.5</v>
      </c>
      <c r="V94" s="311">
        <f>U94-5</f>
        <v>48.5</v>
      </c>
      <c r="W94" s="188"/>
      <c r="X94" s="290"/>
      <c r="Z94" s="289">
        <f t="shared" si="7"/>
        <v>0</v>
      </c>
      <c r="AA94" s="188">
        <f t="shared" si="8"/>
        <v>0</v>
      </c>
      <c r="AB94" s="188">
        <v>7</v>
      </c>
      <c r="AC94" s="188"/>
      <c r="AD94" s="188"/>
      <c r="AE94" s="188"/>
      <c r="AF94" s="188"/>
      <c r="AG94" s="290"/>
    </row>
    <row r="95" spans="1:38" ht="16.5" thickTop="1" thickBot="1" x14ac:dyDescent="0.3">
      <c r="B95" s="228">
        <v>1155</v>
      </c>
      <c r="D95" s="228" t="s">
        <v>517</v>
      </c>
      <c r="E95" s="262">
        <f>G93-F93</f>
        <v>0</v>
      </c>
      <c r="F95" s="262">
        <f>F93+1-30</f>
        <v>33.25</v>
      </c>
      <c r="G95" s="262">
        <f>G93+1-30</f>
        <v>33.25</v>
      </c>
      <c r="K95" s="193" t="s">
        <v>547</v>
      </c>
      <c r="L95" s="135" t="s">
        <v>539</v>
      </c>
      <c r="M95" s="231">
        <f>IF($M$87=2,50,0)</f>
        <v>50</v>
      </c>
      <c r="R95" s="305"/>
      <c r="S95" s="311"/>
      <c r="T95" s="307" t="s">
        <v>481</v>
      </c>
      <c r="U95" s="307">
        <f>(U89-(U90-1)*D11)/2</f>
        <v>50</v>
      </c>
      <c r="V95" s="311"/>
      <c r="W95" s="188"/>
      <c r="X95" s="290"/>
      <c r="Z95" s="289">
        <f t="shared" si="7"/>
        <v>0</v>
      </c>
      <c r="AA95" s="188">
        <f t="shared" si="8"/>
        <v>0</v>
      </c>
      <c r="AB95" s="188">
        <v>8</v>
      </c>
      <c r="AC95" s="188"/>
      <c r="AD95" s="188"/>
      <c r="AE95" s="188"/>
      <c r="AF95" s="188"/>
      <c r="AG95" s="290"/>
    </row>
    <row r="96" spans="1:38" ht="16.5" thickTop="1" thickBot="1" x14ac:dyDescent="0.3">
      <c r="B96" s="228">
        <f>1499/0.4/(3^(1/2))</f>
        <v>2163.6201337881225</v>
      </c>
      <c r="D96" s="138"/>
      <c r="F96" s="138"/>
      <c r="G96" s="188"/>
      <c r="L96" s="135" t="s">
        <v>540</v>
      </c>
      <c r="M96" s="231">
        <f>IF($M$87=3,50,0)</f>
        <v>0</v>
      </c>
      <c r="R96" s="305"/>
      <c r="S96" s="311"/>
      <c r="T96" s="307" t="s">
        <v>218</v>
      </c>
      <c r="U96" s="307">
        <f>U90*2+2*U91</f>
        <v>114</v>
      </c>
      <c r="V96" s="311"/>
      <c r="W96" s="188"/>
      <c r="X96" s="290"/>
      <c r="Z96" s="289">
        <f>((2*$AE$69+AB81)*($AE$68+2*AB81)-2*($AE$69-AB81)*$AE$68)*F91*7.65*0.96*10^-6</f>
        <v>0</v>
      </c>
      <c r="AA96" s="188">
        <f t="shared" si="8"/>
        <v>0</v>
      </c>
      <c r="AB96" s="188">
        <v>9</v>
      </c>
      <c r="AC96" s="188"/>
      <c r="AD96" s="188"/>
      <c r="AE96" s="188"/>
      <c r="AF96" s="188"/>
      <c r="AG96" s="290"/>
    </row>
    <row r="97" spans="1:33" ht="16.5" thickTop="1" thickBot="1" x14ac:dyDescent="0.3">
      <c r="B97" s="228">
        <f>2200/0.4/(3^(1/2))</f>
        <v>3175.426480542942</v>
      </c>
      <c r="D97" s="188"/>
      <c r="E97" s="188"/>
      <c r="L97" s="135" t="s">
        <v>541</v>
      </c>
      <c r="M97" s="231">
        <f>IF($M$87=4,50,0)</f>
        <v>0</v>
      </c>
      <c r="R97" s="170" t="s">
        <v>483</v>
      </c>
      <c r="S97" s="304"/>
      <c r="T97" s="304"/>
      <c r="U97" s="304"/>
      <c r="V97" s="304"/>
      <c r="W97" s="304"/>
      <c r="X97" s="318"/>
      <c r="Z97" s="289">
        <f t="shared" si="7"/>
        <v>0</v>
      </c>
      <c r="AA97" s="188">
        <f t="shared" si="8"/>
        <v>0</v>
      </c>
      <c r="AB97" s="188">
        <v>10</v>
      </c>
      <c r="AC97" s="188"/>
      <c r="AD97" s="188"/>
      <c r="AE97" s="188"/>
      <c r="AF97" s="188"/>
      <c r="AG97" s="290"/>
    </row>
    <row r="98" spans="1:33" ht="16.5" thickTop="1" thickBot="1" x14ac:dyDescent="0.3">
      <c r="B98" s="335">
        <f>3120/0.4/(3^(1/2))</f>
        <v>4503.3320996790808</v>
      </c>
      <c r="L98" s="135" t="s">
        <v>542</v>
      </c>
      <c r="M98" s="231">
        <f>IF($M$87=5,50,0)</f>
        <v>0</v>
      </c>
      <c r="R98" s="171" t="s">
        <v>212</v>
      </c>
      <c r="S98" s="311" t="s">
        <v>144</v>
      </c>
      <c r="T98" s="311" t="s">
        <v>143</v>
      </c>
      <c r="U98" s="311"/>
      <c r="V98" s="311"/>
      <c r="W98" s="311"/>
      <c r="X98" s="319"/>
      <c r="Z98" s="314"/>
      <c r="AA98" s="190"/>
      <c r="AB98" s="190"/>
      <c r="AC98" s="190"/>
      <c r="AD98" s="190"/>
      <c r="AE98" s="190"/>
      <c r="AF98" s="190"/>
      <c r="AG98" s="296"/>
    </row>
    <row r="99" spans="1:33" ht="16.5" thickTop="1" thickBot="1" x14ac:dyDescent="0.3">
      <c r="A99" s="231" t="s">
        <v>140</v>
      </c>
      <c r="B99" s="231" t="s">
        <v>8</v>
      </c>
      <c r="C99" s="231" t="s">
        <v>4</v>
      </c>
      <c r="D99" s="231" t="s">
        <v>130</v>
      </c>
      <c r="E99" s="144" t="s">
        <v>131</v>
      </c>
      <c r="F99" s="320" t="s">
        <v>132</v>
      </c>
      <c r="G99" s="231" t="s">
        <v>133</v>
      </c>
      <c r="H99" s="321" t="s">
        <v>136</v>
      </c>
      <c r="I99" s="231" t="s">
        <v>9</v>
      </c>
      <c r="J99" s="231" t="s">
        <v>198</v>
      </c>
      <c r="L99" s="135" t="s">
        <v>543</v>
      </c>
      <c r="M99" s="231">
        <f>IF($M$87=6,50,0)</f>
        <v>0</v>
      </c>
      <c r="R99" s="322" t="s">
        <v>149</v>
      </c>
      <c r="S99" s="311">
        <f>IF(B9=0,B20+2*G16,B20+2*G16+1.2)</f>
        <v>1403.2</v>
      </c>
      <c r="T99" s="311">
        <f>IF(B9=0,0,B21+2*G16+1.2)</f>
        <v>522.20000000000005</v>
      </c>
      <c r="U99" s="311"/>
      <c r="V99" s="311"/>
      <c r="W99" s="311">
        <f>INT(S99/45)</f>
        <v>31</v>
      </c>
      <c r="X99" s="319">
        <f>INT(T99/45)</f>
        <v>11</v>
      </c>
    </row>
    <row r="100" spans="1:33" ht="16.5" thickTop="1" thickBot="1" x14ac:dyDescent="0.3">
      <c r="A100" s="159">
        <v>300</v>
      </c>
      <c r="B100" s="136" t="s">
        <v>247</v>
      </c>
      <c r="C100" s="136" t="s">
        <v>37</v>
      </c>
      <c r="D100" s="231" t="s">
        <v>207</v>
      </c>
      <c r="E100" s="144" t="s">
        <v>84</v>
      </c>
      <c r="F100" s="320" t="s">
        <v>241</v>
      </c>
      <c r="G100" s="3" t="s">
        <v>244</v>
      </c>
      <c r="H100" s="231" t="s">
        <v>223</v>
      </c>
      <c r="I100" s="212" t="s">
        <v>45</v>
      </c>
      <c r="J100" s="231" t="s">
        <v>174</v>
      </c>
      <c r="L100" s="135" t="s">
        <v>544</v>
      </c>
      <c r="M100" s="231">
        <f>IF($M$87=7,50,0)</f>
        <v>0</v>
      </c>
      <c r="R100" s="322" t="s">
        <v>466</v>
      </c>
      <c r="S100" s="311">
        <f>IF(V101&gt;=20,W99,W99-1)</f>
        <v>31</v>
      </c>
      <c r="T100" s="311">
        <f>IF(W101&gt;=20,X99,X99-1)</f>
        <v>11</v>
      </c>
      <c r="U100" s="311"/>
      <c r="V100" s="311">
        <f>(W99-1)*45</f>
        <v>1350</v>
      </c>
      <c r="W100" s="311">
        <f>(X99-1)*45</f>
        <v>450</v>
      </c>
      <c r="X100" s="319"/>
      <c r="AC100" s="1247" t="s">
        <v>930</v>
      </c>
      <c r="AD100" s="1248"/>
    </row>
    <row r="101" spans="1:33" ht="16.5" thickTop="1" thickBot="1" x14ac:dyDescent="0.3">
      <c r="A101" s="159">
        <v>500</v>
      </c>
      <c r="B101" s="136" t="s">
        <v>52</v>
      </c>
      <c r="C101" s="136" t="s">
        <v>38</v>
      </c>
      <c r="D101" s="231" t="s">
        <v>245</v>
      </c>
      <c r="E101" s="144" t="s">
        <v>3728</v>
      </c>
      <c r="F101" s="320" t="s">
        <v>242</v>
      </c>
      <c r="G101" s="212" t="s">
        <v>779</v>
      </c>
      <c r="H101" s="231" t="s">
        <v>219</v>
      </c>
      <c r="I101" s="212" t="s">
        <v>809</v>
      </c>
      <c r="J101" s="231" t="s">
        <v>175</v>
      </c>
      <c r="L101" s="135" t="s">
        <v>545</v>
      </c>
      <c r="M101" s="231">
        <f>IF($M$87=8,50,0)</f>
        <v>0</v>
      </c>
      <c r="R101" s="323" t="s">
        <v>467</v>
      </c>
      <c r="S101" s="324">
        <f>(S99-(S100-1)*45)/2</f>
        <v>26.600000000000023</v>
      </c>
      <c r="T101" s="324">
        <f>(T99-(T100-1)*45)/2</f>
        <v>36.100000000000023</v>
      </c>
      <c r="U101" s="324"/>
      <c r="V101" s="324">
        <f>(S99-V100)/2</f>
        <v>26.600000000000023</v>
      </c>
      <c r="W101" s="324">
        <f>(T99-W100)/2</f>
        <v>36.100000000000023</v>
      </c>
      <c r="X101" s="325"/>
      <c r="AC101" s="289">
        <f t="shared" ref="AC101:AC108" si="9">E83*2-H83</f>
        <v>26.25</v>
      </c>
      <c r="AD101" s="290">
        <f>IF(AND(E90=0,E89=0,E88=0,E87=0,E86=0,E85=0,E84=0,E83=0),0,IF(AND(E90=0,E89=0,E88=0,E87=0,E86=0,E85=0,E84=0,E83&gt;0),B65,IF(E84=0,B65,IF(OR(AND(E85=0,E84&gt;0,$E$95&gt;0,E83-$E$95&gt;1.5,E83+$E$95&gt;1.5),AND(E85=0,E84&gt;0,$E$95&lt;0,E83-$E$95&gt;1.5,E83+$E$95&gt;1.5)),E83-$E$95,IF(OR(AND(E89=H89,E88=H88,E87=H87,E86=H86,E85=H85,E84=H84,$E$95&lt;0,E83-$E$95&gt;1.5,E83+$E$95&gt;1.5),AND(E89=H89,E88=H88,E87=H87,E86=H86,E85=H85,E84=H84,$E$95&gt;0,E83-$E$95&gt;1.5,E83+$E$95&gt;1.5)),E83-$E$95,E83)))))</f>
        <v>26.25</v>
      </c>
    </row>
    <row r="102" spans="1:33" ht="16.5" thickTop="1" thickBot="1" x14ac:dyDescent="0.3">
      <c r="A102" s="159">
        <v>1000</v>
      </c>
      <c r="B102" s="136" t="s">
        <v>53</v>
      </c>
      <c r="C102" s="136" t="s">
        <v>39</v>
      </c>
      <c r="D102" s="231"/>
      <c r="E102" s="144"/>
      <c r="G102" s="212" t="s">
        <v>121</v>
      </c>
      <c r="H102" s="231" t="s">
        <v>127</v>
      </c>
      <c r="I102" s="212" t="s">
        <v>810</v>
      </c>
      <c r="J102" s="231" t="s">
        <v>194</v>
      </c>
      <c r="AC102" s="289">
        <f>E84*2-H84</f>
        <v>9</v>
      </c>
      <c r="AD102" s="290">
        <f>IF(AND(E90=0,E89=0,E88=0,E87=0,E86=0,E85=0,E84=0),0,IF(AND(E90=0,E89=0,E88=0,E87=0,E86=0,E85=0,E84&gt;0),B65,IF(E85=0,B65,IF(OR(AND(E86=0,E85&gt;0,$E$95&gt;0,E84-$E$95&gt;1.5,E84+$E$95&gt;1.5),AND(E86=0,E85&gt;0,$E$95&lt;0,E84-$E$95&gt;1.5,E84+$E$95&gt;1.5)),E84-$E$95,IF(OR(AND(E89=H89,E88=H88,E87=H87,E86=H86,E85=H85,$E$95&lt;0,E84-$E$95&gt;1.5,E84+$E$95&gt;1.5),AND(E89=H89,E88=H88,E87=H87,E86=H86,E85=H85,$E$95&gt;0,E84-$E$95&gt;1.5,E84+$E$95&gt;1.5)),E84-$E$95,E84)))))</f>
        <v>9</v>
      </c>
    </row>
    <row r="103" spans="1:33" ht="16.5" thickTop="1" thickBot="1" x14ac:dyDescent="0.3">
      <c r="A103" s="159">
        <v>1500</v>
      </c>
      <c r="B103" s="136" t="s">
        <v>54</v>
      </c>
      <c r="C103" s="136"/>
      <c r="G103" s="212" t="s">
        <v>122</v>
      </c>
      <c r="H103" s="231" t="s">
        <v>128</v>
      </c>
      <c r="I103" s="212" t="s">
        <v>811</v>
      </c>
      <c r="J103" s="231">
        <v>400</v>
      </c>
      <c r="AC103" s="289">
        <f t="shared" si="9"/>
        <v>8.5</v>
      </c>
      <c r="AD103" s="290">
        <f>IF(AND(E90=0,E89=0,E88=0,E87=0,E86=0,E85=0),0,IF(AND(E90=0,E89=0,E88=0,E87=0,E86=0,E85&gt;0),B65,IF(E86=0,B65,IF(OR(AND(E87=0,E86&gt;0,$E$95&gt;0,E85-$E$95&gt;1.5,E85+$E$95&gt;1.5),AND(E87=0,E86&gt;0,$E$95&lt;0,E85-$E$95&gt;1.5,E85+$E$95&gt;1.5)),E85-$E$95,IF(OR(AND(E89=H89,E88=H88,E87=H87,E86=H86,$E$95&lt;0,E85-$E$95&gt;1.5,E85+$E$95&gt;1.5),AND(E89=H89,E88=H88,E87=H87,E86=H86,$E$95&gt;0,E85-$E$95&gt;1.5,E85+$E$95&gt;1.5)),E85-$E$95,E85)))))</f>
        <v>8.5</v>
      </c>
    </row>
    <row r="104" spans="1:33" ht="16.5" thickTop="1" thickBot="1" x14ac:dyDescent="0.3">
      <c r="A104" s="159">
        <v>2000</v>
      </c>
      <c r="B104" s="136" t="s">
        <v>55</v>
      </c>
      <c r="C104" s="136" t="s">
        <v>40</v>
      </c>
      <c r="H104" s="231" t="s">
        <v>137</v>
      </c>
      <c r="I104" s="3" t="str">
        <f>G28</f>
        <v>M12-250A</v>
      </c>
      <c r="J104" s="231" t="s">
        <v>176</v>
      </c>
      <c r="AC104" s="289">
        <f t="shared" si="9"/>
        <v>6.5</v>
      </c>
      <c r="AD104" s="290">
        <f>IF(AND(E90=0,E89=0,E88=0,E87=0,E86=0),0,IF(AND(E90=0,E89=0,E88=0,E87=0,E86&gt;0),B65,IF(E87=0,B65,IF(OR(AND(E88=0,E87&gt;0,$E$95&gt;0,E86-$E$95&gt;1.5,E86+$E$95&gt;1.5),AND(E88=0,E87&gt;0,$E$95&lt;0,E86-$E$95&gt;1.5,E86+$E$95&gt;1.5)),E86-$E$95,IF(OR(AND(E89=H89,E88=H88,E87=H87,$E$95&lt;0,E86-$E$95&gt;1.5,E86+$E$95&gt;1.5),AND(E89=H89,E88=H88,E87=H87,$E$95&gt;0,E86-$E$95&gt;1.5,E86+$E$95&gt;1.5)),E86-$E$95,E86)))))</f>
        <v>6.5</v>
      </c>
    </row>
    <row r="105" spans="1:33" ht="16.5" thickTop="1" thickBot="1" x14ac:dyDescent="0.3">
      <c r="B105" s="3" t="s">
        <v>3671</v>
      </c>
      <c r="C105" s="136" t="s">
        <v>41</v>
      </c>
      <c r="I105" s="228" t="s">
        <v>3672</v>
      </c>
      <c r="J105" s="277" t="s">
        <v>220</v>
      </c>
      <c r="AC105" s="289">
        <f t="shared" si="9"/>
        <v>12</v>
      </c>
      <c r="AD105" s="290">
        <f>IF(AND(E90=0,E89=0,E88=0,E87=0),0,IF(AND(E90=0,E89=0,E88=0,E87&gt;0),B65,IF(E88=0,B65,IF(OR(AND(E88&gt;0,E89=0,$E$95&gt;0,E87-$E$95&gt;1.5,E87+$E$95&gt;1.5),AND(E88&gt;0,E89=0,$E$95&lt;0,E87-$E$95&gt;1.5,E87+$E$95&gt;1.5)),E87-$E$95,IF(OR(AND(E89=H89,E88=H88,$E$95&gt;0,E87-$E$95&gt;1.5,E87+$E$95&gt;1.5),AND(E89=H89,E88=H88,$E$95&lt;0,E87-$E$95&gt;1.5,E87+$E$95&gt;1.5)),E87-$E$95,E87)))))</f>
        <v>12</v>
      </c>
    </row>
    <row r="106" spans="1:33" ht="31.5" thickTop="1" thickBot="1" x14ac:dyDescent="0.3">
      <c r="C106" s="136" t="s">
        <v>42</v>
      </c>
      <c r="I106" s="23" t="s">
        <v>44</v>
      </c>
      <c r="J106" s="277" t="s">
        <v>177</v>
      </c>
      <c r="AC106" s="289">
        <f t="shared" si="9"/>
        <v>0</v>
      </c>
      <c r="AD106" s="290">
        <f>IF(AND(E90=0,E89=0,E88=0),0,IF(AND(E90=0,E89=0,E88&gt;0),B65,IF(E89=0,B65,IF(OR(AND(E90=0,E88+E95&gt;1.5,$E$95&gt;0,E88-$E$95&gt;1.5),AND(E90=0,E88+E95&gt;1.5,$E$95&lt;0,E88-$E$95&gt;1.5)),E88-$E$95,IF(OR(AND(E89=H89,E88+E95&gt;1.5,$E$95&gt;0,E88-$E$95&gt;1.5),AND(E89=H89,E88+E95&gt;1.5,$E$95&lt;0,E88-$E$95&gt;1.5)),E88-$E$95,E88)))))</f>
        <v>0</v>
      </c>
    </row>
    <row r="107" spans="1:33" ht="16.5" thickTop="1" thickBot="1" x14ac:dyDescent="0.3">
      <c r="I107" s="13" t="s">
        <v>244</v>
      </c>
      <c r="AC107" s="289">
        <f t="shared" si="9"/>
        <v>0</v>
      </c>
      <c r="AD107" s="290">
        <f>IF(AND(E89=0,E90=0),0,IF(AND(E90=0,E89&gt;0),$B$65,IF(AND(E89-$E$95&gt;1.5,E89+$E$95&gt;1.5,$E$95&gt;=0),E89-$E$95,IF(AND(E89-$E$95&gt;1.5,E89+$E$95&gt;1.5,$E$95&lt;0),E89-$E$95,E89))))</f>
        <v>0</v>
      </c>
    </row>
    <row r="108" spans="1:33" ht="15.75" thickTop="1" x14ac:dyDescent="0.25">
      <c r="A108" s="228">
        <f>IF(AND(0&lt;=B30,B30&lt;=300),300,IF(AND(300&lt;B30,B30&lt;=500),500,IF(AND(500&lt;B30,B30&lt;=1000),1000,IF(AND(1000&lt;B30,B30&lt;=1500),1500,IF(AND(1500&lt;B30,B30&lt;=2000),2000,"NO VALID SCORE")))))</f>
        <v>1500</v>
      </c>
      <c r="B108" s="228" t="str">
        <f>IF(B29&lt;=B93,B100,IF(AND(B93&lt;B29,B29&lt;=B94),B101,IF(AND(B94&lt;B29,B29&lt;=B95),B102,IF(AND(B95&lt;B29,B29&lt;=B96),B103,IF(AND(B96&lt;B29,B29&lt;=B97),B104,IF(AND(B97&lt;B29,B29&lt;=B98),B105,IF(AND(B29&gt;B97,B29/2&lt;=B96,B29/2&gt;B95),B103,IF(AND(B29&gt;B97,B29/2&gt;B96,B29/2&lt;=B97),B104,IF(AND(B29&gt;B97,B29/2&gt;B94,B29/2&lt;=B95),B102,IF(AND(B29&gt;B97,B29/2&gt;B93,B29/2&lt;=B94),B101,IF(AND(B29&gt;B97,B29/2&lt;=B93),B100,"ALIEN")))))))))))</f>
        <v>0-180KVA</v>
      </c>
      <c r="C108" s="228" t="str">
        <f>C109</f>
        <v>22Kv-250A</v>
      </c>
      <c r="D108" s="228" t="str">
        <f>IF(B26&lt;=400,D100,IF(AND(560&lt;=B26,B26&lt;=3000),D101,"NO VALID SCORE"))</f>
        <v>&lt;=450</v>
      </c>
      <c r="E108" s="228" t="str">
        <f>IF(AND(0&lt;B21,B21&lt;=400),E100,IF(AND(400&lt;B21,B21&lt;=615),E101,IF(AND(615&lt;B21,B21&lt;=830),E102,"NO VALID SCORE")))</f>
        <v>&gt;400</v>
      </c>
      <c r="F108" s="228" t="str">
        <f>IF(AND(0&lt;B26,B26&lt;500),F100,IF(AND(500&lt;=B26),F101,"NO VALID SCORE"))</f>
        <v>&lt;500</v>
      </c>
      <c r="G108" s="228" t="str">
        <f>IF(AND(0&lt;B26,B26&lt;=100),G100,IF(AND(100&lt;B26,B26&lt;1000),G101,IF(AND(B26&lt;=2000,B26&gt;=1000),G102,IF(B26&gt;2000,G103))))</f>
        <v>100-1000</v>
      </c>
      <c r="H108" s="228" t="str">
        <f>IF(AND(0&lt;B26,B26&lt;320),H100,IF(AND(320&lt;=B26,B26&lt;1200),H101,IF(AND(1200&lt;=B26,B26&lt;=2500),H102,IF(AND(2500&lt;B26,B26&lt;=4000),H103,IF(B26&gt;=5600,H104,"NO VALID SCORE")))))</f>
        <v>&lt;=200</v>
      </c>
      <c r="I108" s="228" t="str">
        <f>IF(AND(B108=B101,C29="1 HÀNG SỨ"),I100,IF(AND(B108=Sheet2!B102,C29="1 HÀNG SỨ"),I101,IF(AND(B108=B103,C29="1 HÀNG SỨ"),I102,IF(AND(B108=B104,C29="1 HÀNG SỨ"),I103,IF(AND(B108=B105,C29="1 HÀNG SỨ"),I105,IF(B26&lt;=100,I107,IF(AND(B108=B100,C29="1 HÀNG SỨ"),I106,IF(AND(C29="2 HÀNG SỨ",OR(B108=B103,B108=B104)),I104,"SAI"))))))))</f>
        <v>M12</v>
      </c>
      <c r="J108" s="228" t="str">
        <f>IF(AND(25&lt;=B26,B26&lt;=50),J100,IF(AND(75&lt;=B26,B26&lt;=160),J101,IF(AND(180&lt;=B26,B26&lt;=320),J102,IF(B26=400,J103,IF(AND(560&lt;=B26,B26&lt;=750),J104,IF(AND(800&lt;=B26,B26&lt;=1250),J105,IF(AND(2000&lt;=B26,B26&lt;=6300),J106,"NO VALID SCORE")))))))</f>
        <v>180-250-320</v>
      </c>
      <c r="AC108" s="289">
        <f t="shared" si="9"/>
        <v>0</v>
      </c>
      <c r="AD108" s="290">
        <f>E90*2-G90</f>
        <v>0</v>
      </c>
    </row>
    <row r="109" spans="1:33" x14ac:dyDescent="0.25">
      <c r="C109" s="228" t="str">
        <f>IF(AND(B28&lt;=250,B27&lt;=10),C100,IF(AND(B28&lt;=250,B27&lt;35),C101,IF(AND(B28&lt;=250,B27&gt;=35),C102,IF(AND(B28&gt;250,B27&lt;=10,B28&lt;=630),C104,IF(AND(B28&gt;250,B27&lt;35,B28&lt;=630),C105,IF(AND(B28&gt;250,B27&gt;=35,B28&lt;=630),C106,"ALIEN"))))))</f>
        <v>22Kv-250A</v>
      </c>
      <c r="I109" s="228" t="s">
        <v>463</v>
      </c>
      <c r="AC109" s="425" t="s">
        <v>664</v>
      </c>
      <c r="AD109" s="425" t="s">
        <v>830</v>
      </c>
    </row>
    <row r="110" spans="1:33" ht="15.75" thickBot="1" x14ac:dyDescent="0.3">
      <c r="H110" s="228" t="s">
        <v>562</v>
      </c>
    </row>
    <row r="111" spans="1:33" ht="16.5" thickTop="1" thickBot="1" x14ac:dyDescent="0.3">
      <c r="B111" s="231" t="s">
        <v>157</v>
      </c>
      <c r="C111" s="231" t="s">
        <v>155</v>
      </c>
      <c r="D111" s="231" t="s">
        <v>236</v>
      </c>
      <c r="E111" s="231" t="s">
        <v>180</v>
      </c>
      <c r="F111" s="231" t="s">
        <v>178</v>
      </c>
      <c r="H111" s="231">
        <v>10</v>
      </c>
      <c r="I111" s="231">
        <f>B25/B24*IF(H111=8,0.08,IF(H111=8.5,0.085,IF(H111=9,0.09,IF(H111=9.5,0.095,IF(H111=10,0.1,"SAI")))))</f>
        <v>70.08464362032224</v>
      </c>
      <c r="J111" s="228" t="s">
        <v>1031</v>
      </c>
    </row>
    <row r="112" spans="1:33" ht="16.5" thickTop="1" thickBot="1" x14ac:dyDescent="0.3">
      <c r="B112" s="231">
        <v>220</v>
      </c>
      <c r="C112" s="231">
        <v>500</v>
      </c>
      <c r="D112" s="231">
        <f t="shared" ref="D112:D122" si="10">PI()*(B112/100/2)^2*(C112/100)</f>
        <v>19.006635554218253</v>
      </c>
      <c r="E112" s="231">
        <v>60</v>
      </c>
      <c r="F112" s="231" t="str">
        <f>G112</f>
        <v>BD30</v>
      </c>
      <c r="G112" s="228" t="str">
        <f>IF($B$27=22,"BD21","BD30")</f>
        <v>BD30</v>
      </c>
      <c r="I112" s="335">
        <f>B25*IF(H111=8,0.08,IF(H111=8.5,0.085,IF(H111=9,0.09,IF(H111=9.5,0.095,IF(H111=10,0.1,"SAI")))))</f>
        <v>70.08464362032224</v>
      </c>
      <c r="J112" s="228" t="s">
        <v>1032</v>
      </c>
    </row>
    <row r="113" spans="1:23" ht="16.5" thickTop="1" thickBot="1" x14ac:dyDescent="0.3">
      <c r="B113" s="231">
        <v>220</v>
      </c>
      <c r="C113" s="231">
        <v>600</v>
      </c>
      <c r="D113" s="231">
        <f t="shared" si="10"/>
        <v>22.807962665061901</v>
      </c>
      <c r="E113" s="231">
        <v>60</v>
      </c>
      <c r="F113" s="231" t="str">
        <f t="shared" ref="F113:F119" si="11">G113</f>
        <v>BD31</v>
      </c>
      <c r="G113" s="228" t="str">
        <f>IF($B$27=22,"BD22","BD31")</f>
        <v>BD31</v>
      </c>
    </row>
    <row r="114" spans="1:23" ht="16.5" thickTop="1" thickBot="1" x14ac:dyDescent="0.3">
      <c r="B114" s="231">
        <v>240</v>
      </c>
      <c r="C114" s="231">
        <v>600</v>
      </c>
      <c r="D114" s="231">
        <f t="shared" si="10"/>
        <v>27.143360527015815</v>
      </c>
      <c r="E114" s="231">
        <v>60</v>
      </c>
      <c r="F114" s="231" t="str">
        <f t="shared" si="11"/>
        <v>BD32</v>
      </c>
      <c r="G114" s="228" t="str">
        <f>IF($B$27=22,"BD23","BD32")</f>
        <v>BD32</v>
      </c>
    </row>
    <row r="115" spans="1:23" ht="16.5" thickTop="1" thickBot="1" x14ac:dyDescent="0.3">
      <c r="B115" s="231">
        <v>240</v>
      </c>
      <c r="C115" s="231">
        <v>700</v>
      </c>
      <c r="D115" s="231">
        <f>PI()*(B115/100/2)^2*(C115/100)</f>
        <v>31.667253948185117</v>
      </c>
      <c r="E115" s="231">
        <v>60</v>
      </c>
      <c r="F115" s="231" t="str">
        <f t="shared" si="11"/>
        <v>BD33</v>
      </c>
      <c r="G115" s="228" t="str">
        <f>IF($B$27=22,"BD24","BD33")</f>
        <v>BD33</v>
      </c>
      <c r="H115" s="228">
        <f>IF(I111&lt;=D112,B112,IF(AND(D112&lt;I111,I111&lt;=D113),B113,IF(AND(D113&lt;I111,I111&lt;=D114),B114,IF(AND(D114&lt;I111,I111&lt;=D115),B115,IF(AND(D115&lt;I111,I111&lt;=D116),B116,IF(AND(D116&lt;I111,I111&lt;=D117),B117,IF(AND(D117&lt;I111,I111&lt;=D118),B118,IF(AND(D118&lt;I111,I111&lt;=D119),B119,IF(AND(D119&lt;I111,I111&lt;=D120),B120,IF(AND(D120&lt;I111,I111&lt;=D121),B121,IF(AND(D121&lt;I111,I111&lt;=D122),B122,"NOVALIDSCORE")))))))))))</f>
        <v>400</v>
      </c>
      <c r="I115" s="228">
        <f>IF(I111&lt;=D112,C112,IF(AND(D112&lt;I111,I111&lt;=D113),C113,IF(AND(D113&lt;I111,I111&lt;=D114),C114,IF(AND(D114&lt;I111,I111&lt;=D115),C115,IF(AND(D115&lt;I111,I111&lt;=D116),C116,IF(AND(D116&lt;I111,I111&lt;=D117),C117,IF(AND(D117&lt;I111,I111&lt;=D118),C118,IF(AND(D118&lt;I111,I111&lt;=D119),C119,IF(AND(D119&lt;I111,I111&lt;=D120),C120,IF(AND(D120&lt;I111,I111&lt;=D121),C121,IF(AND(D121&lt;I111,I111&lt;=D122),C122,"NOVALIDSCORE")))))))))))</f>
        <v>900</v>
      </c>
      <c r="J115" s="228">
        <f>IF(I111&lt;=D112,E112,IF(AND(D112&lt;I111,I111&lt;=D113),E113,IF(AND(D113&lt;I111,I111&lt;=D114),E114,IF(AND(D114&lt;I111,I111&lt;=D115),E115,IF(AND(D115&lt;I111,I111&lt;=D116),E116,IF(AND(D116&lt;I111,I111&lt;=D117),E117,IF(AND(D117&lt;I111,I111&lt;=D118),E118,IF(AND(D118&lt;I111,I111&lt;=D119),E119,IF(AND(D119&lt;I111,I111&lt;=D120),E120,IF(AND(D120&lt;I111,I111&lt;=D121),E121,IF(AND(D121&lt;I111,I111&lt;=D122),E122,"NOVALIDSCORE")))))))))))</f>
        <v>100</v>
      </c>
    </row>
    <row r="116" spans="1:23" ht="16.5" thickTop="1" thickBot="1" x14ac:dyDescent="0.25">
      <c r="B116" s="231">
        <v>300</v>
      </c>
      <c r="C116" s="231">
        <v>700</v>
      </c>
      <c r="D116" s="231">
        <f t="shared" si="10"/>
        <v>49.480084294039244</v>
      </c>
      <c r="E116" s="231">
        <v>60</v>
      </c>
      <c r="F116" s="231" t="str">
        <f t="shared" si="11"/>
        <v>BD34</v>
      </c>
      <c r="G116" s="228" t="str">
        <f>IF($B$27=22,"BD25","BD34")</f>
        <v>BD34</v>
      </c>
      <c r="K116" s="188"/>
      <c r="V116" s="1042" t="s">
        <v>961</v>
      </c>
      <c r="W116" s="1042" t="s">
        <v>3684</v>
      </c>
    </row>
    <row r="117" spans="1:23" ht="16.5" thickTop="1" thickBot="1" x14ac:dyDescent="0.25">
      <c r="B117" s="231">
        <v>350</v>
      </c>
      <c r="C117" s="231">
        <v>700</v>
      </c>
      <c r="D117" s="231">
        <f t="shared" si="10"/>
        <v>67.347892511331182</v>
      </c>
      <c r="E117" s="231">
        <v>60</v>
      </c>
      <c r="F117" s="231" t="str">
        <f t="shared" si="11"/>
        <v>BD35</v>
      </c>
      <c r="G117" s="228" t="str">
        <f>IF($B$27=22,"BD26","BD35")</f>
        <v>BD35</v>
      </c>
      <c r="V117" s="1042" t="s">
        <v>960</v>
      </c>
      <c r="W117" s="1042" t="s">
        <v>3685</v>
      </c>
    </row>
    <row r="118" spans="1:23" ht="16.5" thickTop="1" thickBot="1" x14ac:dyDescent="0.25">
      <c r="B118" s="231">
        <v>400</v>
      </c>
      <c r="C118" s="231">
        <v>900</v>
      </c>
      <c r="D118" s="231">
        <f t="shared" si="10"/>
        <v>113.09733552923255</v>
      </c>
      <c r="E118" s="231">
        <v>100</v>
      </c>
      <c r="F118" s="231" t="str">
        <f t="shared" si="11"/>
        <v>BD36</v>
      </c>
      <c r="G118" s="228" t="str">
        <f>IF($B$27=22,"BD27","BD36")</f>
        <v>BD36</v>
      </c>
      <c r="V118" s="1042" t="s">
        <v>959</v>
      </c>
      <c r="W118" s="1042" t="s">
        <v>3686</v>
      </c>
    </row>
    <row r="119" spans="1:23" ht="16.5" thickTop="1" thickBot="1" x14ac:dyDescent="0.25">
      <c r="B119" s="231">
        <v>450</v>
      </c>
      <c r="C119" s="231">
        <v>900</v>
      </c>
      <c r="D119" s="231">
        <f t="shared" si="10"/>
        <v>143.13881527918494</v>
      </c>
      <c r="E119" s="231">
        <v>100</v>
      </c>
      <c r="F119" s="231" t="str">
        <f t="shared" si="11"/>
        <v>BD37</v>
      </c>
      <c r="G119" s="228" t="str">
        <f>IF($B$27=22,"BD28","BD37")</f>
        <v>BD37</v>
      </c>
      <c r="V119" s="1042" t="s">
        <v>958</v>
      </c>
      <c r="W119" s="1042" t="s">
        <v>3687</v>
      </c>
    </row>
    <row r="120" spans="1:23" ht="16.5" thickTop="1" thickBot="1" x14ac:dyDescent="0.25">
      <c r="B120" s="159">
        <v>500</v>
      </c>
      <c r="C120" s="231">
        <v>1100</v>
      </c>
      <c r="D120" s="231">
        <f t="shared" si="10"/>
        <v>215.98449493429828</v>
      </c>
      <c r="E120" s="231">
        <v>120</v>
      </c>
      <c r="F120" s="231" t="s">
        <v>190</v>
      </c>
      <c r="V120" s="1042" t="s">
        <v>952</v>
      </c>
      <c r="W120" s="1042" t="s">
        <v>3688</v>
      </c>
    </row>
    <row r="121" spans="1:23" ht="16.5" thickTop="1" thickBot="1" x14ac:dyDescent="0.25">
      <c r="B121" s="231">
        <v>550</v>
      </c>
      <c r="C121" s="231">
        <v>1100</v>
      </c>
      <c r="D121" s="231">
        <f t="shared" si="10"/>
        <v>261.34123887050094</v>
      </c>
      <c r="E121" s="231">
        <v>120</v>
      </c>
      <c r="F121" s="231"/>
      <c r="S121" s="228" t="s">
        <v>578</v>
      </c>
      <c r="T121" s="173" t="s">
        <v>444</v>
      </c>
      <c r="U121" s="177"/>
      <c r="V121" s="1042" t="s">
        <v>951</v>
      </c>
      <c r="W121" s="1042" t="s">
        <v>3689</v>
      </c>
    </row>
    <row r="122" spans="1:23" ht="16.5" thickTop="1" thickBot="1" x14ac:dyDescent="0.25">
      <c r="B122" s="231">
        <v>600</v>
      </c>
      <c r="C122" s="231">
        <v>1100</v>
      </c>
      <c r="D122" s="231">
        <f t="shared" si="10"/>
        <v>311.01767270538954</v>
      </c>
      <c r="E122" s="231">
        <v>120</v>
      </c>
      <c r="F122" s="231" t="s">
        <v>191</v>
      </c>
      <c r="H122" s="475"/>
      <c r="I122" s="511"/>
      <c r="J122" s="514" t="s">
        <v>603</v>
      </c>
      <c r="K122" s="513" t="s">
        <v>603</v>
      </c>
      <c r="S122" s="228" t="s">
        <v>579</v>
      </c>
      <c r="T122" s="173" t="s">
        <v>445</v>
      </c>
      <c r="U122" s="177"/>
      <c r="V122" s="1042" t="s">
        <v>950</v>
      </c>
      <c r="W122" s="1042" t="s">
        <v>3690</v>
      </c>
    </row>
    <row r="123" spans="1:23" ht="16.5" thickTop="1" thickBot="1" x14ac:dyDescent="0.25">
      <c r="H123" s="475"/>
      <c r="I123" s="511"/>
      <c r="J123" s="514" t="s">
        <v>438</v>
      </c>
      <c r="K123" s="513" t="s">
        <v>438</v>
      </c>
      <c r="S123" s="228" t="s">
        <v>446</v>
      </c>
      <c r="T123" s="173" t="s">
        <v>446</v>
      </c>
      <c r="U123" s="177"/>
      <c r="V123" s="1042" t="s">
        <v>949</v>
      </c>
      <c r="W123" s="1042" t="s">
        <v>3691</v>
      </c>
    </row>
    <row r="124" spans="1:23" ht="16.5" thickTop="1" thickBot="1" x14ac:dyDescent="0.25">
      <c r="H124" s="475"/>
      <c r="I124" s="511"/>
      <c r="J124" s="514" t="s">
        <v>439</v>
      </c>
      <c r="K124" s="513" t="s">
        <v>498</v>
      </c>
      <c r="S124" s="228" t="s">
        <v>580</v>
      </c>
      <c r="T124" s="173" t="s">
        <v>447</v>
      </c>
      <c r="U124" s="177"/>
      <c r="V124" s="1042" t="s">
        <v>948</v>
      </c>
      <c r="W124" s="1042" t="s">
        <v>3692</v>
      </c>
    </row>
    <row r="125" spans="1:23" ht="16.5" thickTop="1" thickBot="1" x14ac:dyDescent="0.25">
      <c r="A125" s="135" t="s">
        <v>276</v>
      </c>
      <c r="B125" s="321"/>
      <c r="C125" s="321"/>
      <c r="D125" s="321"/>
      <c r="H125" s="475"/>
      <c r="I125" s="511"/>
      <c r="J125" s="514" t="s">
        <v>440</v>
      </c>
      <c r="K125" s="513" t="s">
        <v>440</v>
      </c>
      <c r="L125" s="515" t="s">
        <v>501</v>
      </c>
      <c r="M125" s="194" t="s">
        <v>146</v>
      </c>
      <c r="N125" s="194" t="s">
        <v>146</v>
      </c>
      <c r="O125" s="194" t="s">
        <v>146</v>
      </c>
      <c r="P125" s="194" t="s">
        <v>502</v>
      </c>
      <c r="Q125" s="194" t="s">
        <v>146</v>
      </c>
      <c r="R125" s="195" t="s">
        <v>146</v>
      </c>
      <c r="S125" s="228" t="s">
        <v>581</v>
      </c>
      <c r="T125" s="173" t="s">
        <v>448</v>
      </c>
      <c r="U125" s="177"/>
      <c r="V125" s="1042" t="s">
        <v>947</v>
      </c>
      <c r="W125" s="1042" t="s">
        <v>3693</v>
      </c>
    </row>
    <row r="126" spans="1:23" ht="16.5" thickTop="1" thickBot="1" x14ac:dyDescent="0.25">
      <c r="A126" s="326" t="s">
        <v>277</v>
      </c>
      <c r="B126" s="326">
        <v>25</v>
      </c>
      <c r="C126" s="326">
        <f>B126</f>
        <v>25</v>
      </c>
      <c r="D126" s="326">
        <f>B126</f>
        <v>25</v>
      </c>
      <c r="E126" s="523"/>
      <c r="H126" s="475"/>
      <c r="I126" s="511"/>
      <c r="J126" s="514" t="s">
        <v>441</v>
      </c>
      <c r="K126" s="513" t="s">
        <v>441</v>
      </c>
      <c r="L126" s="515" t="s">
        <v>157</v>
      </c>
      <c r="M126" s="194" t="s">
        <v>155</v>
      </c>
      <c r="N126" s="194" t="s">
        <v>275</v>
      </c>
      <c r="O126" s="194" t="s">
        <v>99</v>
      </c>
      <c r="P126" s="194" t="s">
        <v>503</v>
      </c>
      <c r="Q126" s="194" t="s">
        <v>504</v>
      </c>
      <c r="R126" s="195" t="s">
        <v>505</v>
      </c>
      <c r="S126" s="228" t="s">
        <v>582</v>
      </c>
      <c r="T126" s="173" t="s">
        <v>449</v>
      </c>
      <c r="U126" s="177"/>
      <c r="V126" s="1042" t="s">
        <v>946</v>
      </c>
      <c r="W126" s="1042" t="s">
        <v>3694</v>
      </c>
    </row>
    <row r="127" spans="1:23" ht="16.5" thickTop="1" thickBot="1" x14ac:dyDescent="0.25">
      <c r="A127" s="326" t="s">
        <v>157</v>
      </c>
      <c r="B127" s="326">
        <v>345.77056274847718</v>
      </c>
      <c r="C127" s="326">
        <v>165.62522343406076</v>
      </c>
      <c r="D127" s="326">
        <v>1083.770562748477</v>
      </c>
      <c r="H127" s="475"/>
      <c r="I127" s="511"/>
      <c r="J127" s="514" t="s">
        <v>442</v>
      </c>
      <c r="K127" s="513" t="s">
        <v>880</v>
      </c>
      <c r="L127" s="515" t="s">
        <v>506</v>
      </c>
      <c r="M127" s="194" t="s">
        <v>507</v>
      </c>
      <c r="N127" s="194" t="s">
        <v>508</v>
      </c>
      <c r="O127" s="194" t="s">
        <v>509</v>
      </c>
      <c r="P127" s="194" t="s">
        <v>510</v>
      </c>
      <c r="Q127" s="194" t="s">
        <v>511</v>
      </c>
      <c r="R127" s="195" t="s">
        <v>512</v>
      </c>
      <c r="S127" s="228" t="s">
        <v>583</v>
      </c>
      <c r="T127" s="173" t="s">
        <v>450</v>
      </c>
      <c r="U127" s="177"/>
      <c r="V127" s="1042" t="s">
        <v>942</v>
      </c>
      <c r="W127" s="1042" t="s">
        <v>3695</v>
      </c>
    </row>
    <row r="128" spans="1:23" ht="16.5" thickTop="1" thickBot="1" x14ac:dyDescent="0.25">
      <c r="A128" s="326" t="s">
        <v>155</v>
      </c>
      <c r="B128" s="326">
        <v>399.61832585697954</v>
      </c>
      <c r="C128" s="326">
        <v>219.47298654256309</v>
      </c>
      <c r="D128" s="326">
        <v>1137.6183258569795</v>
      </c>
      <c r="H128" s="475"/>
      <c r="I128" s="511"/>
      <c r="J128" s="514" t="s">
        <v>878</v>
      </c>
      <c r="K128" s="513" t="s">
        <v>499</v>
      </c>
      <c r="L128" s="516" t="s">
        <v>805</v>
      </c>
      <c r="M128" s="196" t="s">
        <v>146</v>
      </c>
      <c r="N128" s="196" t="s">
        <v>146</v>
      </c>
      <c r="O128" s="196" t="s">
        <v>146</v>
      </c>
      <c r="P128" s="516" t="s">
        <v>805</v>
      </c>
      <c r="Q128" s="196" t="s">
        <v>146</v>
      </c>
      <c r="R128" s="197" t="s">
        <v>146</v>
      </c>
      <c r="S128" s="228" t="s">
        <v>584</v>
      </c>
      <c r="T128" s="173" t="s">
        <v>451</v>
      </c>
      <c r="U128" s="177"/>
      <c r="V128" s="1042" t="s">
        <v>941</v>
      </c>
      <c r="W128" s="1042" t="s">
        <v>3696</v>
      </c>
    </row>
    <row r="129" spans="1:23" ht="16.5" thickTop="1" thickBot="1" x14ac:dyDescent="0.25">
      <c r="A129" s="326" t="s">
        <v>275</v>
      </c>
      <c r="B129" s="326">
        <f>52+5+F19</f>
        <v>65</v>
      </c>
      <c r="C129" s="326">
        <f>B129</f>
        <v>65</v>
      </c>
      <c r="D129" s="326">
        <f>B129</f>
        <v>65</v>
      </c>
      <c r="H129" s="475"/>
      <c r="I129" s="511"/>
      <c r="J129" s="514" t="s">
        <v>879</v>
      </c>
      <c r="K129" s="513" t="s">
        <v>743</v>
      </c>
      <c r="S129" s="228" t="s">
        <v>585</v>
      </c>
      <c r="T129" s="173" t="s">
        <v>452</v>
      </c>
      <c r="U129" s="177"/>
      <c r="V129" s="1042" t="s">
        <v>940</v>
      </c>
      <c r="W129" s="1042" t="s">
        <v>3697</v>
      </c>
    </row>
    <row r="130" spans="1:23" ht="16.5" thickTop="1" thickBot="1" x14ac:dyDescent="0.25">
      <c r="A130" s="326" t="s">
        <v>278</v>
      </c>
      <c r="B130" s="326">
        <f>DEGREES(ATAN((B129/((B128-B127)/2))))</f>
        <v>67.5</v>
      </c>
      <c r="C130" s="326">
        <f>DEGREES(ATAN((C129/((C128-C127)/2))))</f>
        <v>67.500000000000014</v>
      </c>
      <c r="D130" s="326">
        <f>DEGREES(ATAN((D129/((D128-D127)/2))))</f>
        <v>67.499999999999957</v>
      </c>
      <c r="H130" s="475"/>
      <c r="I130" s="511"/>
      <c r="J130" s="514" t="s">
        <v>571</v>
      </c>
      <c r="K130" s="513" t="s">
        <v>881</v>
      </c>
      <c r="L130" s="517" t="s">
        <v>457</v>
      </c>
      <c r="M130" s="198" t="s">
        <v>146</v>
      </c>
      <c r="N130" s="198" t="s">
        <v>146</v>
      </c>
      <c r="O130" s="198" t="s">
        <v>146</v>
      </c>
      <c r="P130" s="198" t="s">
        <v>458</v>
      </c>
      <c r="Q130" s="198" t="s">
        <v>146</v>
      </c>
      <c r="R130" s="199" t="s">
        <v>146</v>
      </c>
      <c r="S130" s="228" t="s">
        <v>586</v>
      </c>
      <c r="T130" s="173" t="s">
        <v>453</v>
      </c>
      <c r="U130" s="177"/>
      <c r="V130" s="1042" t="s">
        <v>939</v>
      </c>
      <c r="W130" s="1042" t="s">
        <v>3698</v>
      </c>
    </row>
    <row r="131" spans="1:23" ht="16.5" thickTop="1" thickBot="1" x14ac:dyDescent="0.25">
      <c r="A131" s="326" t="s">
        <v>99</v>
      </c>
      <c r="B131" s="326">
        <v>70.355493019005607</v>
      </c>
      <c r="C131" s="326">
        <v>70.355493019005607</v>
      </c>
      <c r="D131" s="326">
        <v>70.355493019005621</v>
      </c>
      <c r="H131" s="475"/>
      <c r="I131" s="511"/>
      <c r="J131" s="514" t="s">
        <v>631</v>
      </c>
      <c r="K131" s="513" t="s">
        <v>443</v>
      </c>
      <c r="L131" s="517" t="s">
        <v>157</v>
      </c>
      <c r="M131" s="198" t="s">
        <v>155</v>
      </c>
      <c r="N131" s="198" t="s">
        <v>275</v>
      </c>
      <c r="O131" s="198" t="s">
        <v>99</v>
      </c>
      <c r="P131" s="198" t="s">
        <v>459</v>
      </c>
      <c r="Q131" s="198" t="s">
        <v>460</v>
      </c>
      <c r="R131" s="199" t="s">
        <v>461</v>
      </c>
      <c r="S131" s="228" t="s">
        <v>587</v>
      </c>
      <c r="T131" s="173" t="s">
        <v>454</v>
      </c>
      <c r="U131" s="177"/>
      <c r="V131" s="1042" t="s">
        <v>938</v>
      </c>
      <c r="W131" s="1042" t="s">
        <v>3699</v>
      </c>
    </row>
    <row r="132" spans="1:23" ht="16.5" thickTop="1" thickBot="1" x14ac:dyDescent="0.25">
      <c r="A132" s="326" t="s">
        <v>180</v>
      </c>
      <c r="B132" s="326">
        <f>30*B131/B129</f>
        <v>32.471766008771823</v>
      </c>
      <c r="C132" s="326">
        <f>30*C131/C129</f>
        <v>32.471766008771823</v>
      </c>
      <c r="D132" s="326">
        <f>30*D131/D129</f>
        <v>32.471766008771823</v>
      </c>
      <c r="H132" s="476"/>
      <c r="I132" s="511"/>
      <c r="J132" s="514" t="s">
        <v>744</v>
      </c>
      <c r="K132" s="513" t="s">
        <v>500</v>
      </c>
      <c r="L132" s="517">
        <v>1150</v>
      </c>
      <c r="M132" s="198">
        <v>850</v>
      </c>
      <c r="N132" s="198">
        <v>1250</v>
      </c>
      <c r="O132" s="198" t="s">
        <v>462</v>
      </c>
      <c r="P132" s="198">
        <v>250</v>
      </c>
      <c r="Q132" s="198">
        <v>870</v>
      </c>
      <c r="R132" s="199">
        <v>1440</v>
      </c>
      <c r="S132" s="228" t="s">
        <v>588</v>
      </c>
      <c r="T132" s="174" t="s">
        <v>455</v>
      </c>
      <c r="U132" s="177"/>
      <c r="V132" s="1042" t="s">
        <v>937</v>
      </c>
      <c r="W132" s="1042" t="s">
        <v>3700</v>
      </c>
    </row>
    <row r="133" spans="1:23" ht="16.5" thickTop="1" thickBot="1" x14ac:dyDescent="0.25">
      <c r="A133" s="326" t="s">
        <v>105</v>
      </c>
      <c r="B133" s="326">
        <v>22.116426949444445</v>
      </c>
      <c r="C133" s="326">
        <v>22.116426949444453</v>
      </c>
      <c r="D133" s="326">
        <v>22.116426949444424</v>
      </c>
      <c r="I133" s="512"/>
      <c r="J133" s="514" t="s">
        <v>745</v>
      </c>
      <c r="K133" s="513" t="s">
        <v>882</v>
      </c>
      <c r="L133" s="518" t="s">
        <v>805</v>
      </c>
      <c r="M133" s="200" t="s">
        <v>146</v>
      </c>
      <c r="N133" s="200" t="s">
        <v>146</v>
      </c>
      <c r="O133" s="200" t="s">
        <v>146</v>
      </c>
      <c r="P133" s="200" t="s">
        <v>805</v>
      </c>
      <c r="Q133" s="200" t="s">
        <v>146</v>
      </c>
      <c r="R133" s="201" t="s">
        <v>146</v>
      </c>
      <c r="S133" s="228" t="s">
        <v>589</v>
      </c>
      <c r="U133" s="177"/>
      <c r="V133" s="1042" t="s">
        <v>936</v>
      </c>
      <c r="W133" s="1042" t="s">
        <v>3701</v>
      </c>
    </row>
    <row r="134" spans="1:23" ht="16.5" thickTop="1" thickBot="1" x14ac:dyDescent="0.3">
      <c r="A134" s="326" t="s">
        <v>181</v>
      </c>
      <c r="B134" s="326">
        <f>(B126^2+B133^2)^(0.5)</f>
        <v>33.378680935742693</v>
      </c>
      <c r="C134" s="326">
        <f>(C126^2+C133^2)^(0.5)</f>
        <v>33.378680935742693</v>
      </c>
      <c r="D134" s="326">
        <f>(D126^2+D133^2)^(0.5)</f>
        <v>33.378680935742679</v>
      </c>
      <c r="I134" s="335"/>
      <c r="J134" s="1041" t="s">
        <v>1027</v>
      </c>
      <c r="K134" s="513" t="s">
        <v>883</v>
      </c>
      <c r="U134" s="177"/>
      <c r="V134" s="1042" t="s">
        <v>935</v>
      </c>
      <c r="W134" s="1042" t="s">
        <v>3702</v>
      </c>
    </row>
    <row r="135" spans="1:23" ht="16.5" thickTop="1" thickBot="1" x14ac:dyDescent="0.25">
      <c r="A135" s="326" t="s">
        <v>151</v>
      </c>
      <c r="B135" s="326">
        <f>(B134^2-30^2)^(0.5)</f>
        <v>14.633398136117011</v>
      </c>
      <c r="C135" s="326">
        <f>(C134^2-30^2)^(0.5)</f>
        <v>14.633398136117011</v>
      </c>
      <c r="D135" s="326">
        <f>(D134^2-30^2)^(0.5)</f>
        <v>14.633398136116972</v>
      </c>
      <c r="I135" s="335"/>
      <c r="J135" s="335"/>
      <c r="K135" s="513" t="s">
        <v>884</v>
      </c>
      <c r="U135" s="178"/>
      <c r="V135" s="1043" t="s">
        <v>3703</v>
      </c>
      <c r="W135" s="1043" t="s">
        <v>3704</v>
      </c>
    </row>
    <row r="136" spans="1:23" ht="16.5" thickTop="1" thickBot="1" x14ac:dyDescent="0.3">
      <c r="A136" s="248" t="s">
        <v>182</v>
      </c>
      <c r="B136" s="248">
        <f>(B127-B135*2)</f>
        <v>316.50376647624313</v>
      </c>
      <c r="C136" s="248">
        <f>(C127-C135*2)</f>
        <v>136.35842716182674</v>
      </c>
      <c r="D136" s="248">
        <f>(D127-D135*2)</f>
        <v>1054.5037664762431</v>
      </c>
      <c r="I136" s="335"/>
      <c r="J136" s="335"/>
    </row>
    <row r="137" spans="1:23" ht="16.5" thickTop="1" thickBot="1" x14ac:dyDescent="0.25">
      <c r="A137" s="231" t="s">
        <v>279</v>
      </c>
      <c r="B137" s="231">
        <f>D136</f>
        <v>1054.5037664762431</v>
      </c>
      <c r="C137" s="231">
        <f>B136</f>
        <v>316.50376647624313</v>
      </c>
      <c r="D137" s="231">
        <f>C136</f>
        <v>136.35842716182674</v>
      </c>
      <c r="I137" s="335"/>
      <c r="J137" s="335"/>
      <c r="L137" s="36" t="s">
        <v>457</v>
      </c>
      <c r="M137" s="36" t="s">
        <v>146</v>
      </c>
      <c r="N137" s="36" t="s">
        <v>146</v>
      </c>
      <c r="O137" s="36" t="s">
        <v>146</v>
      </c>
      <c r="P137" s="231"/>
      <c r="Q137" s="231"/>
      <c r="R137" s="231"/>
      <c r="S137" s="36" t="s">
        <v>458</v>
      </c>
      <c r="T137" s="36" t="s">
        <v>146</v>
      </c>
      <c r="U137" s="36" t="s">
        <v>146</v>
      </c>
    </row>
    <row r="138" spans="1:23" ht="16.5" thickTop="1" thickBot="1" x14ac:dyDescent="0.25">
      <c r="A138" s="289"/>
      <c r="B138" s="188"/>
      <c r="C138" s="188"/>
      <c r="D138" s="290"/>
      <c r="G138" s="262"/>
      <c r="I138" s="335"/>
      <c r="J138" s="335"/>
      <c r="L138" s="36" t="s">
        <v>157</v>
      </c>
      <c r="M138" s="36" t="s">
        <v>155</v>
      </c>
      <c r="N138" s="36" t="s">
        <v>275</v>
      </c>
      <c r="O138" s="36" t="s">
        <v>99</v>
      </c>
      <c r="P138" s="231" t="s">
        <v>180</v>
      </c>
      <c r="Q138" s="231" t="s">
        <v>105</v>
      </c>
      <c r="R138" s="231" t="s">
        <v>181</v>
      </c>
      <c r="S138" s="36" t="s">
        <v>459</v>
      </c>
      <c r="T138" s="36" t="s">
        <v>460</v>
      </c>
      <c r="U138" s="36" t="s">
        <v>461</v>
      </c>
    </row>
    <row r="139" spans="1:23" ht="16.5" thickTop="1" thickBot="1" x14ac:dyDescent="0.25">
      <c r="A139" s="321" t="s">
        <v>280</v>
      </c>
      <c r="B139" s="327">
        <f>B144</f>
        <v>13</v>
      </c>
      <c r="C139" s="321">
        <f>C144</f>
        <v>3</v>
      </c>
      <c r="D139" s="328">
        <f>D144</f>
        <v>1</v>
      </c>
      <c r="I139" s="335"/>
      <c r="J139" s="335"/>
      <c r="L139" s="36" t="s">
        <v>146</v>
      </c>
      <c r="M139" s="36" t="s">
        <v>146</v>
      </c>
      <c r="N139" s="36" t="s">
        <v>146</v>
      </c>
      <c r="O139" s="36" t="s">
        <v>146</v>
      </c>
      <c r="P139" s="231"/>
      <c r="Q139" s="231"/>
      <c r="R139" s="231"/>
      <c r="S139" s="36" t="s">
        <v>146</v>
      </c>
      <c r="T139" s="36" t="s">
        <v>146</v>
      </c>
      <c r="U139" s="36" t="s">
        <v>146</v>
      </c>
    </row>
    <row r="140" spans="1:23" ht="16.5" thickTop="1" thickBot="1" x14ac:dyDescent="0.25">
      <c r="A140" s="321" t="s">
        <v>282</v>
      </c>
      <c r="B140" s="327">
        <f>(B137-(B139-1)*B141)/2</f>
        <v>47.251883238121536</v>
      </c>
      <c r="C140" s="321">
        <f>(C137-(C139-1)*B141)/2</f>
        <v>78.251883238121565</v>
      </c>
      <c r="D140" s="328">
        <f>(D137-(D139-1)*B141)/2</f>
        <v>68.17921358091337</v>
      </c>
      <c r="E140" s="135" t="s">
        <v>836</v>
      </c>
      <c r="F140" s="231" t="s">
        <v>838</v>
      </c>
      <c r="G140" s="231" t="s">
        <v>837</v>
      </c>
      <c r="H140" s="231" t="s">
        <v>838</v>
      </c>
      <c r="I140" s="1040" t="s">
        <v>839</v>
      </c>
      <c r="J140" s="335"/>
      <c r="L140" s="518" t="s">
        <v>805</v>
      </c>
      <c r="M140" s="36" t="s">
        <v>146</v>
      </c>
      <c r="N140" s="36" t="s">
        <v>146</v>
      </c>
      <c r="O140" s="36" t="s">
        <v>146</v>
      </c>
      <c r="P140" s="518" t="s">
        <v>805</v>
      </c>
      <c r="Q140" s="231"/>
      <c r="R140" s="231"/>
      <c r="S140" s="518" t="s">
        <v>805</v>
      </c>
      <c r="T140" s="36" t="s">
        <v>146</v>
      </c>
      <c r="U140" s="36" t="s">
        <v>146</v>
      </c>
    </row>
    <row r="141" spans="1:23" ht="16.5" thickTop="1" thickBot="1" x14ac:dyDescent="0.3">
      <c r="A141" s="231" t="s">
        <v>281</v>
      </c>
      <c r="B141" s="231">
        <v>80</v>
      </c>
      <c r="C141" s="231">
        <f>B141</f>
        <v>80</v>
      </c>
      <c r="D141" s="249">
        <f>B141</f>
        <v>80</v>
      </c>
      <c r="E141" s="231"/>
      <c r="F141" s="594">
        <f>Sheet3!I232</f>
        <v>1</v>
      </c>
      <c r="G141" s="594">
        <f>Sheet3!H232</f>
        <v>35</v>
      </c>
      <c r="H141" s="594">
        <f>Sheet3!K232</f>
        <v>0</v>
      </c>
      <c r="I141" s="594">
        <f>Sheet3!J232</f>
        <v>0</v>
      </c>
      <c r="J141" s="335"/>
    </row>
    <row r="142" spans="1:23" ht="16.5" thickTop="1" thickBot="1" x14ac:dyDescent="0.3">
      <c r="A142" s="248"/>
      <c r="B142" s="329"/>
      <c r="C142" s="248"/>
      <c r="D142" s="254"/>
      <c r="G142" s="231" t="s">
        <v>922</v>
      </c>
      <c r="H142" s="231" t="s">
        <v>923</v>
      </c>
    </row>
    <row r="143" spans="1:23" ht="17.25" thickTop="1" thickBot="1" x14ac:dyDescent="0.3">
      <c r="G143" s="231">
        <f>IF((F141+H141)/2&lt;=2,2,(F141+H141)/2)</f>
        <v>2</v>
      </c>
      <c r="H143" s="231">
        <f>IF((F141+H141)/2&lt;=1,0,45)</f>
        <v>0</v>
      </c>
      <c r="M143" s="262">
        <f>IF(L10=1,B32+2+F93,C34)+C79+Sheet5!E20</f>
        <v>136.73480000000001</v>
      </c>
      <c r="N143" s="608">
        <f>IF(L10=1,IF(L10=1,B32+2+F93,C34)+C79,IF(L10=2,M143,"sai"))</f>
        <v>121.73480000000001</v>
      </c>
      <c r="O143" s="607">
        <f>ABS((P143/((N144-N143)/10))^2-10^2)^0.5+10</f>
        <v>34.874553224334051</v>
      </c>
      <c r="P143" s="228">
        <f>IF(Sheet5!B23&lt;6,55,60)</f>
        <v>55</v>
      </c>
      <c r="Q143" s="228">
        <f>N148-10</f>
        <v>25</v>
      </c>
      <c r="R143" s="262">
        <f>Q144*Q143/10</f>
        <v>-3.7120000000000175</v>
      </c>
    </row>
    <row r="144" spans="1:23" ht="16.5" thickTop="1" x14ac:dyDescent="0.25">
      <c r="B144" s="228">
        <f>IF(AND(40&lt;=(B137-(INT(B137/B141)-1)*B141)/2,(B137-(INT(B137/B141)-1)*B141)/2&lt;=45),INT(B137/B141)-1,INT(B137/B141))</f>
        <v>13</v>
      </c>
      <c r="C144" s="228">
        <f>IF(AND(40&lt;=(C137-(INT(C137/C141)-1)*C141)/2,(C137-(INT(C137/C141)-1)*C141)/2&lt;=45),INT(C137/C141)-1,INT(C137/C141))</f>
        <v>3</v>
      </c>
      <c r="D144" s="228">
        <f>IF(AND(40&lt;=(D137-(INT(D137/D141)-1)*D141)/2,(D137-(INT(D137/D141)-1)*D141)/2&lt;=45),INT(D137/D141)-1,INT(D137/D141))</f>
        <v>1</v>
      </c>
      <c r="M144" s="262">
        <f>F93+P148+O148+B32</f>
        <v>135.25</v>
      </c>
      <c r="N144" s="608">
        <f>IF(L10=1,F93+1+G66+P148+B32+O148,IF(L10=2,M144,"sai"))</f>
        <v>142.25</v>
      </c>
      <c r="O144" s="607">
        <f>ROUNDUP(O143,0)</f>
        <v>35</v>
      </c>
      <c r="Q144" s="262">
        <f>M144-M143</f>
        <v>-1.484800000000007</v>
      </c>
      <c r="R144" s="262">
        <f>R143+5+5</f>
        <v>6.2879999999999825</v>
      </c>
    </row>
    <row r="145" spans="1:16" ht="15.75" thickBot="1" x14ac:dyDescent="0.3"/>
    <row r="146" spans="1:16" ht="17.25" thickTop="1" thickBot="1" x14ac:dyDescent="0.3">
      <c r="G146" s="369" t="s">
        <v>695</v>
      </c>
      <c r="I146" s="135" t="s">
        <v>740</v>
      </c>
      <c r="N146" s="510" t="s">
        <v>764</v>
      </c>
      <c r="O146" s="231" t="s">
        <v>876</v>
      </c>
    </row>
    <row r="147" spans="1:16" ht="17.25" thickTop="1" thickBot="1" x14ac:dyDescent="0.3">
      <c r="A147" s="367" t="s">
        <v>697</v>
      </c>
      <c r="B147" s="368">
        <v>35</v>
      </c>
      <c r="C147" s="400"/>
      <c r="D147" s="400"/>
      <c r="E147" s="367" t="s">
        <v>691</v>
      </c>
      <c r="F147" s="368" t="s">
        <v>840</v>
      </c>
      <c r="G147" s="369" t="s">
        <v>741</v>
      </c>
      <c r="H147" s="368" t="s">
        <v>742</v>
      </c>
      <c r="I147" s="368" t="s">
        <v>841</v>
      </c>
      <c r="J147" s="368" t="s">
        <v>842</v>
      </c>
      <c r="K147" s="368" t="s">
        <v>843</v>
      </c>
      <c r="L147" s="368" t="s">
        <v>844</v>
      </c>
      <c r="M147" s="448" t="s">
        <v>845</v>
      </c>
      <c r="N147" s="285" t="s">
        <v>846</v>
      </c>
      <c r="O147" s="610" t="s">
        <v>875</v>
      </c>
      <c r="P147" s="321" t="s">
        <v>1041</v>
      </c>
    </row>
    <row r="148" spans="1:16" ht="17.25" thickTop="1" thickBot="1" x14ac:dyDescent="0.3">
      <c r="A148" s="368"/>
      <c r="B148" s="371">
        <v>50</v>
      </c>
      <c r="C148" s="404"/>
      <c r="D148" s="400"/>
      <c r="E148" s="370" t="s">
        <v>692</v>
      </c>
      <c r="F148" s="369">
        <f>Sheet3!H193</f>
        <v>1</v>
      </c>
      <c r="G148" s="410">
        <f>Sheet3!H194</f>
        <v>15</v>
      </c>
      <c r="H148" s="368">
        <f>Sheet3!H195</f>
        <v>15</v>
      </c>
      <c r="I148" s="334">
        <f>J151</f>
        <v>10</v>
      </c>
      <c r="J148" s="231">
        <f>IF(F148=1,0,IF(F148=2,0,J151))</f>
        <v>0</v>
      </c>
      <c r="K148" s="231">
        <f>IF(F148=1,0,IF(F148=2,0,J151))</f>
        <v>0</v>
      </c>
      <c r="L148" s="231">
        <f>IF(F148=1,0,J151)</f>
        <v>0</v>
      </c>
      <c r="M148" s="448"/>
      <c r="N148" s="609">
        <f>IF(AND(O144&gt;14,B26&lt;250),O144,IF(AND(O144&gt;16,B26&gt;=250),O144,IF(AND(O144&lt;=14,B26&lt;250),14,16)))</f>
        <v>35</v>
      </c>
      <c r="O148" s="610">
        <f>IF(Sheet5!B23&gt;6,41+'Sua R'!C10,40)</f>
        <v>40</v>
      </c>
      <c r="P148" s="604">
        <f>IF(AND(B26&gt;=750,L10=1),33,IF(AND(B26&lt;750,L10=1),30,30+2+Unicore!B90))</f>
        <v>30</v>
      </c>
    </row>
    <row r="149" spans="1:16" ht="17.25" thickTop="1" thickBot="1" x14ac:dyDescent="0.3">
      <c r="A149" s="368"/>
      <c r="B149" s="368">
        <v>70</v>
      </c>
      <c r="C149" s="400"/>
      <c r="D149" s="400"/>
      <c r="E149" s="368" t="s">
        <v>693</v>
      </c>
      <c r="F149" s="369">
        <f>ROUNDUP((F155+H155)/2,0)</f>
        <v>1</v>
      </c>
      <c r="G149" s="369">
        <f>IF(OR(AND(F149=1,B31=40),MAX('Sua R'!I3:I22)&gt;95,MAX('Sua R'!M3:M22)&gt;95,MAX('Sua R'!K3:K22)&gt;95),20,15)</f>
        <v>20</v>
      </c>
      <c r="H149" s="368"/>
      <c r="I149" s="334">
        <f>J151</f>
        <v>10</v>
      </c>
      <c r="J149" s="231">
        <f>IF(F149=1,0,J151)</f>
        <v>0</v>
      </c>
      <c r="K149" s="231">
        <f>IF(F149=2,0,30)</f>
        <v>30</v>
      </c>
      <c r="L149" s="231">
        <f>IF(F149=3,2,IF(F149=4,3,IF(F149=5,4,IF(F149=6,5,2))))</f>
        <v>2</v>
      </c>
      <c r="M149" s="436">
        <f>IF(AND(F149=1,B31=40),40,IF(F149=1,35,G149+30+(L149-1)*K149+IF(B26&gt;1000,30,20)))</f>
        <v>35</v>
      </c>
      <c r="N149" s="366"/>
      <c r="O149" s="366"/>
    </row>
    <row r="150" spans="1:16" ht="17.25" thickTop="1" thickBot="1" x14ac:dyDescent="0.3">
      <c r="A150" s="368"/>
      <c r="B150" s="368">
        <v>95</v>
      </c>
      <c r="C150" s="400"/>
      <c r="D150" s="400"/>
      <c r="E150" s="368" t="s">
        <v>694</v>
      </c>
      <c r="F150" s="369">
        <f>ROUNDUP((F141+H141)/2,0)</f>
        <v>1</v>
      </c>
      <c r="G150" s="368"/>
      <c r="H150" s="368">
        <v>90</v>
      </c>
      <c r="I150" s="231"/>
      <c r="J150" s="231">
        <f>IF(F150=1,0,J151)</f>
        <v>0</v>
      </c>
      <c r="K150" s="268">
        <f>IF(F150=2,0,45)</f>
        <v>45</v>
      </c>
      <c r="L150" s="231"/>
      <c r="M150" s="436"/>
      <c r="N150" s="366"/>
      <c r="O150" s="366"/>
    </row>
    <row r="151" spans="1:16" ht="17.25" thickTop="1" thickBot="1" x14ac:dyDescent="0.3">
      <c r="A151" s="368"/>
      <c r="B151" s="368">
        <v>120</v>
      </c>
      <c r="C151" s="400"/>
      <c r="D151" s="400"/>
      <c r="E151" s="408"/>
      <c r="F151" s="406"/>
      <c r="G151" s="409"/>
      <c r="H151" s="406"/>
      <c r="I151" s="406"/>
      <c r="J151" s="628">
        <f>IF(Sheet5!B22&lt;=30,10,12)</f>
        <v>10</v>
      </c>
      <c r="K151" s="393"/>
      <c r="L151" s="394"/>
      <c r="M151" s="391"/>
      <c r="N151" s="366"/>
      <c r="O151" s="366"/>
    </row>
    <row r="152" spans="1:16" ht="17.25" thickTop="1" thickBot="1" x14ac:dyDescent="0.3">
      <c r="A152" s="406"/>
      <c r="B152" s="392"/>
      <c r="C152" s="411"/>
      <c r="D152" s="405"/>
      <c r="E152" s="368" t="s">
        <v>696</v>
      </c>
      <c r="F152" s="368">
        <f>B31*B32</f>
        <v>90</v>
      </c>
      <c r="G152" s="369">
        <f>F152-F152*0.1</f>
        <v>81</v>
      </c>
      <c r="H152" s="368">
        <f>F152+F152*0.1</f>
        <v>99</v>
      </c>
      <c r="I152" s="407"/>
      <c r="J152" s="395"/>
      <c r="K152" s="396"/>
      <c r="L152" s="397"/>
      <c r="M152" s="391"/>
      <c r="N152" s="366"/>
      <c r="O152" s="366"/>
    </row>
    <row r="153" spans="1:16" ht="17.25" thickTop="1" thickBot="1" x14ac:dyDescent="0.3">
      <c r="A153" s="368" t="s">
        <v>714</v>
      </c>
      <c r="B153" s="414">
        <f>IF(B29/F152&lt;=2.85,B29/F152,"SAI")</f>
        <v>0.11107445287583854</v>
      </c>
      <c r="C153" s="415" t="s">
        <v>715</v>
      </c>
      <c r="D153" s="400"/>
      <c r="J153" s="398"/>
      <c r="L153" s="399"/>
      <c r="M153" s="391"/>
      <c r="N153" s="366"/>
      <c r="O153" s="366"/>
    </row>
    <row r="154" spans="1:16" ht="17.25" thickTop="1" thickBot="1" x14ac:dyDescent="0.3">
      <c r="A154" s="368" t="s">
        <v>716</v>
      </c>
      <c r="B154" s="416">
        <f>B29/G156</f>
        <v>0.10522842904026809</v>
      </c>
      <c r="C154" s="368"/>
      <c r="D154" s="400"/>
      <c r="E154" s="367" t="s">
        <v>835</v>
      </c>
      <c r="F154" s="231" t="s">
        <v>734</v>
      </c>
      <c r="G154" s="231" t="s">
        <v>724</v>
      </c>
      <c r="H154" s="231" t="s">
        <v>734</v>
      </c>
      <c r="I154" s="231" t="s">
        <v>724</v>
      </c>
      <c r="K154" s="401"/>
      <c r="L154" s="402"/>
      <c r="M154" s="391"/>
    </row>
    <row r="155" spans="1:16" ht="19.5" thickTop="1" thickBot="1" x14ac:dyDescent="0.3">
      <c r="A155" s="412"/>
      <c r="B155" s="400"/>
      <c r="C155" s="413"/>
      <c r="D155" s="400"/>
      <c r="E155" s="231"/>
      <c r="F155" s="595">
        <f>Sheet3!J160</f>
        <v>1</v>
      </c>
      <c r="G155" s="595">
        <f>Sheet3!J158</f>
        <v>95</v>
      </c>
      <c r="H155" s="595">
        <f>Sheet3!J162</f>
        <v>0</v>
      </c>
      <c r="I155" s="596">
        <f>Sheet3!J159</f>
        <v>0</v>
      </c>
      <c r="J155" s="400"/>
      <c r="L155" s="391"/>
      <c r="M155" s="391"/>
    </row>
    <row r="156" spans="1:16" ht="17.25" thickTop="1" thickBot="1" x14ac:dyDescent="0.3">
      <c r="A156" s="391"/>
      <c r="B156" s="391"/>
      <c r="C156" s="391"/>
      <c r="D156" s="391"/>
      <c r="E156" s="368" t="s">
        <v>733</v>
      </c>
      <c r="F156" s="410">
        <f>F155+H155</f>
        <v>1</v>
      </c>
      <c r="G156" s="231">
        <f>G155*F155+I155*H155</f>
        <v>95</v>
      </c>
      <c r="H156" s="368"/>
      <c r="I156" s="368"/>
      <c r="J156" s="391"/>
      <c r="K156" s="402"/>
      <c r="L156" s="391"/>
      <c r="M156" s="391"/>
      <c r="N156" s="366"/>
    </row>
    <row r="157" spans="1:16" ht="16.5" thickTop="1" x14ac:dyDescent="0.25">
      <c r="A157" s="391"/>
      <c r="B157" s="391"/>
      <c r="C157" s="391"/>
      <c r="D157" s="391"/>
      <c r="E157" s="391"/>
      <c r="F157" s="391"/>
      <c r="G157" s="391"/>
      <c r="H157" s="391"/>
      <c r="I157" s="391"/>
      <c r="J157" s="391"/>
      <c r="K157" s="391"/>
      <c r="L157" s="403"/>
      <c r="M157" s="391"/>
      <c r="N157" s="366"/>
    </row>
    <row r="158" spans="1:16" ht="15.75" thickBot="1" x14ac:dyDescent="0.3"/>
    <row r="159" spans="1:16" ht="16.5" thickTop="1" thickBot="1" x14ac:dyDescent="0.3">
      <c r="E159" s="135" t="s">
        <v>682</v>
      </c>
      <c r="F159" s="231" t="s">
        <v>685</v>
      </c>
      <c r="G159" s="231" t="s">
        <v>149</v>
      </c>
    </row>
    <row r="160" spans="1:16" ht="16.5" thickTop="1" thickBot="1" x14ac:dyDescent="0.3">
      <c r="E160" s="231" t="s">
        <v>683</v>
      </c>
      <c r="F160" s="231">
        <f>L168-2</f>
        <v>12</v>
      </c>
      <c r="G160" s="231">
        <f>F160*4+40+J169*2+B74+2+10</f>
        <v>498</v>
      </c>
    </row>
    <row r="161" spans="1:18" ht="16.5" thickTop="1" thickBot="1" x14ac:dyDescent="0.3">
      <c r="E161" s="231" t="s">
        <v>684</v>
      </c>
      <c r="F161" s="231">
        <f>L168-2</f>
        <v>12</v>
      </c>
      <c r="G161" s="231">
        <f>H93+F161*4+G66*2+2+10</f>
        <v>196.5</v>
      </c>
    </row>
    <row r="162" spans="1:18" ht="16.5" thickTop="1" thickBot="1" x14ac:dyDescent="0.3"/>
    <row r="163" spans="1:18" ht="16.5" thickTop="1" thickBot="1" x14ac:dyDescent="0.3">
      <c r="E163" s="135" t="s">
        <v>495</v>
      </c>
      <c r="F163" s="1219" t="s">
        <v>496</v>
      </c>
      <c r="G163" s="1219" t="s">
        <v>497</v>
      </c>
      <c r="H163" s="1219" t="s">
        <v>681</v>
      </c>
      <c r="I163" s="1219" t="s">
        <v>4333</v>
      </c>
    </row>
    <row r="164" spans="1:18" ht="16.5" thickTop="1" thickBot="1" x14ac:dyDescent="0.3">
      <c r="E164" s="1219"/>
      <c r="F164" s="1219">
        <f>B21-2*F51-20</f>
        <v>379</v>
      </c>
      <c r="G164" s="1219">
        <f>IF(B26&lt;1500,6,8)</f>
        <v>6</v>
      </c>
      <c r="H164" s="1219">
        <f>IF(B26&lt;1500,60,80)</f>
        <v>60</v>
      </c>
      <c r="I164" s="1219"/>
    </row>
    <row r="165" spans="1:18" ht="16.5" thickTop="1" thickBot="1" x14ac:dyDescent="0.3"/>
    <row r="166" spans="1:18" ht="16.5" thickTop="1" thickBot="1" x14ac:dyDescent="0.3">
      <c r="A166" s="453" t="s">
        <v>776</v>
      </c>
      <c r="B166" s="454" t="s">
        <v>778</v>
      </c>
      <c r="C166" s="284"/>
      <c r="E166" s="135" t="s">
        <v>599</v>
      </c>
    </row>
    <row r="167" spans="1:18" ht="16.5" thickTop="1" thickBot="1" x14ac:dyDescent="0.3">
      <c r="A167" s="455" t="s">
        <v>775</v>
      </c>
      <c r="B167" s="422">
        <f>B37+B39/2+12+13</f>
        <v>528</v>
      </c>
      <c r="C167" s="290"/>
      <c r="E167" s="155" t="s">
        <v>597</v>
      </c>
      <c r="F167" s="155"/>
      <c r="G167" s="155">
        <f>IF(OR(H169&gt;I169,H169=I169),I169,H169)</f>
        <v>30</v>
      </c>
      <c r="H167" s="231"/>
      <c r="I167" s="231"/>
      <c r="J167" s="135" t="s">
        <v>757</v>
      </c>
      <c r="K167" s="135" t="s">
        <v>758</v>
      </c>
      <c r="L167" s="135" t="s">
        <v>759</v>
      </c>
      <c r="M167" s="135" t="s">
        <v>780</v>
      </c>
      <c r="N167" s="280" t="s">
        <v>802</v>
      </c>
      <c r="O167" s="139" t="s">
        <v>803</v>
      </c>
      <c r="P167" s="228" t="s">
        <v>989</v>
      </c>
      <c r="Q167" s="335" t="s">
        <v>3730</v>
      </c>
      <c r="R167" s="1048" t="s">
        <v>4321</v>
      </c>
    </row>
    <row r="168" spans="1:18" ht="16.5" thickTop="1" thickBot="1" x14ac:dyDescent="0.3">
      <c r="A168" s="455" t="s">
        <v>777</v>
      </c>
      <c r="B168" s="422">
        <f>B20/2-20-G25</f>
        <v>625</v>
      </c>
      <c r="C168" s="290"/>
      <c r="E168" s="155" t="s">
        <v>598</v>
      </c>
      <c r="F168" s="155"/>
      <c r="G168" s="155">
        <f>(E169-G167)/2</f>
        <v>40</v>
      </c>
      <c r="H168" s="231"/>
      <c r="I168" s="231"/>
      <c r="J168" s="231">
        <v>30</v>
      </c>
      <c r="K168" s="231">
        <f>IF(B39&gt;110,(B39-10)-(B39+10)/2-K169/2,(B39-10)/2)</f>
        <v>22.5</v>
      </c>
      <c r="L168" s="231">
        <f>IF(B26&lt;=160,12,IF(AND(B26&gt;160,B26&lt;1250),14,16))</f>
        <v>14</v>
      </c>
      <c r="M168" s="321">
        <f>IF(B39&lt;=100,30,50)</f>
        <v>50</v>
      </c>
      <c r="N168" s="261">
        <f>IF(B26&lt;=100,0,5)</f>
        <v>5</v>
      </c>
      <c r="O168" s="231">
        <f>IF(B26&gt;1250,50,45)</f>
        <v>45</v>
      </c>
      <c r="P168" s="228">
        <f>IF(B26&gt;1500,15,10)</f>
        <v>10</v>
      </c>
      <c r="Q168" s="228">
        <f>IF(Sheet5!B17&gt;1250,ROUND(Sheet2!R168-1-Sheet2!G66-Sheet2!F93-5,0),40)</f>
        <v>40</v>
      </c>
      <c r="R168" s="1048">
        <f>Sheet5!B25/2+C79+Sheet5!E20</f>
        <v>162.48480000000001</v>
      </c>
    </row>
    <row r="169" spans="1:18" ht="16.5" thickTop="1" thickBot="1" x14ac:dyDescent="0.3">
      <c r="A169" s="289"/>
      <c r="B169" s="422">
        <f>B168-B167</f>
        <v>97</v>
      </c>
      <c r="C169" s="290">
        <v>0</v>
      </c>
      <c r="E169" s="332">
        <f>B39-10</f>
        <v>110</v>
      </c>
      <c r="F169" s="321">
        <v>3</v>
      </c>
      <c r="G169" s="321">
        <f>E169/F169</f>
        <v>36.666666666666664</v>
      </c>
      <c r="H169" s="231">
        <f>MROUND(G169,10)</f>
        <v>40</v>
      </c>
      <c r="I169" s="231">
        <f>E169-H169*2</f>
        <v>30</v>
      </c>
      <c r="J169" s="231">
        <f>IF(J170&gt;=60,6,4)</f>
        <v>4</v>
      </c>
      <c r="K169" s="231">
        <f>IF(B39&gt;110,(B39-30)/2,0)</f>
        <v>45</v>
      </c>
      <c r="L169" s="188"/>
      <c r="M169" s="449">
        <f>IF(B37+B39/2+12+13+A174+G25&gt;Sheet5!B11/2-5,0,B37+B39/2+12+13+A174+G25/2)</f>
        <v>650</v>
      </c>
    </row>
    <row r="170" spans="1:18" ht="16.5" thickTop="1" thickBot="1" x14ac:dyDescent="0.3">
      <c r="A170" s="289">
        <f>B168+C170</f>
        <v>630</v>
      </c>
      <c r="B170" s="188">
        <f>A170-B167</f>
        <v>102</v>
      </c>
      <c r="C170" s="290">
        <v>5</v>
      </c>
      <c r="E170" s="268">
        <f>MOD(E169,F169)</f>
        <v>2</v>
      </c>
      <c r="F170" s="231"/>
      <c r="G170" s="231"/>
      <c r="H170" s="249"/>
      <c r="I170" s="231"/>
      <c r="J170" s="231">
        <f>IF(B26&lt;100,40,IF(AND(B26&gt;=100,B26&lt;=320),50,IF(AND(B26&gt;320,B26&lt;1250),60,IF(AND(B26&gt;=1250,B26&lt;=1800),80,80))))</f>
        <v>50</v>
      </c>
      <c r="K170" s="262">
        <f>IF(B39&gt;110,8,4)</f>
        <v>8</v>
      </c>
      <c r="M170" s="335"/>
    </row>
    <row r="171" spans="1:18" ht="16.5" thickTop="1" thickBot="1" x14ac:dyDescent="0.3">
      <c r="A171" s="289">
        <f>B168+C171</f>
        <v>635</v>
      </c>
      <c r="B171" s="188">
        <f>A171-B167</f>
        <v>107</v>
      </c>
      <c r="C171" s="290">
        <v>10</v>
      </c>
      <c r="E171" s="155" t="s">
        <v>619</v>
      </c>
      <c r="F171" s="231">
        <f>(B74-B86)/2+10+P168</f>
        <v>40</v>
      </c>
      <c r="G171" s="231" t="s">
        <v>688</v>
      </c>
    </row>
    <row r="172" spans="1:18" ht="16.5" thickTop="1" thickBot="1" x14ac:dyDescent="0.3">
      <c r="A172" s="289">
        <f>B168+C172</f>
        <v>640</v>
      </c>
      <c r="B172" s="188">
        <f>A172-B167</f>
        <v>112</v>
      </c>
      <c r="C172" s="290">
        <v>15</v>
      </c>
    </row>
    <row r="173" spans="1:18" ht="16.5" thickTop="1" thickBot="1" x14ac:dyDescent="0.3">
      <c r="A173" s="289"/>
      <c r="B173" s="188"/>
      <c r="C173" s="290"/>
      <c r="E173" s="135" t="s">
        <v>630</v>
      </c>
      <c r="F173" s="231" t="s">
        <v>620</v>
      </c>
      <c r="G173" s="231" t="s">
        <v>621</v>
      </c>
      <c r="H173" s="231" t="s">
        <v>19</v>
      </c>
    </row>
    <row r="174" spans="1:18" ht="16.5" thickTop="1" thickBot="1" x14ac:dyDescent="0.3">
      <c r="A174" s="314">
        <f>IF(B169&gt;=5,B169,IF(B170&gt;=5,B170,IF(B171&gt;=5,B171,IF(B172&gt;=5,B172,"SAI"))))</f>
        <v>97</v>
      </c>
      <c r="B174" s="190">
        <f>VLOOKUP(A174,B169:C172,2,FALSE)</f>
        <v>0</v>
      </c>
      <c r="C174" s="296"/>
      <c r="E174" s="231" t="s">
        <v>677</v>
      </c>
      <c r="F174" s="268">
        <f>C39+15*2</f>
        <v>82.5</v>
      </c>
      <c r="G174" s="231">
        <v>50</v>
      </c>
      <c r="H174" s="231">
        <v>10</v>
      </c>
      <c r="I174" s="335" t="s">
        <v>680</v>
      </c>
    </row>
    <row r="175" spans="1:18" ht="16.5" thickTop="1" thickBot="1" x14ac:dyDescent="0.3">
      <c r="E175" s="231" t="s">
        <v>678</v>
      </c>
      <c r="F175" s="268">
        <f>B86+5+F171+B39/2+B60/2</f>
        <v>485</v>
      </c>
      <c r="G175" s="268">
        <f>20+B31</f>
        <v>50</v>
      </c>
      <c r="H175" s="231">
        <v>2</v>
      </c>
      <c r="I175" s="335" t="s">
        <v>680</v>
      </c>
    </row>
    <row r="176" spans="1:18" ht="16.5" thickTop="1" thickBot="1" x14ac:dyDescent="0.3">
      <c r="E176" s="231" t="s">
        <v>679</v>
      </c>
      <c r="F176" s="334">
        <f>B74-10</f>
        <v>380</v>
      </c>
      <c r="G176" s="231">
        <f>(F93+1+G66+7+40/2)*2+30</f>
        <v>222.5</v>
      </c>
      <c r="H176" s="231">
        <v>2</v>
      </c>
      <c r="I176" s="335" t="s">
        <v>680</v>
      </c>
    </row>
    <row r="177" spans="1:15" ht="15.75" thickTop="1" x14ac:dyDescent="0.25">
      <c r="A177" s="483" t="s">
        <v>807</v>
      </c>
      <c r="B177" s="283"/>
      <c r="C177" s="283">
        <f>C34-C33</f>
        <v>17</v>
      </c>
      <c r="D177" s="284"/>
    </row>
    <row r="178" spans="1:15" x14ac:dyDescent="0.25">
      <c r="A178" s="289"/>
      <c r="B178" s="188"/>
      <c r="C178" s="188"/>
      <c r="D178" s="290"/>
    </row>
    <row r="179" spans="1:15" x14ac:dyDescent="0.25">
      <c r="A179" s="289">
        <f>$C$34-$C$33+(($C$33-1)^2-(B39/2)^2)^(1/2)</f>
        <v>62</v>
      </c>
      <c r="B179" s="188"/>
      <c r="C179" s="480">
        <f>A190</f>
        <v>26.25</v>
      </c>
      <c r="D179" s="290">
        <v>1</v>
      </c>
      <c r="E179" s="333" t="s">
        <v>632</v>
      </c>
      <c r="H179" s="228" t="s">
        <v>634</v>
      </c>
    </row>
    <row r="180" spans="1:15" x14ac:dyDescent="0.25">
      <c r="A180" s="289">
        <f t="shared" ref="A180:A186" si="12">$C$34-$C$33+(($C$33-1)^2-(B40/2)^2)^(1/2)</f>
        <v>67.990195135927848</v>
      </c>
      <c r="B180" s="188">
        <f>A180-A179</f>
        <v>5.9901951359278485</v>
      </c>
      <c r="C180" s="480">
        <f>A190+A191</f>
        <v>35.25</v>
      </c>
      <c r="D180" s="290">
        <v>2</v>
      </c>
      <c r="E180" s="228" t="s">
        <v>633</v>
      </c>
      <c r="F180" s="228">
        <f>A69</f>
        <v>2</v>
      </c>
      <c r="G180" s="335">
        <f>B69</f>
        <v>2</v>
      </c>
      <c r="H180" s="228">
        <f>ROUNDUP(G180,0)</f>
        <v>2</v>
      </c>
    </row>
    <row r="181" spans="1:15" x14ac:dyDescent="0.25">
      <c r="A181" s="289">
        <f t="shared" si="12"/>
        <v>72.901699437494742</v>
      </c>
      <c r="B181" s="188">
        <f t="shared" ref="B181:B186" si="13">A181-A180</f>
        <v>4.9115043015668931</v>
      </c>
      <c r="C181" s="480">
        <f>SUM($A$190:A192)</f>
        <v>43.75</v>
      </c>
      <c r="D181" s="290">
        <v>3</v>
      </c>
      <c r="F181" s="228">
        <f>IF(AND(F180=E194,G180=F194),G194,IF(AND(F180=E195,G180=F195),G195,IF(AND(F180=E196,G180=F196),G196,IF(AND(F180=E197,G180=F197),G197,IF(AND(F180=E198,G180=F198),G198,IF(AND(F180=E199,G180=F199),G199,IF(AND(F180=E200,G180=F200),G200,IF(AND(F180=E201,G180=F201),G201,"SAI"))))))))</f>
        <v>0.25</v>
      </c>
      <c r="G181" s="335">
        <f>IF(AND(F180=E194,G180=F194),H194,IF(AND(F180=E195,G180=F195),H195,IF(AND(F180=E196,G180=F196),H196,IF(AND(F180=E197,G180=F197),H197,IF(AND(F180=E198,G180=F198),H198,IF(AND(F180=E199,G180=F199),H199,IF(AND(F180=E200,G180=F200),H200,IF(AND(F180=E201,G180=F201),H201,"SAI"))))))))</f>
        <v>0.625</v>
      </c>
    </row>
    <row r="182" spans="1:15" x14ac:dyDescent="0.25">
      <c r="A182" s="289">
        <f t="shared" si="12"/>
        <v>77</v>
      </c>
      <c r="B182" s="188">
        <f t="shared" si="13"/>
        <v>4.0983005625052584</v>
      </c>
      <c r="C182" s="480">
        <f>SUM($A$190:A193)</f>
        <v>50.25</v>
      </c>
      <c r="D182" s="290">
        <v>4</v>
      </c>
      <c r="F182" s="335" t="str">
        <f>IF(AND(F180=E194,G180=F194),I194,IF(AND(F180=E195,G180=F195),I195,IF(AND(F180=E196,G180=F196),I196,IF(AND(F180=E197,G180=F197),I197,IF(AND(F180=E198,G180=F198),I198,IF(AND(F180=E199,G180=F199),I199,IF(AND(F180=E200,G180=F200),I200,IF(AND(F180=E201,G180=F201),I201,"SAI"))))))))</f>
        <v>(toàn bộ)</v>
      </c>
      <c r="G182" s="228" t="str">
        <f>IF(AND(F180=E194,G180=F194),J194,IF(AND(F180=E195,G180=F195),J195,IF(AND(F180=E196,G180=F196),J196,IF(AND(F180=E197,G180=F197),J197,IF(AND(F180=E198,G180=F198),J198,IF(AND(F180=E199,G180=F199),J199,IF(AND(F180=E200,G180=F200),J200,IF(AND(F180=E201,G180=F201),J201,"SAI"))))))))</f>
        <v>(toàn bộ)</v>
      </c>
    </row>
    <row r="183" spans="1:15" x14ac:dyDescent="0.25">
      <c r="A183" s="289">
        <f t="shared" si="12"/>
        <v>85.738635424337602</v>
      </c>
      <c r="B183" s="188">
        <f t="shared" si="13"/>
        <v>8.7386354243376019</v>
      </c>
      <c r="C183" s="480">
        <f>SUM($A$190:A194)</f>
        <v>62.25</v>
      </c>
      <c r="D183" s="290">
        <v>5</v>
      </c>
      <c r="F183" s="228">
        <f>ROUND(F181*I248,0)</f>
        <v>3</v>
      </c>
      <c r="G183" s="228">
        <f>ROUND(G181*I248,0)</f>
        <v>7</v>
      </c>
      <c r="H183" s="228">
        <f>F183+1</f>
        <v>4</v>
      </c>
      <c r="I183" s="228">
        <f>G183+1</f>
        <v>8</v>
      </c>
      <c r="K183" s="335"/>
      <c r="L183" s="1185" t="s">
        <v>4110</v>
      </c>
      <c r="M183" s="335"/>
      <c r="N183" s="335"/>
      <c r="O183" s="335"/>
    </row>
    <row r="184" spans="1:15" x14ac:dyDescent="0.25">
      <c r="A184" s="289">
        <f t="shared" si="12"/>
        <v>92</v>
      </c>
      <c r="B184" s="188">
        <f t="shared" si="13"/>
        <v>6.2613645756623981</v>
      </c>
      <c r="C184" s="480">
        <f>SUM($A$190:A195)</f>
        <v>62.25</v>
      </c>
      <c r="D184" s="290">
        <v>6</v>
      </c>
      <c r="E184" s="228" t="s">
        <v>635</v>
      </c>
      <c r="F184" s="345" t="str">
        <f>F183&amp;"-"&amp;H183&amp;F182</f>
        <v>3-4(toàn bộ)</v>
      </c>
      <c r="G184" s="345" t="str">
        <f>IF(G181=0," ",G183&amp;"-"&amp;I183&amp;G182)</f>
        <v>7-8(toàn bộ)</v>
      </c>
      <c r="H184" s="335" t="str">
        <f>G183&amp;"-"&amp;I183&amp;G182</f>
        <v>7-8(toàn bộ)</v>
      </c>
      <c r="K184" s="335"/>
      <c r="L184" s="1185">
        <v>2</v>
      </c>
      <c r="M184" s="335"/>
      <c r="N184" s="335"/>
      <c r="O184" s="335"/>
    </row>
    <row r="185" spans="1:15" x14ac:dyDescent="0.25">
      <c r="A185" s="289">
        <f t="shared" si="12"/>
        <v>92</v>
      </c>
      <c r="B185" s="188">
        <f t="shared" si="13"/>
        <v>0</v>
      </c>
      <c r="C185" s="480">
        <f>SUM($A$190:A196)</f>
        <v>62.25</v>
      </c>
      <c r="D185" s="290">
        <v>7</v>
      </c>
      <c r="K185" s="335"/>
      <c r="L185" s="1185">
        <v>3</v>
      </c>
      <c r="M185" s="335"/>
      <c r="N185" s="335"/>
      <c r="O185" s="335"/>
    </row>
    <row r="186" spans="1:15" x14ac:dyDescent="0.25">
      <c r="A186" s="289">
        <f t="shared" si="12"/>
        <v>92</v>
      </c>
      <c r="B186" s="188">
        <f t="shared" si="13"/>
        <v>0</v>
      </c>
      <c r="C186" s="480">
        <f>SUM($A$190:A197)</f>
        <v>62.25</v>
      </c>
      <c r="D186" s="290">
        <v>8</v>
      </c>
      <c r="E186" s="228" t="s">
        <v>664</v>
      </c>
      <c r="F186" s="228">
        <f>A70</f>
        <v>3</v>
      </c>
      <c r="G186" s="335">
        <f>B70</f>
        <v>2.5</v>
      </c>
      <c r="H186" s="335">
        <f>ROUNDUP(G186,0)</f>
        <v>3</v>
      </c>
      <c r="K186" s="335"/>
      <c r="L186" s="1185">
        <v>4</v>
      </c>
      <c r="M186" s="335"/>
      <c r="N186" s="335"/>
      <c r="O186" s="335"/>
    </row>
    <row r="187" spans="1:15" x14ac:dyDescent="0.25">
      <c r="A187" s="289"/>
      <c r="B187" s="188"/>
      <c r="C187" s="188"/>
      <c r="D187" s="290"/>
      <c r="F187" s="228" t="str">
        <f>IF(AND(F186=E205,G186=F205),G205,IF(AND(F186=E206,G186=F206),G206,IF(AND(F186=E207,G186=F207),G207,IF(AND(F186=E208,G186=F208),G208,IF(AND(F186=E209,G186=F209),G209,IF(AND(F186=E210,G186=F210),G210,IF(AND(F186=E211,G186=F211),G211,IF(AND(F186=E212,G186=F212),G212,"SAI"))))))))</f>
        <v>SAI</v>
      </c>
      <c r="G187" s="228" t="str">
        <f>IF(AND(F186=E205,G186=F205),H205,IF(AND(F186=E206,G186=F206),H206,IF(AND(F186=E207,G186=F207),H207,IF(AND(F186=E208,G186=F208),H208,IF(AND(F186=E209,G186=F209),H209,IF(AND(F186=E210,G186=F210),H210,IF(AND(F186=E211,G186=F211),H211,IF(AND(F186=E212,G186=F212),H212,"SAI"))))))))</f>
        <v>SAI</v>
      </c>
      <c r="K187" s="335"/>
      <c r="L187" s="1185">
        <v>5</v>
      </c>
      <c r="M187" s="335"/>
      <c r="N187" s="335"/>
      <c r="O187" s="335"/>
    </row>
    <row r="188" spans="1:15" x14ac:dyDescent="0.25">
      <c r="A188" s="289">
        <f>B58</f>
        <v>50.25</v>
      </c>
      <c r="B188" s="480">
        <f>C185-A188</f>
        <v>12</v>
      </c>
      <c r="C188" s="188"/>
      <c r="D188" s="290"/>
      <c r="F188" s="228" t="str">
        <f>IF(AND(F186=E205,G186=F205),I205,IF(AND(F186=E206,G186=F206),I206,IF(AND(F186=E207,G186=F207),I207,IF(AND(F186=E208,G186=F208),I208,IF(AND(F186=E209,G186=F209),I209,IF(AND(F186=E210,G186=F210),I210,IF(AND(F186=E211,G186=F211),I211,IF(AND(F186=E212,G186=F212),I212,"SAI"))))))))</f>
        <v>SAI</v>
      </c>
      <c r="G188" s="228" t="str">
        <f>IF(AND(F186=E205,G186=F205),J205,IF(AND(F186=E206,G186=F206),J206,IF(AND(F186=E207,G186=F207),J207,IF(AND(F186=E208,G186=F208),J208,IF(AND(F186=E209,G186=F209),J209,IF(AND(F186=E210,G186=F210),J210,IF(AND(F186=E211,G186=F211),J211,IF(AND(F186=E212,G186=F212),J212,"SAI"))))))))</f>
        <v>SAI</v>
      </c>
      <c r="K188" s="335"/>
      <c r="L188" s="335"/>
      <c r="M188" s="335"/>
      <c r="N188" s="335"/>
      <c r="O188" s="335"/>
    </row>
    <row r="189" spans="1:15" x14ac:dyDescent="0.25">
      <c r="A189" s="289"/>
      <c r="B189" s="188"/>
      <c r="C189" s="188"/>
      <c r="D189" s="290"/>
      <c r="F189" s="228" t="e">
        <f>ROUND(F187*G248,0)</f>
        <v>#VALUE!</v>
      </c>
      <c r="G189" s="228" t="e">
        <f>ROUND(G187*G248,0)</f>
        <v>#VALUE!</v>
      </c>
      <c r="H189" s="228" t="e">
        <f>F189+1</f>
        <v>#VALUE!</v>
      </c>
      <c r="I189" s="228" t="e">
        <f>G189+1</f>
        <v>#VALUE!</v>
      </c>
      <c r="K189" s="335"/>
      <c r="L189" s="335"/>
      <c r="M189" s="335"/>
      <c r="N189" s="335"/>
      <c r="O189" s="335"/>
    </row>
    <row r="190" spans="1:15" x14ac:dyDescent="0.25">
      <c r="A190" s="481">
        <f>D39</f>
        <v>26.25</v>
      </c>
      <c r="B190" s="480">
        <f>A179-C179</f>
        <v>35.75</v>
      </c>
      <c r="C190" s="188"/>
      <c r="D190" s="290"/>
      <c r="E190" s="335" t="s">
        <v>635</v>
      </c>
      <c r="F190" s="345" t="e">
        <f>F189&amp;"-"&amp;H189&amp;F188</f>
        <v>#VALUE!</v>
      </c>
      <c r="G190" s="345" t="e">
        <f>IF(G187=0," ",G189&amp;"-"&amp;I189&amp;G188)</f>
        <v>#VALUE!</v>
      </c>
      <c r="K190" s="335"/>
      <c r="L190" s="335"/>
      <c r="M190" s="335"/>
      <c r="N190" s="335"/>
      <c r="O190" s="335"/>
    </row>
    <row r="191" spans="1:15" x14ac:dyDescent="0.25">
      <c r="A191" s="481">
        <f t="shared" ref="A191:A197" si="14">D40</f>
        <v>9</v>
      </c>
      <c r="B191" s="480">
        <f t="shared" ref="B191:B197" si="15">A180-C180</f>
        <v>32.740195135927848</v>
      </c>
      <c r="C191" s="188"/>
      <c r="D191" s="290"/>
      <c r="K191" s="422"/>
      <c r="L191" s="422" t="s">
        <v>4111</v>
      </c>
      <c r="M191" s="422" t="s">
        <v>3674</v>
      </c>
      <c r="N191" s="422"/>
      <c r="O191" s="422"/>
    </row>
    <row r="192" spans="1:15" ht="15.75" thickBot="1" x14ac:dyDescent="0.3">
      <c r="A192" s="481">
        <f t="shared" si="14"/>
        <v>8.5</v>
      </c>
      <c r="B192" s="480">
        <f t="shared" si="15"/>
        <v>29.151699437494742</v>
      </c>
      <c r="C192" s="188"/>
      <c r="D192" s="290"/>
      <c r="E192" s="333" t="s">
        <v>8</v>
      </c>
      <c r="K192" s="422"/>
      <c r="L192" s="1186">
        <f>Sheet5!E17</f>
        <v>54.4848</v>
      </c>
      <c r="M192" s="1186">
        <f>Sheet5!F17</f>
        <v>54.4848</v>
      </c>
      <c r="N192" s="422"/>
      <c r="O192" s="422"/>
    </row>
    <row r="193" spans="1:15" ht="15.75" thickBot="1" x14ac:dyDescent="0.3">
      <c r="A193" s="481">
        <f t="shared" si="14"/>
        <v>6.5</v>
      </c>
      <c r="B193" s="480">
        <f t="shared" si="15"/>
        <v>26.75</v>
      </c>
      <c r="C193" s="188"/>
      <c r="D193" s="290"/>
      <c r="E193" s="479" t="s">
        <v>637</v>
      </c>
      <c r="F193" s="287"/>
      <c r="G193" s="336" t="s">
        <v>636</v>
      </c>
      <c r="H193" s="287"/>
      <c r="I193" s="285" t="s">
        <v>638</v>
      </c>
      <c r="J193" s="287"/>
      <c r="K193" s="422"/>
      <c r="L193" s="422" t="s">
        <v>4112</v>
      </c>
      <c r="M193" s="422" t="s">
        <v>4113</v>
      </c>
      <c r="N193" s="422" t="s">
        <v>4114</v>
      </c>
      <c r="O193" s="422" t="s">
        <v>4115</v>
      </c>
    </row>
    <row r="194" spans="1:15" x14ac:dyDescent="0.25">
      <c r="A194" s="481">
        <f t="shared" si="14"/>
        <v>12</v>
      </c>
      <c r="B194" s="480">
        <f t="shared" si="15"/>
        <v>23.488635424337602</v>
      </c>
      <c r="C194" s="188"/>
      <c r="D194" s="290"/>
      <c r="E194" s="188">
        <v>0</v>
      </c>
      <c r="F194" s="290">
        <v>0.5</v>
      </c>
      <c r="G194" s="289">
        <f>2/6</f>
        <v>0.33333333333333331</v>
      </c>
      <c r="H194" s="290">
        <v>0</v>
      </c>
      <c r="I194" s="289" t="s">
        <v>665</v>
      </c>
      <c r="J194" s="290" t="s">
        <v>463</v>
      </c>
      <c r="K194" s="422" t="str">
        <f>E194&amp;F194</f>
        <v>00.5</v>
      </c>
      <c r="L194" s="1187">
        <f>M192</f>
        <v>54.4848</v>
      </c>
      <c r="M194" s="1187">
        <f>L192</f>
        <v>54.4848</v>
      </c>
      <c r="N194" s="1187">
        <f>L192</f>
        <v>54.4848</v>
      </c>
      <c r="O194" s="1187">
        <f>L192</f>
        <v>54.4848</v>
      </c>
    </row>
    <row r="195" spans="1:15" x14ac:dyDescent="0.25">
      <c r="A195" s="481">
        <f t="shared" si="14"/>
        <v>0</v>
      </c>
      <c r="B195" s="480">
        <f t="shared" si="15"/>
        <v>29.75</v>
      </c>
      <c r="C195" s="188"/>
      <c r="D195" s="290"/>
      <c r="E195" s="188">
        <v>0</v>
      </c>
      <c r="F195" s="290">
        <v>1</v>
      </c>
      <c r="G195" s="289">
        <f>3/8</f>
        <v>0.375</v>
      </c>
      <c r="H195" s="290">
        <v>0</v>
      </c>
      <c r="I195" s="289" t="s">
        <v>666</v>
      </c>
      <c r="J195" s="290" t="s">
        <v>463</v>
      </c>
      <c r="K195" s="422" t="str">
        <f t="shared" ref="K195:K212" si="16">E195&amp;F195</f>
        <v>01</v>
      </c>
      <c r="L195" s="1187">
        <f>M192</f>
        <v>54.4848</v>
      </c>
      <c r="M195" s="1187">
        <f>L192</f>
        <v>54.4848</v>
      </c>
      <c r="N195" s="1187">
        <f>M192</f>
        <v>54.4848</v>
      </c>
      <c r="O195" s="1187">
        <f>L192</f>
        <v>54.4848</v>
      </c>
    </row>
    <row r="196" spans="1:15" s="335" customFormat="1" x14ac:dyDescent="0.25">
      <c r="A196" s="481">
        <f t="shared" si="14"/>
        <v>0</v>
      </c>
      <c r="B196" s="480">
        <f>A185-C185</f>
        <v>29.75</v>
      </c>
      <c r="C196" s="188"/>
      <c r="D196" s="290"/>
      <c r="E196" s="188">
        <v>0</v>
      </c>
      <c r="F196" s="290">
        <v>1.5</v>
      </c>
      <c r="G196" s="289">
        <f>3/10</f>
        <v>0.3</v>
      </c>
      <c r="H196" s="290">
        <f>6/10</f>
        <v>0.6</v>
      </c>
      <c r="I196" s="289" t="s">
        <v>666</v>
      </c>
      <c r="J196" s="290" t="s">
        <v>665</v>
      </c>
      <c r="K196" s="422" t="str">
        <f t="shared" si="16"/>
        <v>01.5</v>
      </c>
      <c r="L196" s="1187">
        <f>M192</f>
        <v>54.4848</v>
      </c>
      <c r="M196" s="1187">
        <f>L192</f>
        <v>54.4848</v>
      </c>
      <c r="N196" s="1187">
        <f>L192</f>
        <v>54.4848</v>
      </c>
      <c r="O196" s="1187">
        <f>L192</f>
        <v>54.4848</v>
      </c>
    </row>
    <row r="197" spans="1:15" x14ac:dyDescent="0.25">
      <c r="A197" s="481">
        <f t="shared" si="14"/>
        <v>0</v>
      </c>
      <c r="B197" s="480">
        <f t="shared" si="15"/>
        <v>29.75</v>
      </c>
      <c r="C197" s="188"/>
      <c r="D197" s="290"/>
      <c r="E197" s="188">
        <v>0</v>
      </c>
      <c r="F197" s="290">
        <v>2</v>
      </c>
      <c r="G197" s="289">
        <f>3/12</f>
        <v>0.25</v>
      </c>
      <c r="H197" s="290">
        <f>7/12</f>
        <v>0.58333333333333337</v>
      </c>
      <c r="I197" s="289" t="s">
        <v>666</v>
      </c>
      <c r="J197" s="289" t="s">
        <v>666</v>
      </c>
      <c r="K197" s="422" t="str">
        <f t="shared" si="16"/>
        <v>02</v>
      </c>
      <c r="L197" s="1187">
        <f>M192</f>
        <v>54.4848</v>
      </c>
      <c r="M197" s="1187">
        <f>L192</f>
        <v>54.4848</v>
      </c>
      <c r="N197" s="1187">
        <f>M192</f>
        <v>54.4848</v>
      </c>
      <c r="O197" s="1187">
        <f>L192</f>
        <v>54.4848</v>
      </c>
    </row>
    <row r="198" spans="1:15" x14ac:dyDescent="0.25">
      <c r="A198" s="289"/>
      <c r="B198" s="188"/>
      <c r="C198" s="188"/>
      <c r="D198" s="290"/>
      <c r="E198" s="188">
        <v>1</v>
      </c>
      <c r="F198" s="290">
        <v>1</v>
      </c>
      <c r="G198" s="289">
        <f>4/10</f>
        <v>0.4</v>
      </c>
      <c r="H198" s="290">
        <v>0</v>
      </c>
      <c r="I198" s="289" t="s">
        <v>667</v>
      </c>
      <c r="J198" s="289" t="s">
        <v>463</v>
      </c>
      <c r="K198" s="422" t="str">
        <f t="shared" si="16"/>
        <v>11</v>
      </c>
      <c r="L198" s="1187">
        <f>M192</f>
        <v>54.4848</v>
      </c>
      <c r="M198" s="1187">
        <f>L192</f>
        <v>54.4848</v>
      </c>
      <c r="N198" s="1187">
        <f>M192</f>
        <v>54.4848</v>
      </c>
      <c r="O198" s="1187">
        <f>L192</f>
        <v>54.4848</v>
      </c>
    </row>
    <row r="199" spans="1:15" x14ac:dyDescent="0.25">
      <c r="A199" s="289"/>
      <c r="B199" s="188"/>
      <c r="C199" s="188"/>
      <c r="D199" s="290"/>
      <c r="E199" s="188">
        <v>1</v>
      </c>
      <c r="F199" s="290">
        <v>1.5</v>
      </c>
      <c r="G199" s="289">
        <f>4/12</f>
        <v>0.33333333333333331</v>
      </c>
      <c r="H199" s="290">
        <f>8/12</f>
        <v>0.66666666666666663</v>
      </c>
      <c r="I199" s="289" t="s">
        <v>667</v>
      </c>
      <c r="J199" s="290" t="s">
        <v>665</v>
      </c>
      <c r="K199" s="422" t="str">
        <f t="shared" si="16"/>
        <v>11.5</v>
      </c>
      <c r="L199" s="1187">
        <f>M192</f>
        <v>54.4848</v>
      </c>
      <c r="M199" s="1187">
        <f>L192</f>
        <v>54.4848</v>
      </c>
      <c r="N199" s="1187">
        <f>L192</f>
        <v>54.4848</v>
      </c>
      <c r="O199" s="1187">
        <f>L192</f>
        <v>54.4848</v>
      </c>
    </row>
    <row r="200" spans="1:15" x14ac:dyDescent="0.25">
      <c r="A200" s="482">
        <f t="shared" ref="A200:A206" si="17">IF(OR(G83&gt;H83,G83&lt;H83),D179,A201)</f>
        <v>0</v>
      </c>
      <c r="B200" s="188"/>
      <c r="C200" s="188"/>
      <c r="D200" s="290"/>
      <c r="E200" s="188">
        <v>1</v>
      </c>
      <c r="F200" s="290">
        <v>2</v>
      </c>
      <c r="G200" s="289">
        <f>4/14</f>
        <v>0.2857142857142857</v>
      </c>
      <c r="H200" s="290">
        <f>9/14</f>
        <v>0.6428571428571429</v>
      </c>
      <c r="I200" s="289" t="s">
        <v>667</v>
      </c>
      <c r="J200" s="290" t="s">
        <v>666</v>
      </c>
      <c r="K200" s="422" t="str">
        <f t="shared" si="16"/>
        <v>12</v>
      </c>
      <c r="L200" s="1187">
        <f>M192</f>
        <v>54.4848</v>
      </c>
      <c r="M200" s="1187">
        <f>L192</f>
        <v>54.4848</v>
      </c>
      <c r="N200" s="1187">
        <f>M192</f>
        <v>54.4848</v>
      </c>
      <c r="O200" s="1187">
        <f>L192</f>
        <v>54.4848</v>
      </c>
    </row>
    <row r="201" spans="1:15" ht="15.75" thickBot="1" x14ac:dyDescent="0.3">
      <c r="A201" s="289">
        <f t="shared" si="17"/>
        <v>0</v>
      </c>
      <c r="B201" s="188"/>
      <c r="C201" s="188"/>
      <c r="D201" s="290"/>
      <c r="E201" s="190">
        <v>2</v>
      </c>
      <c r="F201" s="296">
        <v>2</v>
      </c>
      <c r="G201" s="314">
        <f>4/16</f>
        <v>0.25</v>
      </c>
      <c r="H201" s="296">
        <f>10/16</f>
        <v>0.625</v>
      </c>
      <c r="I201" s="289" t="s">
        <v>667</v>
      </c>
      <c r="J201" s="289" t="s">
        <v>667</v>
      </c>
      <c r="K201" s="422" t="str">
        <f t="shared" si="16"/>
        <v>22</v>
      </c>
      <c r="L201" s="1187">
        <f>M192</f>
        <v>54.4848</v>
      </c>
      <c r="M201" s="1187">
        <f>L192</f>
        <v>54.4848</v>
      </c>
      <c r="N201" s="1187">
        <f>M192</f>
        <v>54.4848</v>
      </c>
      <c r="O201" s="1187">
        <f>L192</f>
        <v>54.4848</v>
      </c>
    </row>
    <row r="202" spans="1:15" x14ac:dyDescent="0.25">
      <c r="A202" s="289">
        <f t="shared" si="17"/>
        <v>0</v>
      </c>
      <c r="B202" s="188"/>
      <c r="C202" s="188"/>
      <c r="D202" s="290"/>
      <c r="I202" s="335"/>
      <c r="K202" s="1190" t="s">
        <v>4125</v>
      </c>
      <c r="L202" s="1187">
        <f>L192</f>
        <v>54.4848</v>
      </c>
      <c r="M202" s="1187">
        <f>L202</f>
        <v>54.4848</v>
      </c>
      <c r="N202" s="1187">
        <f>M202</f>
        <v>54.4848</v>
      </c>
      <c r="O202" s="1187">
        <f>N202</f>
        <v>54.4848</v>
      </c>
    </row>
    <row r="203" spans="1:15" ht="15.75" thickBot="1" x14ac:dyDescent="0.25">
      <c r="A203" s="289">
        <f t="shared" si="17"/>
        <v>0</v>
      </c>
      <c r="B203" s="188"/>
      <c r="C203" s="188"/>
      <c r="D203" s="290"/>
      <c r="E203" s="333" t="s">
        <v>4</v>
      </c>
      <c r="I203" s="337"/>
      <c r="K203" s="422"/>
      <c r="L203" s="1186">
        <f>Sheet5!E26</f>
        <v>61.003599999999999</v>
      </c>
      <c r="M203" s="1186">
        <f>Sheet5!F26</f>
        <v>58.753599999999999</v>
      </c>
      <c r="N203" s="422"/>
      <c r="O203" s="422"/>
    </row>
    <row r="204" spans="1:15" ht="15.75" thickBot="1" x14ac:dyDescent="0.3">
      <c r="A204" s="289">
        <f t="shared" si="17"/>
        <v>0</v>
      </c>
      <c r="B204" s="188"/>
      <c r="C204" s="188"/>
      <c r="D204" s="290"/>
      <c r="E204" s="479" t="s">
        <v>637</v>
      </c>
      <c r="F204" s="287"/>
      <c r="G204" s="336" t="s">
        <v>636</v>
      </c>
      <c r="H204" s="287"/>
      <c r="I204" s="285" t="s">
        <v>638</v>
      </c>
      <c r="J204" s="287"/>
      <c r="K204" s="422"/>
      <c r="L204" s="422" t="s">
        <v>4116</v>
      </c>
      <c r="M204" s="422" t="s">
        <v>4117</v>
      </c>
      <c r="N204" s="422" t="s">
        <v>4118</v>
      </c>
      <c r="O204" s="422" t="s">
        <v>4119</v>
      </c>
    </row>
    <row r="205" spans="1:15" x14ac:dyDescent="0.25">
      <c r="A205" s="289">
        <f t="shared" si="17"/>
        <v>0</v>
      </c>
      <c r="B205" s="188"/>
      <c r="C205" s="188"/>
      <c r="D205" s="290"/>
      <c r="E205" s="188">
        <v>0</v>
      </c>
      <c r="F205" s="290">
        <v>0.5</v>
      </c>
      <c r="G205" s="289">
        <f>2.5/6.5</f>
        <v>0.38461538461538464</v>
      </c>
      <c r="H205" s="290">
        <v>0</v>
      </c>
      <c r="I205" s="289" t="s">
        <v>665</v>
      </c>
      <c r="J205" s="290" t="s">
        <v>463</v>
      </c>
      <c r="K205" s="422" t="str">
        <f t="shared" si="16"/>
        <v>00.5</v>
      </c>
      <c r="L205" s="1187">
        <f>M203</f>
        <v>58.753599999999999</v>
      </c>
      <c r="M205" s="1187">
        <f>L203</f>
        <v>61.003599999999999</v>
      </c>
      <c r="N205" s="1187">
        <f>L203</f>
        <v>61.003599999999999</v>
      </c>
      <c r="O205" s="1187">
        <f>L203</f>
        <v>61.003599999999999</v>
      </c>
    </row>
    <row r="206" spans="1:15" ht="15.75" thickBot="1" x14ac:dyDescent="0.3">
      <c r="A206" s="314">
        <f t="shared" si="17"/>
        <v>0</v>
      </c>
      <c r="B206" s="190"/>
      <c r="C206" s="190"/>
      <c r="D206" s="296"/>
      <c r="E206" s="188">
        <v>0</v>
      </c>
      <c r="F206" s="290">
        <v>1</v>
      </c>
      <c r="G206" s="289">
        <f>3.5/8.5</f>
        <v>0.41176470588235292</v>
      </c>
      <c r="H206" s="290">
        <v>0</v>
      </c>
      <c r="I206" s="289" t="s">
        <v>666</v>
      </c>
      <c r="J206" s="290" t="s">
        <v>463</v>
      </c>
      <c r="K206" s="422" t="str">
        <f t="shared" si="16"/>
        <v>01</v>
      </c>
      <c r="L206" s="1187">
        <f>M203</f>
        <v>58.753599999999999</v>
      </c>
      <c r="M206" s="1187">
        <f>L203</f>
        <v>61.003599999999999</v>
      </c>
      <c r="N206" s="1187">
        <f>M203</f>
        <v>58.753599999999999</v>
      </c>
      <c r="O206" s="1187">
        <f>L203</f>
        <v>61.003599999999999</v>
      </c>
    </row>
    <row r="207" spans="1:15" x14ac:dyDescent="0.25">
      <c r="A207" s="335"/>
      <c r="E207" s="289">
        <v>0</v>
      </c>
      <c r="F207" s="290">
        <v>1.5</v>
      </c>
      <c r="G207" s="289">
        <f>3.5/10.5</f>
        <v>0.33333333333333331</v>
      </c>
      <c r="H207" s="290">
        <f>6.5/10.5</f>
        <v>0.61904761904761907</v>
      </c>
      <c r="I207" s="289" t="s">
        <v>666</v>
      </c>
      <c r="J207" s="289" t="s">
        <v>665</v>
      </c>
      <c r="K207" s="422" t="str">
        <f t="shared" si="16"/>
        <v>01.5</v>
      </c>
      <c r="L207" s="1187">
        <f>M203</f>
        <v>58.753599999999999</v>
      </c>
      <c r="M207" s="1187">
        <f>L203</f>
        <v>61.003599999999999</v>
      </c>
      <c r="N207" s="1187">
        <f>L203</f>
        <v>61.003599999999999</v>
      </c>
      <c r="O207" s="1187">
        <f>L203</f>
        <v>61.003599999999999</v>
      </c>
    </row>
    <row r="208" spans="1:15" x14ac:dyDescent="0.25">
      <c r="E208" s="289">
        <v>0</v>
      </c>
      <c r="F208" s="290">
        <v>2</v>
      </c>
      <c r="G208" s="289">
        <f>3.5/12.5</f>
        <v>0.28000000000000003</v>
      </c>
      <c r="H208" s="290">
        <f>7.5/12.5</f>
        <v>0.6</v>
      </c>
      <c r="I208" s="289" t="s">
        <v>666</v>
      </c>
      <c r="J208" s="290" t="s">
        <v>666</v>
      </c>
      <c r="K208" s="422" t="str">
        <f t="shared" si="16"/>
        <v>02</v>
      </c>
      <c r="L208" s="1187">
        <f>M203</f>
        <v>58.753599999999999</v>
      </c>
      <c r="M208" s="1187">
        <f>L203</f>
        <v>61.003599999999999</v>
      </c>
      <c r="N208" s="1187">
        <f>M203</f>
        <v>58.753599999999999</v>
      </c>
      <c r="O208" s="1187">
        <f>L203</f>
        <v>61.003599999999999</v>
      </c>
    </row>
    <row r="209" spans="5:15" x14ac:dyDescent="0.25">
      <c r="E209" s="289">
        <v>1</v>
      </c>
      <c r="F209" s="290">
        <v>1</v>
      </c>
      <c r="G209" s="289">
        <f>4.5/10.5</f>
        <v>0.42857142857142855</v>
      </c>
      <c r="H209" s="290">
        <v>0</v>
      </c>
      <c r="I209" s="289" t="s">
        <v>667</v>
      </c>
      <c r="J209" s="289" t="s">
        <v>463</v>
      </c>
      <c r="K209" s="422" t="str">
        <f t="shared" si="16"/>
        <v>11</v>
      </c>
      <c r="L209" s="1187">
        <f>M203</f>
        <v>58.753599999999999</v>
      </c>
      <c r="M209" s="1187">
        <f>L203</f>
        <v>61.003599999999999</v>
      </c>
      <c r="N209" s="1187">
        <f>M203</f>
        <v>58.753599999999999</v>
      </c>
      <c r="O209" s="1187">
        <f>L203</f>
        <v>61.003599999999999</v>
      </c>
    </row>
    <row r="210" spans="5:15" x14ac:dyDescent="0.25">
      <c r="E210" s="289">
        <v>1</v>
      </c>
      <c r="F210" s="290">
        <v>1.5</v>
      </c>
      <c r="G210" s="289">
        <f>4.5/12.5</f>
        <v>0.36</v>
      </c>
      <c r="H210" s="290">
        <f>8.5/12.5</f>
        <v>0.68</v>
      </c>
      <c r="I210" s="289" t="s">
        <v>667</v>
      </c>
      <c r="J210" s="289" t="s">
        <v>665</v>
      </c>
      <c r="K210" s="422" t="str">
        <f t="shared" si="16"/>
        <v>11.5</v>
      </c>
      <c r="L210" s="1187">
        <f>M203</f>
        <v>58.753599999999999</v>
      </c>
      <c r="M210" s="1187">
        <f>L203</f>
        <v>61.003599999999999</v>
      </c>
      <c r="N210" s="1187">
        <f>L203</f>
        <v>61.003599999999999</v>
      </c>
      <c r="O210" s="1187">
        <f>L203</f>
        <v>61.003599999999999</v>
      </c>
    </row>
    <row r="211" spans="5:15" x14ac:dyDescent="0.25">
      <c r="E211" s="289">
        <v>1</v>
      </c>
      <c r="F211" s="290">
        <v>2</v>
      </c>
      <c r="G211" s="289">
        <f>4.5/14.5</f>
        <v>0.31034482758620691</v>
      </c>
      <c r="H211" s="290">
        <f>9.5/14.5</f>
        <v>0.65517241379310343</v>
      </c>
      <c r="I211" s="289" t="s">
        <v>667</v>
      </c>
      <c r="J211" s="290" t="s">
        <v>666</v>
      </c>
      <c r="K211" s="422" t="str">
        <f t="shared" si="16"/>
        <v>12</v>
      </c>
      <c r="L211" s="1187">
        <f>M203</f>
        <v>58.753599999999999</v>
      </c>
      <c r="M211" s="1187">
        <f>L203</f>
        <v>61.003599999999999</v>
      </c>
      <c r="N211" s="1187">
        <f>M203</f>
        <v>58.753599999999999</v>
      </c>
      <c r="O211" s="1187">
        <f>L203</f>
        <v>61.003599999999999</v>
      </c>
    </row>
    <row r="212" spans="5:15" ht="15.75" thickBot="1" x14ac:dyDescent="0.3">
      <c r="E212" s="314">
        <v>2</v>
      </c>
      <c r="F212" s="296">
        <v>2</v>
      </c>
      <c r="G212" s="314">
        <f>4.5/16.5</f>
        <v>0.27272727272727271</v>
      </c>
      <c r="H212" s="296">
        <f>10.5/16.5</f>
        <v>0.63636363636363635</v>
      </c>
      <c r="I212" s="289" t="s">
        <v>667</v>
      </c>
      <c r="J212" s="289" t="s">
        <v>667</v>
      </c>
      <c r="K212" s="422" t="str">
        <f t="shared" si="16"/>
        <v>22</v>
      </c>
      <c r="L212" s="1187">
        <f>M203</f>
        <v>58.753599999999999</v>
      </c>
      <c r="M212" s="1187">
        <f>L203</f>
        <v>61.003599999999999</v>
      </c>
      <c r="N212" s="1187">
        <f>M203</f>
        <v>58.753599999999999</v>
      </c>
      <c r="O212" s="1187">
        <f>L203</f>
        <v>61.003599999999999</v>
      </c>
    </row>
    <row r="213" spans="5:15" x14ac:dyDescent="0.25">
      <c r="K213" s="1190" t="s">
        <v>4125</v>
      </c>
      <c r="L213" s="1187">
        <f>L203</f>
        <v>61.003599999999999</v>
      </c>
      <c r="M213" s="1187">
        <f>L213</f>
        <v>61.003599999999999</v>
      </c>
      <c r="N213" s="1187">
        <f>M213</f>
        <v>61.003599999999999</v>
      </c>
      <c r="O213" s="1187">
        <f>N213</f>
        <v>61.003599999999999</v>
      </c>
    </row>
    <row r="214" spans="5:15" x14ac:dyDescent="0.2">
      <c r="F214" s="338"/>
      <c r="G214" s="337" t="s">
        <v>769</v>
      </c>
      <c r="H214" s="228">
        <v>3</v>
      </c>
    </row>
    <row r="215" spans="5:15" x14ac:dyDescent="0.2">
      <c r="F215" s="338"/>
      <c r="G215" s="337" t="s">
        <v>770</v>
      </c>
      <c r="H215" s="335">
        <v>4</v>
      </c>
    </row>
    <row r="216" spans="5:15" x14ac:dyDescent="0.2">
      <c r="E216" s="333" t="s">
        <v>639</v>
      </c>
      <c r="F216" s="339">
        <f>Sheet5!E31</f>
        <v>927</v>
      </c>
      <c r="G216" s="337" t="s">
        <v>774</v>
      </c>
      <c r="H216" s="335">
        <v>5</v>
      </c>
    </row>
    <row r="217" spans="5:15" x14ac:dyDescent="0.2">
      <c r="F217" s="338"/>
      <c r="G217" s="337" t="s">
        <v>771</v>
      </c>
      <c r="H217" s="335">
        <v>6</v>
      </c>
    </row>
    <row r="218" spans="5:15" x14ac:dyDescent="0.2">
      <c r="F218" s="338"/>
      <c r="G218" s="337" t="s">
        <v>772</v>
      </c>
      <c r="H218" s="335">
        <v>7</v>
      </c>
    </row>
    <row r="219" spans="5:15" x14ac:dyDescent="0.2">
      <c r="E219" s="333" t="s">
        <v>640</v>
      </c>
      <c r="F219" s="340" t="str">
        <f>IF(AND(F216&gt;0,F216&lt;=1300),G214,IF(AND(F216&gt;1300,F216&lt;=2045),G215,IF(AND(F216&gt;2045,F216&lt;=2725),G216,IF(AND(F216&gt;2725,F216&lt;=3400),G217,IF(AND(F216&gt;3400,F216&lt;=4100),G218,IF(AND(F216&gt;4100,F216&lt;=4800),G219))))))</f>
        <v>0,075 (đầu 1 cuối 2)</v>
      </c>
      <c r="G219" s="337" t="s">
        <v>773</v>
      </c>
      <c r="H219" s="335">
        <v>8</v>
      </c>
    </row>
    <row r="220" spans="5:15" x14ac:dyDescent="0.25">
      <c r="J220" s="335"/>
    </row>
    <row r="222" spans="5:15" x14ac:dyDescent="0.25">
      <c r="J222" s="427"/>
    </row>
    <row r="223" spans="5:15" x14ac:dyDescent="0.25">
      <c r="J223" s="428"/>
    </row>
    <row r="225" spans="1:19" x14ac:dyDescent="0.25">
      <c r="C225" s="335" t="str">
        <f>"A1 - 3="&amp;A234+A235</f>
        <v>A1 - 3=2860</v>
      </c>
      <c r="D225" s="335" t="str">
        <f>"A2 - 3="&amp;A234+A235</f>
        <v>A2 - 3=2860</v>
      </c>
    </row>
    <row r="226" spans="1:19" x14ac:dyDescent="0.25">
      <c r="C226" s="335" t="str">
        <f>"A1 - 1="&amp;A234+A235*2</f>
        <v>A1 - 1=2860</v>
      </c>
      <c r="D226" s="335" t="str">
        <f>"A2- 1="&amp;A234+A235*2</f>
        <v>A2- 1=2860</v>
      </c>
    </row>
    <row r="227" spans="1:19" x14ac:dyDescent="0.25">
      <c r="C227" s="335" t="str">
        <f>"A1 - 4="&amp;A234+A235*3</f>
        <v>A1 - 4=2860</v>
      </c>
      <c r="D227" s="335" t="str">
        <f>"A2 - 4="&amp;A234+A235*3</f>
        <v>A2 - 4=2860</v>
      </c>
    </row>
    <row r="228" spans="1:19" x14ac:dyDescent="0.25">
      <c r="C228" s="335" t="str">
        <f>"A1 - 6="&amp;A234+A235*4</f>
        <v>A1 - 6=2860</v>
      </c>
      <c r="D228" s="335" t="str">
        <f>"A2 - 6="&amp;A234+A235*4</f>
        <v>A2 - 6=2860</v>
      </c>
      <c r="F228" s="228" t="s">
        <v>4096</v>
      </c>
      <c r="G228" s="335">
        <v>9</v>
      </c>
    </row>
    <row r="229" spans="1:19" x14ac:dyDescent="0.25">
      <c r="C229" s="335" t="str">
        <f>"A1 - x1="&amp;A236/2</f>
        <v>A1 - x1=1430</v>
      </c>
      <c r="D229" s="335" t="str">
        <f>"A2 - X2="&amp;A236/2</f>
        <v>A2 - X2=1430</v>
      </c>
    </row>
    <row r="230" spans="1:19" x14ac:dyDescent="0.2">
      <c r="E230" s="338" t="s">
        <v>641</v>
      </c>
      <c r="F230" s="364" t="e">
        <f>Caoha!C35</f>
        <v>#N/A</v>
      </c>
    </row>
    <row r="231" spans="1:19" x14ac:dyDescent="0.2">
      <c r="F231" s="364" t="e">
        <f>Caoha!C36</f>
        <v>#N/A</v>
      </c>
    </row>
    <row r="232" spans="1:19" ht="15.75" thickBot="1" x14ac:dyDescent="0.3">
      <c r="F232" s="426" t="str">
        <f>IF(M236=0," ","-"&amp;L234&amp;M234)</f>
        <v xml:space="preserve"> </v>
      </c>
    </row>
    <row r="233" spans="1:19" ht="17.25" thickTop="1" thickBot="1" x14ac:dyDescent="0.3">
      <c r="E233" s="341">
        <v>21</v>
      </c>
      <c r="F233" s="342" t="s">
        <v>642</v>
      </c>
      <c r="G233" s="342">
        <v>150</v>
      </c>
      <c r="H233" s="342"/>
      <c r="I233" s="342"/>
      <c r="J233" s="342"/>
    </row>
    <row r="234" spans="1:19" ht="17.25" thickTop="1" thickBot="1" x14ac:dyDescent="0.3">
      <c r="A234" s="262">
        <f>Sheet5!E29</f>
        <v>2860</v>
      </c>
      <c r="C234" s="447" t="str">
        <f>"A - 3="&amp;A234+A235</f>
        <v>A - 3=2860</v>
      </c>
      <c r="E234" s="341">
        <v>20</v>
      </c>
      <c r="F234" s="342" t="s">
        <v>643</v>
      </c>
      <c r="G234" s="342" t="s">
        <v>686</v>
      </c>
      <c r="H234" s="342"/>
      <c r="I234" s="342" t="s">
        <v>687</v>
      </c>
      <c r="J234" s="342"/>
      <c r="L234" s="228" t="s">
        <v>755</v>
      </c>
      <c r="M234" s="169" t="str">
        <f>G228&amp;"x0.075"</f>
        <v>9x0.075</v>
      </c>
    </row>
    <row r="235" spans="1:19" ht="17.25" thickTop="1" thickBot="1" x14ac:dyDescent="0.3">
      <c r="A235" s="262">
        <f>Sheet5!E30</f>
        <v>0</v>
      </c>
      <c r="C235" s="292" t="str">
        <f>"A - 1="&amp;A234+A235*2</f>
        <v>A - 1=2860</v>
      </c>
      <c r="E235" s="341">
        <v>19</v>
      </c>
      <c r="F235" s="342" t="s">
        <v>644</v>
      </c>
      <c r="G235" s="343">
        <f>Sheet5!$E$39</f>
        <v>43.5</v>
      </c>
      <c r="H235" s="342"/>
      <c r="I235" s="343">
        <f>Sheet5!$E$38</f>
        <v>39</v>
      </c>
      <c r="J235" s="342"/>
      <c r="L235" s="425" t="s">
        <v>754</v>
      </c>
      <c r="M235" s="423">
        <f>VLOOKUP(F219,G214:H219,2,FALSE)*0.075</f>
        <v>0.22499999999999998</v>
      </c>
      <c r="O235" s="285" t="s">
        <v>765</v>
      </c>
      <c r="P235" s="449" t="s">
        <v>766</v>
      </c>
      <c r="Q235" s="228">
        <f>IF(M236=0,0,80)</f>
        <v>0</v>
      </c>
      <c r="R235" s="335">
        <f>IF(M236=0,0,10)</f>
        <v>0</v>
      </c>
      <c r="S235" s="228">
        <f>IF(M236=0,0,60)</f>
        <v>0</v>
      </c>
    </row>
    <row r="236" spans="1:19" ht="17.25" thickTop="1" thickBot="1" x14ac:dyDescent="0.3">
      <c r="A236" s="262">
        <f>Sheet5!F29</f>
        <v>2860</v>
      </c>
      <c r="C236" s="292" t="str">
        <f>"A - 4="&amp;A234+A235*3</f>
        <v>A - 4=2860</v>
      </c>
      <c r="E236" s="341">
        <v>18</v>
      </c>
      <c r="F236" s="342" t="s">
        <v>645</v>
      </c>
      <c r="G236" s="433">
        <f>Sheet5!$E$41</f>
        <v>0</v>
      </c>
      <c r="H236" s="342"/>
      <c r="I236" s="343">
        <f>Sheet5!$E$40</f>
        <v>0.06</v>
      </c>
      <c r="J236" s="342"/>
      <c r="M236" s="262">
        <f>Sheet5!E32</f>
        <v>0</v>
      </c>
      <c r="P236" s="295" t="s">
        <v>767</v>
      </c>
      <c r="Q236" s="228">
        <f>IF(M236=0,0,IF(M236&lt;1,0,IF(M236&gt;=1,80)))</f>
        <v>0</v>
      </c>
      <c r="R236" s="228">
        <f>IF(M236=0,0,IF(M236&lt;1,0,IF(M236&gt;=1,10)))</f>
        <v>0</v>
      </c>
      <c r="S236" s="335">
        <f>IF(M236=0,0,IF(M236&lt;1,0,IF(M236&gt;=1,60)))</f>
        <v>0</v>
      </c>
    </row>
    <row r="237" spans="1:19" ht="17.25" thickTop="1" thickBot="1" x14ac:dyDescent="0.3">
      <c r="C237" s="295" t="str">
        <f>"A - 6="&amp;A234+A235*4</f>
        <v>A - 6=2860</v>
      </c>
      <c r="E237" s="341">
        <v>17</v>
      </c>
      <c r="F237" s="342" t="s">
        <v>646</v>
      </c>
      <c r="G237" s="432">
        <f>Sheet5!$E$23</f>
        <v>350</v>
      </c>
      <c r="H237" s="342"/>
      <c r="I237" s="344">
        <f>Sheet5!$E$14</f>
        <v>350</v>
      </c>
      <c r="J237" s="342"/>
      <c r="L237" s="425" t="s">
        <v>753</v>
      </c>
      <c r="M237" s="423">
        <f>Sheet5!H16</f>
        <v>0.15</v>
      </c>
      <c r="N237" s="424" t="str">
        <f>VLOOKUP(M237,L246:M251,2,FALSE)</f>
        <v>0.075x2</v>
      </c>
      <c r="O237" s="228">
        <f>VLOOKUP(M237,L246:N251,3,FALSE)</f>
        <v>7.4999999999999997E-2</v>
      </c>
    </row>
    <row r="238" spans="1:19" ht="17.25" thickTop="1" thickBot="1" x14ac:dyDescent="0.3">
      <c r="C238" s="295" t="str">
        <f>"A - x="&amp;A236</f>
        <v>A - x=2860</v>
      </c>
      <c r="E238" s="341">
        <v>16</v>
      </c>
      <c r="F238" s="342" t="s">
        <v>647</v>
      </c>
      <c r="G238" s="433">
        <f>ROUND(Sheet5!$I$28,0)+5</f>
        <v>1362</v>
      </c>
      <c r="H238" s="342"/>
      <c r="I238" s="433">
        <f>Sheet5!I18</f>
        <v>888</v>
      </c>
      <c r="J238" s="342"/>
      <c r="L238" s="425" t="s">
        <v>752</v>
      </c>
    </row>
    <row r="239" spans="1:19" ht="17.25" thickTop="1" thickBot="1" x14ac:dyDescent="0.3">
      <c r="E239" s="341">
        <v>15</v>
      </c>
      <c r="F239" s="342" t="s">
        <v>648</v>
      </c>
      <c r="G239" s="433">
        <f>ROUND(Sheet5!$H$28,0)+5</f>
        <v>988</v>
      </c>
      <c r="H239" s="342"/>
      <c r="I239" s="433">
        <f>Sheet5!H18</f>
        <v>546</v>
      </c>
      <c r="J239" s="342"/>
      <c r="L239" s="422">
        <v>7.4999999999999997E-2</v>
      </c>
      <c r="M239" s="228" t="s">
        <v>3658</v>
      </c>
    </row>
    <row r="240" spans="1:19" ht="17.25" thickTop="1" thickBot="1" x14ac:dyDescent="0.3">
      <c r="E240" s="341">
        <v>14</v>
      </c>
      <c r="F240" s="342" t="s">
        <v>649</v>
      </c>
      <c r="G240" s="433">
        <f>I239-IF(B26&lt;=250,5,6)</f>
        <v>540</v>
      </c>
      <c r="H240" s="342"/>
      <c r="I240" s="430"/>
      <c r="J240" s="342"/>
      <c r="L240" s="422">
        <v>0.08</v>
      </c>
      <c r="M240" s="335" t="s">
        <v>3659</v>
      </c>
      <c r="N240" s="335"/>
    </row>
    <row r="241" spans="1:17" ht="17.25" thickTop="1" thickBot="1" x14ac:dyDescent="0.3">
      <c r="A241" s="1047" t="s">
        <v>564</v>
      </c>
      <c r="C241" s="1047" t="s">
        <v>566</v>
      </c>
      <c r="E241" s="341">
        <v>13</v>
      </c>
      <c r="F241" s="342" t="s">
        <v>556</v>
      </c>
      <c r="G241" s="430" t="str">
        <f>IF(G243=0,0,Sheet5!E28&amp;" x "&amp;Sheet5!E23)</f>
        <v>4.5 x 350</v>
      </c>
      <c r="H241" s="342"/>
      <c r="I241" s="430" t="str">
        <f>IF(I243=0,0,Sheet5!E19&amp;" x "&amp;Sheet5!E14)</f>
        <v>4.5 x 350</v>
      </c>
      <c r="J241" s="342"/>
      <c r="L241" s="422">
        <v>0.13</v>
      </c>
      <c r="M241" s="335" t="s">
        <v>3658</v>
      </c>
    </row>
    <row r="242" spans="1:17" ht="17.25" thickTop="1" thickBot="1" x14ac:dyDescent="0.3">
      <c r="A242" s="1044" t="s">
        <v>3706</v>
      </c>
      <c r="C242" s="1044" t="s">
        <v>3706</v>
      </c>
      <c r="E242" s="341">
        <v>12</v>
      </c>
      <c r="F242" s="342" t="s">
        <v>650</v>
      </c>
      <c r="G242" s="430" t="e">
        <f>IF(AND(F186=0,G186=0),0,F190&amp;" "&amp;G190)</f>
        <v>#VALUE!</v>
      </c>
      <c r="H242" s="342"/>
      <c r="I242" s="430" t="str">
        <f>IF(AND(F180=0,G180=0),0,F184&amp;" "&amp;G184)</f>
        <v>3-4(toàn bộ) 7-8(toàn bộ)</v>
      </c>
      <c r="J242" s="342"/>
      <c r="L242" s="422">
        <v>0.18</v>
      </c>
    </row>
    <row r="243" spans="1:17" ht="17.25" thickTop="1" thickBot="1" x14ac:dyDescent="0.3">
      <c r="A243" s="1044" t="s">
        <v>3707</v>
      </c>
      <c r="B243" s="366"/>
      <c r="C243" s="1044" t="s">
        <v>3707</v>
      </c>
      <c r="E243" s="341">
        <v>11</v>
      </c>
      <c r="F243" s="342" t="s">
        <v>651</v>
      </c>
      <c r="G243" s="430">
        <f>ROUNDUP(B70,0)</f>
        <v>3</v>
      </c>
      <c r="H243" s="342"/>
      <c r="I243" s="430">
        <f>ROUNDUP(B69,0)</f>
        <v>2</v>
      </c>
      <c r="J243" s="342"/>
      <c r="L243" s="422">
        <v>0.25</v>
      </c>
    </row>
    <row r="244" spans="1:17" ht="17.25" thickTop="1" thickBot="1" x14ac:dyDescent="0.3">
      <c r="A244" s="1044" t="s">
        <v>3708</v>
      </c>
      <c r="B244" s="620"/>
      <c r="C244" s="1044" t="s">
        <v>3719</v>
      </c>
      <c r="E244" s="341">
        <v>10</v>
      </c>
      <c r="F244" s="342" t="s">
        <v>652</v>
      </c>
      <c r="G244" s="343" t="str">
        <f>F219</f>
        <v>0,075 (đầu 1 cuối 2)</v>
      </c>
      <c r="I244" s="431" t="str">
        <f>N237</f>
        <v>0.075x2</v>
      </c>
      <c r="J244" s="342" t="s">
        <v>663</v>
      </c>
    </row>
    <row r="245" spans="1:17" ht="17.25" thickTop="1" thickBot="1" x14ac:dyDescent="0.3">
      <c r="A245" s="1044" t="s">
        <v>3709</v>
      </c>
      <c r="B245" s="620"/>
      <c r="C245" s="1044" t="s">
        <v>3720</v>
      </c>
      <c r="E245" s="341">
        <v>9</v>
      </c>
      <c r="F245" s="342" t="s">
        <v>653</v>
      </c>
      <c r="G245" s="432">
        <f>Sheet5!$E$30</f>
        <v>0</v>
      </c>
      <c r="H245" s="342"/>
      <c r="I245" s="430">
        <v>0</v>
      </c>
      <c r="J245" s="342"/>
      <c r="L245" s="425" t="s">
        <v>753</v>
      </c>
    </row>
    <row r="246" spans="1:17" ht="17.25" thickTop="1" thickBot="1" x14ac:dyDescent="0.3">
      <c r="A246" s="1045" t="str">
        <f>"lớp 01  tờ 0.13 x "&amp;ROUNDUP(G237/3,0)&amp;").&lt;D&gt;"</f>
        <v>lớp 01  tờ 0.13 x 117).&lt;D&gt;</v>
      </c>
      <c r="B246" s="621"/>
      <c r="C246" s="1045" t="str">
        <f>"lớp 01  tờ 0.13 x "&amp;ROUNDUP(G237/3,0)&amp;", tương tự ở đầu 6 và 6').&lt;D&gt;"</f>
        <v>lớp 01  tờ 0.13 x 117, tương tự ở đầu 6 và 6').&lt;D&gt;</v>
      </c>
      <c r="E246" s="341">
        <v>8</v>
      </c>
      <c r="F246" s="342" t="s">
        <v>654</v>
      </c>
      <c r="G246" s="432">
        <f>IF(Sheet5!H31=Sheet5!I31,Sheet5!H31,Sheet5!H31&amp;"/"&amp;Sheet5!I31)</f>
        <v>131</v>
      </c>
      <c r="H246" s="342"/>
      <c r="I246" s="432">
        <f>Sheet5!I14</f>
        <v>136.19</v>
      </c>
      <c r="J246" s="342"/>
      <c r="L246" s="422">
        <v>0.16</v>
      </c>
      <c r="M246" s="422" t="s">
        <v>750</v>
      </c>
      <c r="N246" s="335">
        <v>0.08</v>
      </c>
      <c r="P246" s="135" t="s">
        <v>754</v>
      </c>
      <c r="Q246" s="231"/>
    </row>
    <row r="247" spans="1:17" ht="17.25" thickTop="1" thickBot="1" x14ac:dyDescent="0.3">
      <c r="A247" s="1044" t="s">
        <v>3710</v>
      </c>
      <c r="B247" s="620"/>
      <c r="C247" s="1044" t="s">
        <v>3710</v>
      </c>
      <c r="E247" s="341">
        <v>7</v>
      </c>
      <c r="F247" s="342" t="s">
        <v>655</v>
      </c>
      <c r="G247" s="432">
        <f>Sheet5!F29</f>
        <v>2860</v>
      </c>
      <c r="H247" s="342"/>
      <c r="I247" s="432" t="str">
        <f>IF(OR(Sheet5!I15*Sheet5!I17+Sheet5!E40+Sheet5!E38*2=Sheet5!E14,Sheet5!H20=0.45,Sheet5!H20=0.55,Sheet5!I15+Sheet5!K15+Sheet5!E40+Sheet5!E38*2=Sheet5!E14,AND(Sheet5!I15&gt;0,Sheet5!K15&gt;0,Sheet5!I15&gt;Sheet5!K15,Sheet5!I15*Sheet5!I17+Sheet5!K15*Sheet5!K17+Sheet5!E38*2+Sheet5!E40=Sheet5!E14),AND(Sheet5!I15&gt;0,Sheet5!K15&gt;0,Sheet5!I15&lt;Sheet5!K15,Sheet5!I15*Sheet5!I17+Sheet5!K15*Sheet5!K17+Sheet5!E38*2+Sheet5!E40=Sheet5!E14),AND(J257="Đồng dây ",Sheet5!I15*Sheet5!I17+Sheet5!K15*Sheet5!K17+Sheet5!E38*2+Sheet5!E40+4=Sheet5!E14)),Sheet5!H14,Sheet2!K258)</f>
        <v>10.5000367134151+10.5000367134151</v>
      </c>
      <c r="J247" s="342"/>
      <c r="L247" s="422">
        <v>0.20499999999999999</v>
      </c>
      <c r="M247" s="422" t="s">
        <v>768</v>
      </c>
      <c r="N247" s="335">
        <v>0.13</v>
      </c>
      <c r="P247" s="960">
        <f t="shared" ref="P247:P252" si="18">H214*0.075</f>
        <v>0.22499999999999998</v>
      </c>
      <c r="Q247" s="960" t="s">
        <v>3652</v>
      </c>
    </row>
    <row r="248" spans="1:17" ht="17.25" thickTop="1" thickBot="1" x14ac:dyDescent="0.3">
      <c r="A248" s="1046" t="s">
        <v>3711</v>
      </c>
      <c r="B248" s="622"/>
      <c r="C248" s="1044" t="s">
        <v>3711</v>
      </c>
      <c r="E248" s="341">
        <v>6</v>
      </c>
      <c r="F248" s="342" t="s">
        <v>656</v>
      </c>
      <c r="G248" s="432">
        <f>Sheet5!$H$23+Sheet5!$I$23+Sheet5!$J$23</f>
        <v>22</v>
      </c>
      <c r="H248" s="342"/>
      <c r="I248" s="432">
        <f>IF(OR(Sheet5!I15*Sheet5!I17+Sheet5!E40+Sheet5!E38*2=Sheet5!E14,Sheet5!H20=0.45,Sheet5!H20=0.55,Sheet5!I15+Sheet5!K15+Sheet5!E40+Sheet5!E38*2=Sheet5!E14,AND(Sheet5!I15&gt;0,Sheet5!K15&gt;0,Sheet5!I15&gt;Sheet5!K15,Sheet5!I15*Sheet5!I17+Sheet5!K15*Sheet5!K17+Sheet5!E38*2+Sheet5!E40=Sheet5!E14),AND(Sheet5!I15&gt;0,Sheet5!K15&gt;0,Sheet5!I15&lt;Sheet5!K15,Sheet5!I15*Sheet5!I17+Sheet5!K15*Sheet5!K17+Sheet5!E38*2+Sheet5!E40=Sheet5!E14),AND(J257="Đồng dây ",Sheet5!I15*Sheet5!I17+Sheet5!K15*Sheet5!K17+Sheet5!E38*2+Sheet5!E40+4=Sheet5!E14)),Sheet5!$H$14/Sheet5!I14,K256)</f>
        <v>10.500036713415081</v>
      </c>
      <c r="J248" s="342"/>
      <c r="L248" s="423">
        <v>0.26</v>
      </c>
      <c r="M248" s="422" t="s">
        <v>751</v>
      </c>
      <c r="N248" s="335">
        <v>0.13</v>
      </c>
      <c r="P248" s="960">
        <f t="shared" si="18"/>
        <v>0.3</v>
      </c>
      <c r="Q248" s="960" t="s">
        <v>3653</v>
      </c>
    </row>
    <row r="249" spans="1:17" ht="17.25" thickTop="1" thickBot="1" x14ac:dyDescent="0.3">
      <c r="A249" s="1044" t="s">
        <v>3712</v>
      </c>
      <c r="B249" s="622"/>
      <c r="C249" s="1044" t="s">
        <v>3712</v>
      </c>
      <c r="E249" s="341">
        <v>5</v>
      </c>
      <c r="F249" s="335" t="s">
        <v>4320</v>
      </c>
      <c r="G249" s="335">
        <f>Sheet5!H33</f>
        <v>0</v>
      </c>
      <c r="H249" s="335"/>
      <c r="I249" s="335">
        <f>Sheet5!H21</f>
        <v>0</v>
      </c>
      <c r="L249" s="423">
        <v>6.5000000000000002E-2</v>
      </c>
      <c r="M249" s="335" t="s">
        <v>3558</v>
      </c>
      <c r="N249" s="335">
        <v>7.4999999999999997E-2</v>
      </c>
      <c r="P249" s="960">
        <f t="shared" si="18"/>
        <v>0.375</v>
      </c>
      <c r="Q249" s="960" t="s">
        <v>3654</v>
      </c>
    </row>
    <row r="250" spans="1:17" ht="17.25" thickTop="1" thickBot="1" x14ac:dyDescent="0.3">
      <c r="A250" s="1046" t="s">
        <v>3713</v>
      </c>
      <c r="B250" s="622"/>
      <c r="C250" s="1044" t="s">
        <v>3713</v>
      </c>
      <c r="E250" s="341">
        <v>4</v>
      </c>
      <c r="F250" s="342" t="s">
        <v>657</v>
      </c>
      <c r="G250" s="430" t="s">
        <v>662</v>
      </c>
      <c r="H250" s="342"/>
      <c r="I250" s="430" t="s">
        <v>662</v>
      </c>
      <c r="J250" s="342"/>
      <c r="L250" s="228">
        <v>0.15</v>
      </c>
      <c r="M250" s="228" t="s">
        <v>3558</v>
      </c>
      <c r="N250" s="335">
        <v>7.4999999999999997E-2</v>
      </c>
      <c r="P250" s="960">
        <f t="shared" si="18"/>
        <v>0.44999999999999996</v>
      </c>
      <c r="Q250" s="960" t="s">
        <v>3655</v>
      </c>
    </row>
    <row r="251" spans="1:17" ht="17.25" thickTop="1" thickBot="1" x14ac:dyDescent="0.3">
      <c r="A251" s="1046" t="s">
        <v>3714</v>
      </c>
      <c r="B251" s="622"/>
      <c r="C251" s="1044" t="s">
        <v>3714</v>
      </c>
      <c r="E251" s="341">
        <v>3</v>
      </c>
      <c r="F251" s="342" t="s">
        <v>658</v>
      </c>
      <c r="G251" s="361">
        <f>G261</f>
        <v>258.39999999999998</v>
      </c>
      <c r="H251" s="342"/>
      <c r="I251" s="343">
        <f>IF(Sheet5!J17=0,ROUND(Sheet5!H19,2),ROUND(Sheet5!H19,2)&amp;"+"&amp;ROUND(Sheet5!I19,2))</f>
        <v>167.69</v>
      </c>
      <c r="J251" s="342"/>
      <c r="L251" s="228">
        <v>7.4999999999999997E-2</v>
      </c>
      <c r="M251" s="335" t="s">
        <v>3558</v>
      </c>
      <c r="N251" s="335">
        <v>7.4999999999999997E-2</v>
      </c>
      <c r="P251" s="960">
        <f t="shared" si="18"/>
        <v>0.52500000000000002</v>
      </c>
      <c r="Q251" s="960" t="s">
        <v>3656</v>
      </c>
    </row>
    <row r="252" spans="1:17" ht="17.25" thickTop="1" thickBot="1" x14ac:dyDescent="0.3">
      <c r="A252" s="1046" t="s">
        <v>3715</v>
      </c>
      <c r="B252" s="622"/>
      <c r="C252" s="1044" t="s">
        <v>3715</v>
      </c>
      <c r="E252" s="341">
        <v>2</v>
      </c>
      <c r="F252" s="342" t="s">
        <v>659</v>
      </c>
      <c r="G252" s="342" t="str">
        <f>IF(AND(Sheet5!H24=Sheet5!H32,Sheet5!I24=Sheet5!I32,Sheet5!I30=Sheet5!J30),Sheet5!$H$26&amp;"x"&amp;Sheet5!$H$27,E264)</f>
        <v>1x1</v>
      </c>
      <c r="H252" s="342"/>
      <c r="I252" s="342" t="str">
        <f>IF(Sheet5!J17=0,K259,K259&amp;"&amp;"&amp;K260)</f>
        <v>1x1</v>
      </c>
      <c r="J252" s="342"/>
      <c r="P252" s="960">
        <f t="shared" si="18"/>
        <v>0.6</v>
      </c>
      <c r="Q252" s="960" t="s">
        <v>3657</v>
      </c>
    </row>
    <row r="253" spans="1:17" ht="17.25" thickTop="1" thickBot="1" x14ac:dyDescent="0.3">
      <c r="A253" s="1046" t="s">
        <v>3716</v>
      </c>
      <c r="B253" s="622"/>
      <c r="C253" s="1044" t="s">
        <v>3716</v>
      </c>
      <c r="E253" s="341">
        <v>1</v>
      </c>
      <c r="F253" s="342" t="s">
        <v>660</v>
      </c>
      <c r="G253" s="468" t="str">
        <f>G260</f>
        <v>Cu1Ø1.9</v>
      </c>
      <c r="H253" s="342"/>
      <c r="I253" s="342" t="str">
        <f>J267</f>
        <v>Cu1Ø1.9</v>
      </c>
      <c r="J253" s="342"/>
    </row>
    <row r="254" spans="1:17" ht="17.25" thickTop="1" thickBot="1" x14ac:dyDescent="0.3">
      <c r="A254" s="1044" t="s">
        <v>3717</v>
      </c>
      <c r="B254" s="620"/>
      <c r="C254" s="1044" t="s">
        <v>3717</v>
      </c>
      <c r="E254" s="341" t="s">
        <v>661</v>
      </c>
      <c r="F254" s="341" t="s">
        <v>668</v>
      </c>
      <c r="G254" s="341" t="s">
        <v>669</v>
      </c>
      <c r="H254" s="341"/>
      <c r="I254" s="341" t="s">
        <v>633</v>
      </c>
      <c r="J254" s="341"/>
    </row>
    <row r="255" spans="1:17" ht="15.75" thickTop="1" x14ac:dyDescent="0.2">
      <c r="A255" s="1171" t="str">
        <f>"&lt;I20.000000&gt;&lt;D1&gt;-Tăng cường cách điện lớp 0,075(dải đầu 2 cuối "&amp;G228&amp;")"</f>
        <v>&lt;I20.000000&gt;&lt;D1&gt;-Tăng cường cách điện lớp 0,075(dải đầu 2 cuối 9)</v>
      </c>
      <c r="B255" s="622"/>
      <c r="C255" s="1045" t="str">
        <f>"&lt;I20.000000&gt;&lt;D1&gt;-Tăng cường cách điện lớp 0,075(dải đầu 2 cuối "&amp;G228&amp;")"</f>
        <v>&lt;I20.000000&gt;&lt;D1&gt;-Tăng cường cách điện lớp 0,075(dải đầu 2 cuối 9)</v>
      </c>
      <c r="G255" s="335" t="s">
        <v>756</v>
      </c>
    </row>
    <row r="256" spans="1:17" ht="15.75" x14ac:dyDescent="0.2">
      <c r="A256" s="1046" t="s">
        <v>3718</v>
      </c>
      <c r="B256" s="620"/>
      <c r="C256" s="1044" t="s">
        <v>3718</v>
      </c>
      <c r="G256" s="228" t="s">
        <v>749</v>
      </c>
      <c r="J256" s="262" t="str">
        <f>Sheet5!I20</f>
        <v>Cu</v>
      </c>
      <c r="K256" s="228">
        <f>Sheet5!H14/2/Sheet5!I14</f>
        <v>10.500036713415081</v>
      </c>
    </row>
    <row r="257" spans="1:12" ht="30" x14ac:dyDescent="0.25">
      <c r="A257" s="1224" t="s">
        <v>4351</v>
      </c>
      <c r="B257" s="620"/>
      <c r="C257" s="1224" t="s">
        <v>4351</v>
      </c>
      <c r="F257" s="228">
        <f>Sheet5!I26*Sheet5!I27</f>
        <v>1</v>
      </c>
      <c r="G257" s="469" t="str">
        <f>ROUND(Sheet5!H29,2)&amp;"+"&amp;ROUND(Sheet5!J29,2)</f>
        <v>258.4+0</v>
      </c>
      <c r="I257" s="228">
        <f>Sheet5!H17*Sheet5!I17</f>
        <v>1</v>
      </c>
      <c r="J257" s="228" t="str">
        <f>IF(AND(Sheet5!I15=20,Sheet5!I20="cu"),"Đồng dây ",IF(Sheet5!I20="cu","Đồng lá ",IF(Sheet5!I20="al","Al ","Sai")))</f>
        <v xml:space="preserve">Đồng lá </v>
      </c>
      <c r="K257" s="228" t="s">
        <v>3683</v>
      </c>
    </row>
    <row r="258" spans="1:12" ht="15.75" x14ac:dyDescent="0.25">
      <c r="A258" s="426" t="s">
        <v>4319</v>
      </c>
      <c r="B258" s="620"/>
      <c r="F258" s="335">
        <f>Sheet5!H26*Sheet5!H27</f>
        <v>1</v>
      </c>
      <c r="G258" s="228" t="str">
        <f>E260&amp;F258&amp;G255&amp;Sheet5!H24&amp;" + "&amp;F260&amp;F257&amp;G255&amp;Sheet5!H32</f>
        <v>Cu1Ø1.9 + cu1Ø1.9</v>
      </c>
      <c r="H258" s="228" t="str">
        <f>E260&amp;Sheet5!H26*Sheet5!H27&amp;G255&amp;Sheet5!$H$24</f>
        <v>Cu1Ø1.9</v>
      </c>
      <c r="I258" s="228">
        <f>Sheet5!J17*Sheet5!K17</f>
        <v>0</v>
      </c>
      <c r="J258" s="228" t="str">
        <f>IF(AND(Sheet5!I15=20,Sheet5!I20="cu"),"Đồng dây ",IF(Sheet5!I20="cu","Đồng dẹt ",IF(Sheet5!I20="al","Al ","Sai")))</f>
        <v xml:space="preserve">Đồng dẹt </v>
      </c>
      <c r="K258" s="228" t="str">
        <f>K256&amp;K257&amp;K256</f>
        <v>10.5000367134151+10.5000367134151</v>
      </c>
    </row>
    <row r="259" spans="1:12" ht="15.75" x14ac:dyDescent="0.25">
      <c r="A259" s="428" t="s">
        <v>4306</v>
      </c>
      <c r="B259" s="620"/>
      <c r="E259" s="228" t="s">
        <v>335</v>
      </c>
      <c r="F259" s="228" t="s">
        <v>1050</v>
      </c>
      <c r="G259" s="335" t="str">
        <f>IF(AND(Sheet5!H24=Sheet5!H32,Sheet5!I24=Sheet5!I32,Sheet5!H24=Sheet5!I24,Sheet5!I30=Sheet5!J30),H258,G258)</f>
        <v>Cu1Ø1.9</v>
      </c>
      <c r="H259" s="263"/>
      <c r="I259" s="228" t="str">
        <f>IF(Sheet5!H20=0,Sheet2!J257,IF(Sheet5!H15=Sheet5!I15,J259,J258))</f>
        <v>Cu1Ø</v>
      </c>
      <c r="J259" s="228" t="str">
        <f>J256&amp;I257&amp;G255</f>
        <v>Cu1Ø</v>
      </c>
      <c r="K259" s="228" t="str">
        <f>Sheet5!$H$17&amp;"x"&amp;Sheet5!$I$17</f>
        <v>1x1</v>
      </c>
    </row>
    <row r="260" spans="1:12" ht="15.75" x14ac:dyDescent="0.25">
      <c r="A260" s="428" t="s">
        <v>4307</v>
      </c>
      <c r="B260" s="620"/>
      <c r="E260" s="262" t="str">
        <f>Sheet5!I30</f>
        <v>Cu</v>
      </c>
      <c r="F260" s="262" t="str">
        <f>Sheet5!J30</f>
        <v>cu</v>
      </c>
      <c r="G260" s="169" t="str">
        <f>IF(Sheet5!H30=0.45,Sheet2!E263,G259)</f>
        <v>Cu1Ø1.9</v>
      </c>
      <c r="I260" s="228">
        <f>IF(Sheet5!H15=Sheet5!I15,Sheet2!J261,Sheet2!J260)</f>
        <v>1.9</v>
      </c>
      <c r="J260" s="228" t="str">
        <f>"("&amp;ROUND(Sheet5!$H$15,2)&amp;"x"&amp;ROUND(Sheet5!$I$15,2)&amp;")"&amp;"x"&amp;I257</f>
        <v>(1.9x1.9)x1</v>
      </c>
      <c r="K260" s="228" t="str">
        <f>Sheet5!J17&amp;"x"&amp;Sheet5!K17</f>
        <v>0x0</v>
      </c>
    </row>
    <row r="261" spans="1:12" x14ac:dyDescent="0.2">
      <c r="A261" s="428" t="s">
        <v>4308</v>
      </c>
      <c r="B261" s="622"/>
      <c r="E261" s="228" t="str">
        <f>E260&amp;Sheet5!H26*Sheet5!H27&amp;"x("&amp;Sheet5!H24&amp;"x"&amp;Sheet5!I24&amp;")"&amp;"&amp;"&amp;F260&amp;Sheet5!I26*Sheet5!I27&amp;"x("&amp;Sheet5!H32&amp;"x"&amp;Sheet5!I32&amp;")"</f>
        <v>Cu1x(1.9x1.9)&amp;cu1x(1.9x1.9)</v>
      </c>
      <c r="G261" s="469">
        <f>IF(AND(Sheet5!H24=Sheet5!H32,Sheet5!I24=Sheet5!I32,Sheet5!I30=Sheet5!J30),Sheet5!H29+Sheet5!J29,G257)</f>
        <v>258.39999999999998</v>
      </c>
      <c r="J261" s="228">
        <f>Sheet5!H15</f>
        <v>1.9</v>
      </c>
    </row>
    <row r="262" spans="1:12" x14ac:dyDescent="0.25">
      <c r="A262" s="428" t="s">
        <v>4309</v>
      </c>
      <c r="E262" s="228" t="str">
        <f>E260&amp;Sheet5!I26*Sheet5!I27&amp;"x("&amp;Sheet5!H32&amp;"x"&amp;Sheet5!I32&amp;")"</f>
        <v>Cu1x(1.9x1.9)</v>
      </c>
    </row>
    <row r="263" spans="1:12" x14ac:dyDescent="0.25">
      <c r="A263" s="428" t="s">
        <v>4310</v>
      </c>
      <c r="E263" s="228" t="str">
        <f>IF(AND(Sheet5!I30=Sheet5!J30,Sheet5!H24=Sheet5!H32,Sheet5!I24=Sheet5!I32),E262,E261)</f>
        <v>Cu1x(1.9x1.9)</v>
      </c>
      <c r="G263" s="228" t="str">
        <f>"(STRING)TEXT3"&amp;"="&amp;G267</f>
        <v>(STRING)TEXT3="Cu1"</v>
      </c>
      <c r="I263" s="228" t="str">
        <f>IF(Sheet5!H20=0,Sheet2!J257,IF(Sheet5!J15=Sheet5!K15,Sheet2!J259,Sheet2!J258))</f>
        <v>Cu1Ø</v>
      </c>
      <c r="J263" s="335" t="str">
        <f>"("&amp;ROUND(Sheet5!J15,2)&amp;"x"&amp;ROUND(Sheet5!K15,2)&amp;")"&amp;"x"&amp;I258</f>
        <v>(0x0)x0</v>
      </c>
    </row>
    <row r="264" spans="1:12" x14ac:dyDescent="0.25">
      <c r="A264" s="428" t="s">
        <v>4311</v>
      </c>
      <c r="E264" s="228" t="str">
        <f>Sheet5!$H$26&amp;"x"&amp;Sheet5!$H$27&amp;" &amp; "&amp;Sheet5!I26&amp;"x"&amp;Sheet5!I27</f>
        <v>1x1 &amp; 1x1</v>
      </c>
      <c r="G264" s="335" t="str">
        <f>"(STRING)TEXT4"&amp;"="&amp;G268</f>
        <v>(STRING)TEXT4="1.9"</v>
      </c>
      <c r="I264" s="228">
        <f>IF(Sheet5!J15=Sheet5!K15,Sheet2!J264,Sheet2!J263)</f>
        <v>0</v>
      </c>
      <c r="J264" s="228">
        <f>Sheet5!J15</f>
        <v>0</v>
      </c>
    </row>
    <row r="265" spans="1:12" x14ac:dyDescent="0.25">
      <c r="A265" s="428" t="s">
        <v>4312</v>
      </c>
      <c r="G265" s="335" t="str">
        <f>"(STRING)TEXT5"&amp;"="&amp;G269</f>
        <v>(STRING)TEXT5="1.9"</v>
      </c>
    </row>
    <row r="266" spans="1:12" x14ac:dyDescent="0.25">
      <c r="A266" s="428" t="s">
        <v>4313</v>
      </c>
    </row>
    <row r="267" spans="1:12" x14ac:dyDescent="0.25">
      <c r="A267" s="428" t="s">
        <v>4314</v>
      </c>
      <c r="E267" s="335" t="str">
        <f>"(STRING)TEXT7"&amp;"="&amp;E268</f>
        <v>(STRING)TEXT7="cu1"</v>
      </c>
      <c r="G267" s="228" t="str">
        <f>G256&amp;E260&amp;Sheet5!H26*Sheet5!H27&amp;G256</f>
        <v>"Cu1"</v>
      </c>
      <c r="H267" s="263"/>
      <c r="I267" s="335" t="str">
        <f>I259&amp;I260</f>
        <v>Cu1Ø1.9</v>
      </c>
      <c r="J267" s="228" t="str">
        <f>IF(AND(Sheet5!J15=0,Sheet5!K15=0),Sheet2!I267,Sheet2!I267&amp;"+"&amp;Sheet2!I268)</f>
        <v>Cu1Ø1.9</v>
      </c>
    </row>
    <row r="268" spans="1:12" x14ac:dyDescent="0.25">
      <c r="A268" s="428" t="s">
        <v>4315</v>
      </c>
      <c r="E268" s="335" t="str">
        <f>G256&amp;F260&amp;Sheet5!I26*Sheet5!I27&amp;G256</f>
        <v>"cu1"</v>
      </c>
      <c r="G268" s="335" t="str">
        <f>G256&amp;Sheet5!H24&amp;G256</f>
        <v>"1.9"</v>
      </c>
      <c r="I268" s="228" t="str">
        <f>I263&amp;I264</f>
        <v>Cu1Ø0</v>
      </c>
    </row>
    <row r="269" spans="1:12" x14ac:dyDescent="0.25">
      <c r="A269" s="428" t="s">
        <v>4316</v>
      </c>
      <c r="G269" s="335" t="str">
        <f>G256&amp;Sheet5!H32&amp;G256</f>
        <v>"1.9"</v>
      </c>
      <c r="J269" s="333" t="s">
        <v>4319</v>
      </c>
      <c r="K269" s="262">
        <f>Sheet5!H17</f>
        <v>1</v>
      </c>
      <c r="L269" s="335"/>
    </row>
    <row r="270" spans="1:12" x14ac:dyDescent="0.25">
      <c r="A270" s="428" t="s">
        <v>4317</v>
      </c>
      <c r="J270" s="335" t="str">
        <f>"(STRING)TEXT8"&amp;"="&amp;G256&amp;L271&amp;G256</f>
        <v>(STRING)TEXT8="Cu1Ø1.9"</v>
      </c>
      <c r="K270" s="335">
        <f>IF(Sheet5!H15=Sheet5!I15,Sheet2!J261,Sheet2!L270)</f>
        <v>1.9</v>
      </c>
      <c r="L270" s="335" t="str">
        <f>"("&amp;ROUND(Sheet5!$H$15,2)&amp;"x"&amp;ROUND(Sheet5!$I$15,2)&amp;")"&amp;"x"&amp;K269</f>
        <v>(1.9x1.9)x1</v>
      </c>
    </row>
    <row r="271" spans="1:12" x14ac:dyDescent="0.25">
      <c r="A271" s="428" t="s">
        <v>4318</v>
      </c>
      <c r="D271" s="188"/>
      <c r="F271" s="188"/>
      <c r="J271" s="335" t="str">
        <f>"(STRING)TEXT9"&amp;"="&amp;G256&amp;I247&amp;G256</f>
        <v>(STRING)TEXT9="10.5000367134151+10.5000367134151"</v>
      </c>
      <c r="K271" s="335" t="str">
        <f>I259&amp;K270</f>
        <v>Cu1Ø1.9</v>
      </c>
      <c r="L271" s="335" t="str">
        <f>IF(AND(Sheet5!J15=0,Sheet5!K15=0),Sheet2!K271,Sheet2!I267&amp;"+"&amp;Sheet2!I268)</f>
        <v>Cu1Ø1.9</v>
      </c>
    </row>
    <row r="272" spans="1:12" x14ac:dyDescent="0.25">
      <c r="A272" s="188" t="s">
        <v>891</v>
      </c>
      <c r="B272" s="188"/>
      <c r="C272" s="188">
        <v>95.257666549859934</v>
      </c>
      <c r="D272" s="188"/>
      <c r="F272" s="188"/>
      <c r="G272" s="188"/>
      <c r="H272" s="542"/>
    </row>
    <row r="273" spans="1:12" x14ac:dyDescent="0.25">
      <c r="A273" s="188"/>
      <c r="B273" s="188"/>
      <c r="C273" s="188">
        <f>C272+10</f>
        <v>105.25766654985993</v>
      </c>
      <c r="D273" s="188"/>
      <c r="F273" s="188"/>
      <c r="G273" s="188"/>
      <c r="H273" s="188"/>
    </row>
    <row r="274" spans="1:12" x14ac:dyDescent="0.25">
      <c r="A274" s="188"/>
      <c r="B274" s="188"/>
      <c r="C274" s="188">
        <f>C272-10</f>
        <v>85.257666549859934</v>
      </c>
      <c r="G274" s="188"/>
      <c r="H274" s="188"/>
    </row>
    <row r="275" spans="1:12" x14ac:dyDescent="0.25">
      <c r="A275" s="188"/>
      <c r="B275" s="188"/>
      <c r="C275" s="188"/>
      <c r="D275" s="188"/>
    </row>
    <row r="276" spans="1:12" x14ac:dyDescent="0.25">
      <c r="A276" s="188"/>
      <c r="B276" s="188"/>
      <c r="C276" s="188"/>
      <c r="D276" s="188"/>
      <c r="E276" s="188"/>
      <c r="F276" s="188"/>
      <c r="G276" s="188"/>
    </row>
    <row r="277" spans="1:12" x14ac:dyDescent="0.25">
      <c r="A277" s="188" t="s">
        <v>633</v>
      </c>
      <c r="B277" s="188"/>
      <c r="C277" s="188"/>
      <c r="D277" s="188"/>
      <c r="E277" s="188"/>
      <c r="F277" s="520" t="s">
        <v>893</v>
      </c>
      <c r="G277" s="520" t="s">
        <v>894</v>
      </c>
      <c r="H277" s="520" t="s">
        <v>893</v>
      </c>
      <c r="I277" s="520" t="s">
        <v>894</v>
      </c>
      <c r="J277" s="333" t="s">
        <v>895</v>
      </c>
      <c r="K277" s="333" t="s">
        <v>893</v>
      </c>
      <c r="L277" s="333" t="s">
        <v>894</v>
      </c>
    </row>
    <row r="278" spans="1:12" x14ac:dyDescent="0.25">
      <c r="A278" s="188" t="s">
        <v>828</v>
      </c>
      <c r="B278" s="188">
        <f>H83</f>
        <v>26.25</v>
      </c>
      <c r="C278" s="188">
        <v>0</v>
      </c>
      <c r="D278" s="522">
        <f t="shared" ref="D278:D285" si="19">H83</f>
        <v>26.25</v>
      </c>
      <c r="E278" s="480">
        <f t="shared" ref="E278:E285" si="20">B39</f>
        <v>120</v>
      </c>
      <c r="F278" s="188"/>
      <c r="G278" s="188"/>
      <c r="J278" s="263">
        <f>Sheet5!$B$28-Sheet2!E278</f>
        <v>323</v>
      </c>
    </row>
    <row r="279" spans="1:12" x14ac:dyDescent="0.25">
      <c r="A279" s="519" t="s">
        <v>821</v>
      </c>
      <c r="B279" s="188">
        <f>H83+H84</f>
        <v>35.25</v>
      </c>
      <c r="C279" s="188">
        <f>H83</f>
        <v>26.25</v>
      </c>
      <c r="D279" s="522">
        <f t="shared" si="19"/>
        <v>9</v>
      </c>
      <c r="E279" s="480">
        <f t="shared" si="20"/>
        <v>110</v>
      </c>
      <c r="F279" s="480">
        <f>E278</f>
        <v>120</v>
      </c>
      <c r="G279" s="480">
        <f>E280</f>
        <v>100</v>
      </c>
      <c r="H279" s="228">
        <f>D278</f>
        <v>26.25</v>
      </c>
      <c r="I279" s="228">
        <f>D280</f>
        <v>8.5</v>
      </c>
      <c r="J279" s="262">
        <f>Sheet5!$B$28-Sheet2!E279</f>
        <v>333</v>
      </c>
      <c r="K279" s="263">
        <f>J278</f>
        <v>323</v>
      </c>
      <c r="L279" s="262">
        <f>J280</f>
        <v>343</v>
      </c>
    </row>
    <row r="280" spans="1:12" x14ac:dyDescent="0.25">
      <c r="A280" s="519" t="s">
        <v>822</v>
      </c>
      <c r="B280" s="188">
        <f>SUM($H$83:H85)</f>
        <v>43.75</v>
      </c>
      <c r="C280" s="188">
        <f t="shared" ref="C280:C285" si="21">B279</f>
        <v>35.25</v>
      </c>
      <c r="D280" s="522">
        <f t="shared" si="19"/>
        <v>8.5</v>
      </c>
      <c r="E280" s="480">
        <f t="shared" si="20"/>
        <v>100</v>
      </c>
      <c r="F280" s="480">
        <f t="shared" ref="F280:F285" si="22">E279</f>
        <v>110</v>
      </c>
      <c r="G280" s="480">
        <f t="shared" ref="G280:G285" si="23">E281</f>
        <v>90</v>
      </c>
      <c r="H280" s="335">
        <f t="shared" ref="H280:H285" si="24">D279</f>
        <v>9</v>
      </c>
      <c r="I280" s="335">
        <f t="shared" ref="I280:I285" si="25">D281</f>
        <v>6.5</v>
      </c>
      <c r="J280" s="262">
        <f>Sheet5!$B$28-Sheet2!E280</f>
        <v>343</v>
      </c>
      <c r="K280" s="263">
        <f t="shared" ref="K280:K285" si="26">J279</f>
        <v>333</v>
      </c>
      <c r="L280" s="262">
        <f t="shared" ref="L280:L285" si="27">J281</f>
        <v>353</v>
      </c>
    </row>
    <row r="281" spans="1:12" x14ac:dyDescent="0.25">
      <c r="A281" s="519" t="s">
        <v>823</v>
      </c>
      <c r="B281" s="188">
        <f>SUM($H$83:H86)</f>
        <v>50.25</v>
      </c>
      <c r="C281" s="188">
        <f t="shared" si="21"/>
        <v>43.75</v>
      </c>
      <c r="D281" s="522">
        <f t="shared" si="19"/>
        <v>6.5</v>
      </c>
      <c r="E281" s="480">
        <f t="shared" si="20"/>
        <v>90</v>
      </c>
      <c r="F281" s="480">
        <f t="shared" si="22"/>
        <v>100</v>
      </c>
      <c r="G281" s="480">
        <f t="shared" si="23"/>
        <v>60</v>
      </c>
      <c r="H281" s="335">
        <f t="shared" si="24"/>
        <v>8.5</v>
      </c>
      <c r="I281" s="335">
        <f t="shared" si="25"/>
        <v>12</v>
      </c>
      <c r="J281" s="262">
        <f>Sheet5!$B$28-Sheet2!E281</f>
        <v>353</v>
      </c>
      <c r="K281" s="263">
        <f t="shared" si="26"/>
        <v>343</v>
      </c>
      <c r="L281" s="262">
        <f t="shared" si="27"/>
        <v>383</v>
      </c>
    </row>
    <row r="282" spans="1:12" x14ac:dyDescent="0.25">
      <c r="A282" s="519" t="s">
        <v>824</v>
      </c>
      <c r="B282" s="188">
        <f>SUM($H$83:H87)</f>
        <v>62.25</v>
      </c>
      <c r="C282" s="188">
        <f t="shared" si="21"/>
        <v>50.25</v>
      </c>
      <c r="D282" s="522">
        <f t="shared" si="19"/>
        <v>12</v>
      </c>
      <c r="E282" s="480">
        <f t="shared" si="20"/>
        <v>60</v>
      </c>
      <c r="F282" s="480">
        <f t="shared" si="22"/>
        <v>90</v>
      </c>
      <c r="G282" s="480">
        <f t="shared" si="23"/>
        <v>0</v>
      </c>
      <c r="H282" s="335">
        <f t="shared" si="24"/>
        <v>6.5</v>
      </c>
      <c r="I282" s="335">
        <f t="shared" si="25"/>
        <v>0</v>
      </c>
      <c r="J282" s="262">
        <f>Sheet5!$B$28-Sheet2!E282</f>
        <v>383</v>
      </c>
      <c r="K282" s="263">
        <f t="shared" si="26"/>
        <v>353</v>
      </c>
      <c r="L282" s="262">
        <f t="shared" si="27"/>
        <v>443</v>
      </c>
    </row>
    <row r="283" spans="1:12" x14ac:dyDescent="0.25">
      <c r="A283" s="519" t="s">
        <v>825</v>
      </c>
      <c r="B283" s="188">
        <f>SUM($H$83:H88)</f>
        <v>62.25</v>
      </c>
      <c r="C283" s="188">
        <f t="shared" si="21"/>
        <v>62.25</v>
      </c>
      <c r="D283" s="522">
        <f t="shared" si="19"/>
        <v>0</v>
      </c>
      <c r="E283" s="480">
        <f t="shared" si="20"/>
        <v>0</v>
      </c>
      <c r="F283" s="480">
        <f t="shared" si="22"/>
        <v>60</v>
      </c>
      <c r="G283" s="480">
        <f t="shared" si="23"/>
        <v>0</v>
      </c>
      <c r="H283" s="335">
        <f t="shared" si="24"/>
        <v>12</v>
      </c>
      <c r="I283" s="335">
        <f t="shared" si="25"/>
        <v>0</v>
      </c>
      <c r="J283" s="262">
        <f>Sheet5!$B$28-Sheet2!E283</f>
        <v>443</v>
      </c>
      <c r="K283" s="263">
        <f t="shared" si="26"/>
        <v>383</v>
      </c>
      <c r="L283" s="262">
        <f t="shared" si="27"/>
        <v>443</v>
      </c>
    </row>
    <row r="284" spans="1:12" x14ac:dyDescent="0.25">
      <c r="A284" s="519" t="s">
        <v>826</v>
      </c>
      <c r="B284" s="188">
        <f>SUM($H$83:H89)</f>
        <v>62.25</v>
      </c>
      <c r="C284" s="188">
        <f t="shared" si="21"/>
        <v>62.25</v>
      </c>
      <c r="D284" s="522">
        <f t="shared" si="19"/>
        <v>0</v>
      </c>
      <c r="E284" s="480">
        <f t="shared" si="20"/>
        <v>0</v>
      </c>
      <c r="F284" s="480">
        <f t="shared" si="22"/>
        <v>0</v>
      </c>
      <c r="G284" s="480">
        <f t="shared" si="23"/>
        <v>0</v>
      </c>
      <c r="H284" s="335">
        <f t="shared" si="24"/>
        <v>0</v>
      </c>
      <c r="I284" s="335">
        <f t="shared" si="25"/>
        <v>0</v>
      </c>
      <c r="J284" s="262">
        <f>Sheet5!$B$28-Sheet2!E284</f>
        <v>443</v>
      </c>
      <c r="K284" s="263">
        <f t="shared" si="26"/>
        <v>443</v>
      </c>
      <c r="L284" s="262">
        <f t="shared" si="27"/>
        <v>443</v>
      </c>
    </row>
    <row r="285" spans="1:12" x14ac:dyDescent="0.25">
      <c r="A285" s="519" t="s">
        <v>827</v>
      </c>
      <c r="B285" s="188">
        <f>SUM($H$83:H90)</f>
        <v>62.25</v>
      </c>
      <c r="C285" s="188">
        <f t="shared" si="21"/>
        <v>62.25</v>
      </c>
      <c r="D285" s="522">
        <f t="shared" si="19"/>
        <v>0</v>
      </c>
      <c r="E285" s="480">
        <f t="shared" si="20"/>
        <v>0</v>
      </c>
      <c r="F285" s="480">
        <f t="shared" si="22"/>
        <v>0</v>
      </c>
      <c r="G285" s="480">
        <f t="shared" si="23"/>
        <v>0</v>
      </c>
      <c r="H285" s="335">
        <f t="shared" si="24"/>
        <v>0</v>
      </c>
      <c r="I285" s="335">
        <f t="shared" si="25"/>
        <v>0</v>
      </c>
      <c r="J285" s="262">
        <f>Sheet5!$B$28-Sheet2!E285</f>
        <v>443</v>
      </c>
      <c r="K285" s="263">
        <f t="shared" si="26"/>
        <v>443</v>
      </c>
      <c r="L285" s="262">
        <f t="shared" si="27"/>
        <v>0</v>
      </c>
    </row>
    <row r="286" spans="1:12" x14ac:dyDescent="0.25">
      <c r="A286" s="188"/>
      <c r="B286" s="188"/>
      <c r="C286" s="188"/>
      <c r="D286" s="188"/>
      <c r="E286" s="188"/>
      <c r="F286" s="188"/>
      <c r="G286" s="188"/>
    </row>
    <row r="287" spans="1:12" x14ac:dyDescent="0.25">
      <c r="A287" s="520" t="s">
        <v>890</v>
      </c>
      <c r="B287" s="188"/>
      <c r="C287" s="188"/>
      <c r="D287" s="188"/>
      <c r="E287" s="188"/>
      <c r="F287" s="188"/>
      <c r="G287" s="188"/>
    </row>
    <row r="288" spans="1:12" x14ac:dyDescent="0.25">
      <c r="A288" s="521" t="str">
        <f>IF(AND(C272&gt;=B279,C272&lt;=B280),A280,IF(AND(C272&gt;=B280,C272&lt;=B281),A281,IF(AND(C272&gt;=B281,C272&lt;=B282),A282,IF(AND(C272&gt;=B282,C272&lt;=B283),A283,IF(AND(C272&gt;=B283,C272&lt;=B284),A284,IF(AND(C272&gt;=B284,C272&lt;=B285),A285,"Sai"))))))</f>
        <v>Sai</v>
      </c>
      <c r="B288" s="188" t="e">
        <f>VLOOKUP(A288,A278:J285,2,FALSE)</f>
        <v>#N/A</v>
      </c>
      <c r="C288" s="188" t="e">
        <f>VLOOKUP(A288,A278:J285,3,FALSE)</f>
        <v>#N/A</v>
      </c>
      <c r="D288" s="188" t="e">
        <f>VLOOKUP(A288,A278:J285,4,FALSE)</f>
        <v>#N/A</v>
      </c>
      <c r="E288" s="188" t="e">
        <f>VLOOKUP(A288,A278:J285,5,FALSE)</f>
        <v>#N/A</v>
      </c>
      <c r="F288" s="188" t="e">
        <f>VLOOKUP(A288,A278:J285,6,FALSE)</f>
        <v>#N/A</v>
      </c>
      <c r="G288" s="188" t="e">
        <f>VLOOKUP(A288,A278:J285,7,FALSE)</f>
        <v>#N/A</v>
      </c>
      <c r="H288" s="335" t="e">
        <f>VLOOKUP(A288,A278:J285,8,FALSE)</f>
        <v>#N/A</v>
      </c>
      <c r="I288" s="335" t="e">
        <f>VLOOKUP(A288,A278:J285,9,FALSE)</f>
        <v>#N/A</v>
      </c>
      <c r="J288" s="335" t="e">
        <f>VLOOKUP(A288,A278:L285,10,FALSE)</f>
        <v>#N/A</v>
      </c>
      <c r="K288" s="335" t="e">
        <f>VLOOKUP(A288,A278:L285,11,FALSE)</f>
        <v>#N/A</v>
      </c>
      <c r="L288" s="335" t="e">
        <f>VLOOKUP(A288,A278:L285,12,FALSE)</f>
        <v>#N/A</v>
      </c>
    </row>
    <row r="289" spans="1:14" x14ac:dyDescent="0.25">
      <c r="A289" s="520" t="s">
        <v>892</v>
      </c>
      <c r="B289" s="188"/>
      <c r="C289" s="188"/>
      <c r="D289" s="188" t="e">
        <f>D288</f>
        <v>#N/A</v>
      </c>
      <c r="E289" s="188" t="e">
        <f>(E279-E288)/2</f>
        <v>#N/A</v>
      </c>
      <c r="F289" s="188" t="e">
        <f>IF(C290&gt;6,(E279-F288)/2,0)</f>
        <v>#N/A</v>
      </c>
      <c r="G289" s="188" t="e">
        <f>IF(B290&gt;6,(E279-G288)/2,0)</f>
        <v>#N/A</v>
      </c>
      <c r="H289" s="228" t="e">
        <f>IF(F289=0,0,H288)</f>
        <v>#N/A</v>
      </c>
      <c r="I289" s="335" t="e">
        <f>IF(G289=0,0,I288)</f>
        <v>#N/A</v>
      </c>
      <c r="J289" s="335" t="e">
        <f>J288</f>
        <v>#N/A</v>
      </c>
      <c r="K289" s="228" t="e">
        <f>IF(F289=0,0,K288)</f>
        <v>#N/A</v>
      </c>
      <c r="L289" s="335" t="e">
        <f>IF(G289=0,0,L288)</f>
        <v>#N/A</v>
      </c>
    </row>
    <row r="290" spans="1:14" x14ac:dyDescent="0.25">
      <c r="A290" s="188"/>
      <c r="B290" s="188" t="e">
        <f>ABS(C273-B288)</f>
        <v>#N/A</v>
      </c>
      <c r="C290" s="188" t="e">
        <f>ABS(C274-C288)</f>
        <v>#N/A</v>
      </c>
      <c r="D290" s="188" t="s">
        <v>896</v>
      </c>
      <c r="E290" s="188" t="s">
        <v>897</v>
      </c>
      <c r="F290" s="188" t="s">
        <v>898</v>
      </c>
      <c r="G290" s="188" t="s">
        <v>899</v>
      </c>
      <c r="H290" s="228" t="s">
        <v>900</v>
      </c>
      <c r="I290" s="228" t="s">
        <v>901</v>
      </c>
      <c r="J290" s="335" t="s">
        <v>902</v>
      </c>
      <c r="K290" s="228" t="s">
        <v>903</v>
      </c>
      <c r="L290" s="228" t="s">
        <v>904</v>
      </c>
    </row>
    <row r="291" spans="1:14" x14ac:dyDescent="0.25">
      <c r="A291" s="188"/>
      <c r="B291" s="188"/>
      <c r="C291" s="188"/>
      <c r="D291" s="188"/>
      <c r="E291" s="188"/>
      <c r="F291" s="188"/>
      <c r="G291" s="188"/>
    </row>
    <row r="292" spans="1:14" x14ac:dyDescent="0.25">
      <c r="A292" s="188"/>
      <c r="B292" s="188"/>
      <c r="C292" s="188"/>
      <c r="D292" s="188"/>
      <c r="E292" s="188"/>
      <c r="F292" s="188"/>
      <c r="G292" s="188"/>
    </row>
    <row r="293" spans="1:14" ht="15.75" thickBot="1" x14ac:dyDescent="0.3"/>
    <row r="294" spans="1:14" ht="20.25" thickTop="1" thickBot="1" x14ac:dyDescent="0.3">
      <c r="A294" s="228" t="s">
        <v>829</v>
      </c>
      <c r="E294" s="473" t="s">
        <v>804</v>
      </c>
      <c r="M294" s="335" t="e">
        <f>3+1+L296</f>
        <v>#N/A</v>
      </c>
      <c r="N294" s="335">
        <f>(B74-B86)/2</f>
        <v>20</v>
      </c>
    </row>
    <row r="295" spans="1:14" ht="16.5" thickTop="1" thickBot="1" x14ac:dyDescent="0.3">
      <c r="A295" s="188" t="s">
        <v>828</v>
      </c>
      <c r="B295" s="478">
        <f t="shared" ref="B295:B302" si="28">G83</f>
        <v>26.25</v>
      </c>
      <c r="E295" s="159" t="s">
        <v>812</v>
      </c>
      <c r="F295" s="135" t="s">
        <v>813</v>
      </c>
      <c r="G295" s="231" t="s">
        <v>814</v>
      </c>
      <c r="H295" s="231" t="s">
        <v>815</v>
      </c>
      <c r="I295" s="231" t="s">
        <v>819</v>
      </c>
      <c r="J295" s="1240" t="s">
        <v>1039</v>
      </c>
      <c r="K295" s="1240"/>
      <c r="L295" s="261" t="s">
        <v>1049</v>
      </c>
      <c r="M295" s="422" t="s">
        <v>4322</v>
      </c>
      <c r="N295" s="422" t="s">
        <v>4323</v>
      </c>
    </row>
    <row r="296" spans="1:14" ht="16.5" thickTop="1" thickBot="1" x14ac:dyDescent="0.3">
      <c r="A296" s="519" t="s">
        <v>821</v>
      </c>
      <c r="B296" s="478">
        <f t="shared" si="28"/>
        <v>9</v>
      </c>
      <c r="E296" s="231">
        <f>IF(B26&lt;=100,60,IF(B26&lt;1000,80,100))</f>
        <v>80</v>
      </c>
      <c r="F296" s="231">
        <f>IF(B26&gt;1250,3,0)</f>
        <v>0</v>
      </c>
      <c r="G296" s="231">
        <f>IF(B26&gt;1250,4,0)</f>
        <v>0</v>
      </c>
      <c r="H296" s="231" t="e">
        <f>IF(AND(B26&gt;1250,C74&lt;=60),8,IF(AND(B26&gt;1250,C74&gt;=70),10,IF(AND(B26&gt;1250,C74&gt;60,C74&lt;70),9,0)))</f>
        <v>#N/A</v>
      </c>
      <c r="I296" s="231">
        <f>IF(B26&gt;1250,20,0)</f>
        <v>0</v>
      </c>
      <c r="J296" s="268">
        <f>MROUND(K296,5)+5</f>
        <v>5</v>
      </c>
      <c r="K296" s="268">
        <f>(G93-F93)+2</f>
        <v>2</v>
      </c>
      <c r="L296" s="261" t="e">
        <f>IF(C74&lt;=70,4,IF(C74&gt;=80,6,5))</f>
        <v>#N/A</v>
      </c>
      <c r="M296" s="422">
        <f>10+P168</f>
        <v>20</v>
      </c>
      <c r="N296" s="422" t="e">
        <f>10+P168+(N294-M294)*2</f>
        <v>#N/A</v>
      </c>
    </row>
    <row r="297" spans="1:14" ht="16.5" thickTop="1" thickBot="1" x14ac:dyDescent="0.3">
      <c r="A297" s="519" t="s">
        <v>822</v>
      </c>
      <c r="B297" s="478">
        <f t="shared" si="28"/>
        <v>8.5</v>
      </c>
      <c r="F297" s="135" t="s">
        <v>816</v>
      </c>
      <c r="G297" s="231" t="s">
        <v>817</v>
      </c>
      <c r="H297" s="231" t="s">
        <v>818</v>
      </c>
      <c r="I297" s="231" t="s">
        <v>820</v>
      </c>
    </row>
    <row r="298" spans="1:14" ht="16.5" thickTop="1" thickBot="1" x14ac:dyDescent="0.3">
      <c r="A298" s="519" t="s">
        <v>823</v>
      </c>
      <c r="B298" s="478">
        <f t="shared" si="28"/>
        <v>6.5</v>
      </c>
      <c r="F298" s="231">
        <f>IF(B26&gt;1250,0,3)</f>
        <v>3</v>
      </c>
      <c r="G298" s="231">
        <f>IF(B26&gt;1250,0,4)</f>
        <v>4</v>
      </c>
      <c r="H298" s="231" t="e">
        <f>IF(AND(B26&lt;=1250,C74&lt;=60),8,IF(AND(B26&lt;=1250,C74&gt;=70),10,IF(AND(B26&lt;=1250,C74&gt;60,C74&lt;70),9,0)))</f>
        <v>#N/A</v>
      </c>
      <c r="I298" s="231">
        <f>IF(B26&lt;1250,20,0)</f>
        <v>20</v>
      </c>
    </row>
    <row r="299" spans="1:14" ht="16.5" thickTop="1" thickBot="1" x14ac:dyDescent="0.3">
      <c r="A299" s="519" t="s">
        <v>824</v>
      </c>
      <c r="B299" s="478">
        <f t="shared" si="28"/>
        <v>12</v>
      </c>
    </row>
    <row r="300" spans="1:14" ht="16.5" thickTop="1" thickBot="1" x14ac:dyDescent="0.3">
      <c r="A300" s="519" t="s">
        <v>825</v>
      </c>
      <c r="B300" s="478">
        <f t="shared" si="28"/>
        <v>0</v>
      </c>
      <c r="E300" s="135" t="s">
        <v>335</v>
      </c>
      <c r="F300" s="231" t="s">
        <v>872</v>
      </c>
      <c r="G300" s="231" t="s">
        <v>869</v>
      </c>
      <c r="H300" s="231" t="s">
        <v>847</v>
      </c>
      <c r="I300" s="268">
        <f>Sheet5!H20</f>
        <v>0.06</v>
      </c>
    </row>
    <row r="301" spans="1:14" ht="16.5" thickTop="1" thickBot="1" x14ac:dyDescent="0.3">
      <c r="A301" s="519" t="s">
        <v>826</v>
      </c>
      <c r="B301" s="478">
        <f t="shared" si="28"/>
        <v>0</v>
      </c>
      <c r="E301" s="231"/>
      <c r="F301" s="231">
        <f>ROUND(Sheet5!H15,2)</f>
        <v>1.9</v>
      </c>
      <c r="G301" s="231">
        <f>ROUND(Sheet5!I15,2)</f>
        <v>1.9</v>
      </c>
    </row>
    <row r="302" spans="1:14" ht="15.75" thickTop="1" x14ac:dyDescent="0.25">
      <c r="A302" s="519" t="s">
        <v>827</v>
      </c>
      <c r="B302" s="478">
        <f t="shared" si="28"/>
        <v>0</v>
      </c>
      <c r="F302" s="228">
        <f>IF(F308&lt;=3,0,ROUND(Sheet5!H15,2))</f>
        <v>0</v>
      </c>
      <c r="G302" s="335"/>
    </row>
    <row r="303" spans="1:14" x14ac:dyDescent="0.25">
      <c r="B303" s="335"/>
      <c r="F303" s="228">
        <f>IF(F308&lt;=2,0,F301)</f>
        <v>0</v>
      </c>
    </row>
    <row r="304" spans="1:14" x14ac:dyDescent="0.25">
      <c r="F304" s="228">
        <f>IF(F308&lt;2,0,F301)</f>
        <v>0</v>
      </c>
    </row>
    <row r="305" spans="4:7" x14ac:dyDescent="0.25">
      <c r="F305" s="228" t="s">
        <v>871</v>
      </c>
      <c r="G305" s="228" t="s">
        <v>870</v>
      </c>
    </row>
    <row r="306" spans="4:7" x14ac:dyDescent="0.25">
      <c r="E306" s="228" t="s">
        <v>830</v>
      </c>
      <c r="F306" s="262">
        <f>IF(Sheet5!H17&lt;=5,2,Sheet5!H17-3)</f>
        <v>2</v>
      </c>
      <c r="G306" s="262">
        <f>Sheet5!I17</f>
        <v>1</v>
      </c>
    </row>
    <row r="308" spans="4:7" x14ac:dyDescent="0.25">
      <c r="E308" s="128" t="s">
        <v>867</v>
      </c>
      <c r="F308" s="505">
        <f>Sheet5!H17</f>
        <v>1</v>
      </c>
      <c r="G308" s="505">
        <f>Sheet5!I17</f>
        <v>1</v>
      </c>
    </row>
    <row r="310" spans="4:7" x14ac:dyDescent="0.25">
      <c r="E310" s="228" t="s">
        <v>664</v>
      </c>
      <c r="F310" s="262">
        <f>Sheet5!H26</f>
        <v>1</v>
      </c>
      <c r="G310" s="262">
        <f>Sheet5!H27</f>
        <v>1</v>
      </c>
    </row>
    <row r="314" spans="4:7" ht="15.75" thickBot="1" x14ac:dyDescent="0.3"/>
    <row r="315" spans="4:7" ht="16.5" thickTop="1" thickBot="1" x14ac:dyDescent="0.3">
      <c r="E315" s="135" t="s">
        <v>873</v>
      </c>
      <c r="F315" s="231" t="s">
        <v>874</v>
      </c>
      <c r="G315" s="334" t="s">
        <v>877</v>
      </c>
    </row>
    <row r="316" spans="4:7" ht="16.5" thickTop="1" thickBot="1" x14ac:dyDescent="0.3">
      <c r="E316" s="231"/>
      <c r="F316" s="231">
        <f>IF(MOD(I248,2),10+B86-B87,10+B87+G308*G301)</f>
        <v>321</v>
      </c>
      <c r="G316" s="231">
        <f>IF(MOD(I248,2),80,10+B87+G308*G301)</f>
        <v>80</v>
      </c>
    </row>
    <row r="317" spans="4:7" ht="15.75" thickTop="1" x14ac:dyDescent="0.25"/>
    <row r="319" spans="4:7" ht="15.75" thickBot="1" x14ac:dyDescent="0.3"/>
    <row r="320" spans="4:7" ht="15.75" thickBot="1" x14ac:dyDescent="0.3">
      <c r="D320" s="449" t="s">
        <v>988</v>
      </c>
      <c r="E320" s="598" t="s">
        <v>1033</v>
      </c>
    </row>
    <row r="321" spans="4:11" x14ac:dyDescent="0.2">
      <c r="D321" s="282">
        <f>8.92*10^-6</f>
        <v>8.9199999999999993E-6</v>
      </c>
      <c r="E321" s="546" t="s">
        <v>146</v>
      </c>
      <c r="F321" s="546" t="s">
        <v>970</v>
      </c>
      <c r="G321" s="546" t="s">
        <v>146</v>
      </c>
      <c r="H321" s="546" t="s">
        <v>146</v>
      </c>
      <c r="I321" s="546" t="s">
        <v>146</v>
      </c>
      <c r="J321" s="547" t="s">
        <v>146</v>
      </c>
      <c r="K321" s="284"/>
    </row>
    <row r="322" spans="4:11" x14ac:dyDescent="0.2">
      <c r="D322" s="289"/>
      <c r="E322" s="194" t="s">
        <v>146</v>
      </c>
      <c r="F322" s="194" t="str">
        <f>F344</f>
        <v>Sợi 1</v>
      </c>
      <c r="G322" s="194" t="str">
        <f>G344</f>
        <v>Sợi 2</v>
      </c>
      <c r="H322" s="194" t="s">
        <v>973</v>
      </c>
      <c r="I322" s="194" t="s">
        <v>974</v>
      </c>
      <c r="J322" s="195" t="s">
        <v>975</v>
      </c>
      <c r="K322" s="548" t="s">
        <v>980</v>
      </c>
    </row>
    <row r="323" spans="4:11" x14ac:dyDescent="0.2">
      <c r="D323" s="289"/>
      <c r="E323" s="194" t="s">
        <v>976</v>
      </c>
      <c r="F323" s="549">
        <v>305</v>
      </c>
      <c r="G323" s="549">
        <v>0</v>
      </c>
      <c r="H323" s="549">
        <v>0</v>
      </c>
      <c r="I323" s="549">
        <v>0</v>
      </c>
      <c r="J323" s="549">
        <v>0</v>
      </c>
      <c r="K323" s="549">
        <v>0</v>
      </c>
    </row>
    <row r="324" spans="4:11" x14ac:dyDescent="0.2">
      <c r="D324" s="289"/>
      <c r="E324" s="194" t="s">
        <v>977</v>
      </c>
      <c r="F324" s="549">
        <v>205</v>
      </c>
      <c r="G324" s="549">
        <v>0</v>
      </c>
      <c r="H324" s="549">
        <v>0</v>
      </c>
      <c r="I324" s="549">
        <v>0</v>
      </c>
      <c r="J324" s="549">
        <v>0</v>
      </c>
      <c r="K324" s="549">
        <v>0</v>
      </c>
    </row>
    <row r="325" spans="4:11" x14ac:dyDescent="0.2">
      <c r="D325" s="289"/>
      <c r="E325" s="194" t="s">
        <v>978</v>
      </c>
      <c r="F325" s="549">
        <v>215</v>
      </c>
      <c r="G325" s="549">
        <v>0</v>
      </c>
      <c r="H325" s="549">
        <v>0</v>
      </c>
      <c r="I325" s="549">
        <v>0</v>
      </c>
      <c r="J325" s="549">
        <v>0</v>
      </c>
      <c r="K325" s="549">
        <v>0</v>
      </c>
    </row>
    <row r="326" spans="4:11" x14ac:dyDescent="0.2">
      <c r="D326" s="289"/>
      <c r="E326" s="196" t="s">
        <v>979</v>
      </c>
      <c r="F326" s="593">
        <f>G340</f>
        <v>95</v>
      </c>
      <c r="G326" s="196">
        <f>IF(H340=1,I340,IF(F340&gt;=4,G340,I340))</f>
        <v>0</v>
      </c>
      <c r="H326" s="196">
        <f>IF(H323=0,0,IF(F340&gt;=6,G340,I340))</f>
        <v>0</v>
      </c>
      <c r="I326" s="196">
        <f>IF(I323=0,0,IF(F340&gt;=8,G340,I340))</f>
        <v>0</v>
      </c>
      <c r="J326" s="197">
        <f>IF(J323=0,0,IF(F340&gt;=10,G340,I340))</f>
        <v>0</v>
      </c>
      <c r="K326" s="290">
        <f>IF(K323=0,0,IF(F340&gt;=12,G340,I340))</f>
        <v>0</v>
      </c>
    </row>
    <row r="327" spans="4:11" x14ac:dyDescent="0.25">
      <c r="D327" s="289"/>
      <c r="E327" s="188" t="s">
        <v>987</v>
      </c>
      <c r="F327" s="480">
        <f>ROUND((F323+F324+F325)*F326*$D$321,2)*H344</f>
        <v>0.61</v>
      </c>
      <c r="G327" s="480">
        <f>ROUND((G323+G324+G325)*G326*$D$321,2)*H344</f>
        <v>0</v>
      </c>
      <c r="H327" s="480">
        <f>ROUND((H323+H324+H325)*H326*$D$321,2)*2</f>
        <v>0</v>
      </c>
      <c r="I327" s="480">
        <f>ROUND((I323+I324+I325)*I326*$D$321,2)*2</f>
        <v>0</v>
      </c>
      <c r="J327" s="480">
        <f>ROUND((J323+J324+J325)*J326*$D$321,2)*2</f>
        <v>0</v>
      </c>
      <c r="K327" s="537">
        <f>ROUND((K323+K324+K325)*K326*$D$321,2)*2</f>
        <v>0</v>
      </c>
    </row>
    <row r="328" spans="4:11" x14ac:dyDescent="0.25">
      <c r="D328" s="289"/>
      <c r="E328" s="188"/>
      <c r="F328" s="188"/>
      <c r="G328" s="188"/>
      <c r="H328" s="188"/>
      <c r="I328" s="188"/>
      <c r="J328" s="188"/>
      <c r="K328" s="290"/>
    </row>
    <row r="329" spans="4:11" x14ac:dyDescent="0.2">
      <c r="D329" s="289"/>
      <c r="E329" s="194" t="s">
        <v>146</v>
      </c>
      <c r="F329" s="194" t="s">
        <v>970</v>
      </c>
      <c r="G329" s="194" t="s">
        <v>146</v>
      </c>
      <c r="H329" s="194" t="s">
        <v>146</v>
      </c>
      <c r="I329" s="194" t="s">
        <v>146</v>
      </c>
      <c r="J329" s="195" t="s">
        <v>146</v>
      </c>
      <c r="K329" s="290"/>
    </row>
    <row r="330" spans="4:11" x14ac:dyDescent="0.2">
      <c r="D330" s="289"/>
      <c r="E330" s="194" t="s">
        <v>146</v>
      </c>
      <c r="F330" s="194" t="str">
        <f>F342</f>
        <v>Sợi 1</v>
      </c>
      <c r="G330" s="194" t="str">
        <f>G342</f>
        <v>Sợi 2</v>
      </c>
      <c r="H330" s="194" t="s">
        <v>973</v>
      </c>
      <c r="I330" s="194" t="s">
        <v>974</v>
      </c>
      <c r="J330" s="195" t="s">
        <v>975</v>
      </c>
      <c r="K330" s="290" t="s">
        <v>980</v>
      </c>
    </row>
    <row r="331" spans="4:11" x14ac:dyDescent="0.2">
      <c r="D331" s="289"/>
      <c r="E331" s="194" t="s">
        <v>983</v>
      </c>
      <c r="F331" s="549">
        <v>170</v>
      </c>
      <c r="G331" s="549">
        <v>0</v>
      </c>
      <c r="H331" s="549">
        <v>0</v>
      </c>
      <c r="I331" s="549">
        <v>0</v>
      </c>
      <c r="J331" s="549">
        <v>0</v>
      </c>
      <c r="K331" s="551">
        <v>0</v>
      </c>
    </row>
    <row r="332" spans="4:11" x14ac:dyDescent="0.2">
      <c r="D332" s="289"/>
      <c r="E332" s="196" t="s">
        <v>979</v>
      </c>
      <c r="F332" s="196">
        <f>F338</f>
        <v>35</v>
      </c>
      <c r="G332" s="196">
        <f>IF(G331=0,0,IF(I338=1,H338,IF(G338&gt;=4,F338,H338)))</f>
        <v>0</v>
      </c>
      <c r="H332" s="196">
        <f>IF(H331=0,0,IF(G338&gt;=6,F338,H338))</f>
        <v>0</v>
      </c>
      <c r="I332" s="196">
        <f>IF(I331=0,0,IF(G338&gt;=8,F338,H338))</f>
        <v>0</v>
      </c>
      <c r="J332" s="197">
        <f>IF(J331=0,0,IF(G338&gt;=10,F338,H338))</f>
        <v>0</v>
      </c>
      <c r="K332" s="290">
        <f>IF(K331=0,0,IF(G338&gt;=12,F338,H338))</f>
        <v>0</v>
      </c>
    </row>
    <row r="333" spans="4:11" x14ac:dyDescent="0.25">
      <c r="D333" s="289"/>
      <c r="E333" s="188" t="s">
        <v>987</v>
      </c>
      <c r="F333" s="188">
        <f>ROUND(F331*F332*$D$321,2)*H342</f>
        <v>0.05</v>
      </c>
      <c r="G333" s="188">
        <f>ROUND(G331*G332*$D$321,2)*H342</f>
        <v>0</v>
      </c>
      <c r="H333" s="188">
        <f>ROUND(H331*H332*$D$321,2)*2</f>
        <v>0</v>
      </c>
      <c r="I333" s="188">
        <f>ROUND(I331*I332*$D$321,2)*2</f>
        <v>0</v>
      </c>
      <c r="J333" s="188">
        <f>ROUND(J331*J332*$D$321,2)*2</f>
        <v>0</v>
      </c>
      <c r="K333" s="290">
        <f>ROUND(K331*K332*$D$321,2)*2</f>
        <v>0</v>
      </c>
    </row>
    <row r="334" spans="4:11" x14ac:dyDescent="0.25">
      <c r="D334" s="289"/>
      <c r="E334" s="188"/>
      <c r="F334" s="188"/>
      <c r="G334" s="188"/>
      <c r="H334" s="188"/>
      <c r="I334" s="188"/>
      <c r="J334" s="188"/>
      <c r="K334" s="290"/>
    </row>
    <row r="335" spans="4:11" x14ac:dyDescent="0.25">
      <c r="D335" s="289"/>
      <c r="E335" s="188"/>
      <c r="F335" s="188" t="s">
        <v>971</v>
      </c>
      <c r="G335" s="188" t="s">
        <v>972</v>
      </c>
      <c r="I335" s="188"/>
      <c r="J335" s="188"/>
      <c r="K335" s="290"/>
    </row>
    <row r="336" spans="4:11" x14ac:dyDescent="0.25">
      <c r="D336" s="289"/>
      <c r="E336" s="188"/>
      <c r="F336" s="188" t="s">
        <v>981</v>
      </c>
      <c r="G336" s="188" t="s">
        <v>982</v>
      </c>
      <c r="I336" s="188"/>
      <c r="J336" s="188"/>
      <c r="K336" s="290"/>
    </row>
    <row r="337" spans="4:16" x14ac:dyDescent="0.25">
      <c r="D337" s="289"/>
      <c r="E337" s="188"/>
      <c r="F337" s="188"/>
      <c r="G337" s="188"/>
      <c r="H337" s="188"/>
      <c r="I337" s="188"/>
      <c r="J337" s="188"/>
      <c r="K337" s="290"/>
    </row>
    <row r="338" spans="4:16" x14ac:dyDescent="0.25">
      <c r="D338" s="289"/>
      <c r="E338" s="188" t="s">
        <v>985</v>
      </c>
      <c r="F338" s="188">
        <f>G141</f>
        <v>35</v>
      </c>
      <c r="G338" s="188">
        <f>F141</f>
        <v>1</v>
      </c>
      <c r="H338" s="188">
        <f>I141</f>
        <v>0</v>
      </c>
      <c r="I338" s="188">
        <f>H141</f>
        <v>0</v>
      </c>
      <c r="J338" s="188"/>
      <c r="K338" s="290"/>
    </row>
    <row r="339" spans="4:16" x14ac:dyDescent="0.25">
      <c r="D339" s="289"/>
      <c r="E339" s="188"/>
      <c r="F339" s="188"/>
      <c r="G339" s="188"/>
      <c r="H339" s="188"/>
      <c r="I339" s="188"/>
      <c r="J339" s="188"/>
      <c r="K339" s="290"/>
    </row>
    <row r="340" spans="4:16" x14ac:dyDescent="0.25">
      <c r="D340" s="289"/>
      <c r="E340" s="188" t="s">
        <v>984</v>
      </c>
      <c r="F340" s="480">
        <f>F155</f>
        <v>1</v>
      </c>
      <c r="G340" s="480">
        <f>G155</f>
        <v>95</v>
      </c>
      <c r="H340" s="480">
        <f>H155</f>
        <v>0</v>
      </c>
      <c r="I340" s="480">
        <f>I155</f>
        <v>0</v>
      </c>
      <c r="J340" s="480">
        <f>H340+F340</f>
        <v>1</v>
      </c>
      <c r="K340" s="290"/>
    </row>
    <row r="341" spans="4:16" x14ac:dyDescent="0.25">
      <c r="D341" s="289"/>
      <c r="E341" s="188"/>
      <c r="F341" s="188"/>
      <c r="G341" s="188"/>
      <c r="H341" s="188"/>
      <c r="I341" s="188"/>
      <c r="J341" s="188"/>
      <c r="K341" s="290"/>
    </row>
    <row r="342" spans="4:16" x14ac:dyDescent="0.25">
      <c r="D342" s="289"/>
      <c r="E342" s="188" t="s">
        <v>986</v>
      </c>
      <c r="F342" s="188" t="str">
        <f>IF(G338=1,F335,F336)</f>
        <v>Sợi 1</v>
      </c>
      <c r="G342" s="188" t="str">
        <f>IF(F342=F336,G336,G335)</f>
        <v>Sợi 2</v>
      </c>
      <c r="H342" s="188">
        <f>IF(F330=F335,1,2)</f>
        <v>1</v>
      </c>
      <c r="I342" s="188">
        <f>IF(F330=F335,1,2)</f>
        <v>1</v>
      </c>
      <c r="J342" s="188"/>
      <c r="K342" s="290"/>
    </row>
    <row r="343" spans="4:16" x14ac:dyDescent="0.25">
      <c r="D343" s="289"/>
      <c r="E343" s="188"/>
      <c r="F343" s="188"/>
      <c r="G343" s="188"/>
      <c r="J343" s="188"/>
      <c r="K343" s="290"/>
    </row>
    <row r="344" spans="4:16" x14ac:dyDescent="0.25">
      <c r="D344" s="289"/>
      <c r="E344" s="188" t="s">
        <v>984</v>
      </c>
      <c r="F344" s="188" t="str">
        <f>IF(F340=1,F335,F336)</f>
        <v>Sợi 1</v>
      </c>
      <c r="G344" s="188" t="str">
        <f>IF(F344=F335,G335,G336)</f>
        <v>Sợi 2</v>
      </c>
      <c r="H344" s="188">
        <f>IF(F322=F335,1,2)</f>
        <v>1</v>
      </c>
      <c r="I344" s="188">
        <f>IF(F322=F335,1,2)</f>
        <v>1</v>
      </c>
      <c r="J344" s="188"/>
      <c r="K344" s="290"/>
    </row>
    <row r="345" spans="4:16" ht="15.75" thickBot="1" x14ac:dyDescent="0.3">
      <c r="D345" s="314"/>
      <c r="E345" s="190"/>
      <c r="F345" s="190"/>
      <c r="G345" s="190"/>
      <c r="H345" s="190"/>
      <c r="I345" s="190"/>
      <c r="J345" s="190"/>
      <c r="K345" s="296"/>
    </row>
    <row r="348" spans="4:16" x14ac:dyDescent="0.25">
      <c r="D348" s="228" t="s">
        <v>1040</v>
      </c>
      <c r="E348" s="335"/>
      <c r="F348" s="335"/>
      <c r="G348" s="335"/>
      <c r="H348" s="335"/>
      <c r="I348" s="335"/>
      <c r="J348" s="335"/>
      <c r="K348" s="335"/>
      <c r="L348" s="335"/>
      <c r="M348" s="335"/>
      <c r="N348" s="335"/>
    </row>
    <row r="349" spans="4:16" ht="15.75" thickBot="1" x14ac:dyDescent="0.3"/>
    <row r="350" spans="4:16" x14ac:dyDescent="0.2">
      <c r="D350" s="546" t="s">
        <v>146</v>
      </c>
      <c r="E350" s="546" t="s">
        <v>970</v>
      </c>
      <c r="F350" s="546" t="s">
        <v>146</v>
      </c>
      <c r="G350" s="546" t="s">
        <v>146</v>
      </c>
      <c r="H350" s="546" t="s">
        <v>146</v>
      </c>
      <c r="I350" s="547" t="s">
        <v>146</v>
      </c>
      <c r="J350" s="284"/>
    </row>
    <row r="351" spans="4:16" x14ac:dyDescent="0.2">
      <c r="D351" s="194" t="s">
        <v>146</v>
      </c>
      <c r="E351" s="194" t="s">
        <v>971</v>
      </c>
      <c r="F351" s="194" t="s">
        <v>972</v>
      </c>
      <c r="G351" s="194" t="s">
        <v>1055</v>
      </c>
      <c r="H351" s="194" t="s">
        <v>1056</v>
      </c>
      <c r="I351" s="194" t="s">
        <v>1057</v>
      </c>
      <c r="J351" s="194" t="s">
        <v>1058</v>
      </c>
      <c r="K351" s="194" t="s">
        <v>1059</v>
      </c>
      <c r="L351" s="194" t="s">
        <v>1060</v>
      </c>
      <c r="M351" s="194" t="s">
        <v>1061</v>
      </c>
      <c r="N351" s="194" t="s">
        <v>1062</v>
      </c>
      <c r="O351" s="194" t="s">
        <v>1063</v>
      </c>
      <c r="P351" s="194" t="s">
        <v>1064</v>
      </c>
    </row>
    <row r="352" spans="4:16" x14ac:dyDescent="0.2">
      <c r="D352" s="194" t="s">
        <v>976</v>
      </c>
      <c r="E352" s="549">
        <v>515</v>
      </c>
      <c r="F352" s="549">
        <v>565</v>
      </c>
      <c r="G352" s="549">
        <v>610</v>
      </c>
      <c r="H352" s="549">
        <v>660</v>
      </c>
      <c r="I352" s="549">
        <v>710</v>
      </c>
      <c r="J352" s="549">
        <v>540</v>
      </c>
      <c r="K352" s="549">
        <v>585</v>
      </c>
      <c r="L352" s="549">
        <v>630</v>
      </c>
      <c r="M352" s="549">
        <v>680</v>
      </c>
      <c r="N352" s="549">
        <v>730</v>
      </c>
      <c r="O352" s="549">
        <v>0</v>
      </c>
      <c r="P352" s="549">
        <v>0</v>
      </c>
    </row>
    <row r="353" spans="4:16" x14ac:dyDescent="0.2">
      <c r="D353" s="194" t="s">
        <v>977</v>
      </c>
      <c r="E353" s="549">
        <v>315</v>
      </c>
      <c r="F353" s="549">
        <v>360</v>
      </c>
      <c r="G353" s="549">
        <v>405</v>
      </c>
      <c r="H353" s="549">
        <v>450</v>
      </c>
      <c r="I353" s="549">
        <v>500</v>
      </c>
      <c r="J353" s="549">
        <v>365</v>
      </c>
      <c r="K353" s="549">
        <v>410</v>
      </c>
      <c r="L353" s="549">
        <v>460</v>
      </c>
      <c r="M353" s="549">
        <v>510</v>
      </c>
      <c r="N353" s="549">
        <v>560</v>
      </c>
      <c r="O353" s="549">
        <v>0</v>
      </c>
      <c r="P353" s="549">
        <v>0</v>
      </c>
    </row>
    <row r="354" spans="4:16" x14ac:dyDescent="0.2">
      <c r="D354" s="194" t="s">
        <v>978</v>
      </c>
      <c r="E354" s="549">
        <v>340</v>
      </c>
      <c r="F354" s="549">
        <v>385</v>
      </c>
      <c r="G354" s="549">
        <v>435</v>
      </c>
      <c r="H354" s="549">
        <v>480</v>
      </c>
      <c r="I354" s="549">
        <v>530</v>
      </c>
      <c r="J354" s="549">
        <v>385</v>
      </c>
      <c r="K354" s="549">
        <v>430</v>
      </c>
      <c r="L354" s="549">
        <v>480</v>
      </c>
      <c r="M354" s="549">
        <v>530</v>
      </c>
      <c r="N354" s="549">
        <v>580</v>
      </c>
      <c r="O354" s="549">
        <v>0</v>
      </c>
      <c r="P354" s="549">
        <v>0</v>
      </c>
    </row>
    <row r="355" spans="4:16" x14ac:dyDescent="0.2">
      <c r="D355" s="196" t="s">
        <v>979</v>
      </c>
      <c r="E355" s="593">
        <f>G340</f>
        <v>95</v>
      </c>
      <c r="F355" s="196">
        <f>IF(F340&gt;=2,G340,I340)</f>
        <v>0</v>
      </c>
      <c r="G355" s="196">
        <f>IF(F340&gt;=3,G340,I340)</f>
        <v>0</v>
      </c>
      <c r="H355" s="196">
        <f>IF(F340&gt;=4,G340,I340)</f>
        <v>0</v>
      </c>
      <c r="I355" s="197">
        <f>IF(F340&gt;=5,G340,I340)</f>
        <v>0</v>
      </c>
      <c r="J355" s="290">
        <f>IF(F340&gt;=6,G340,I340)</f>
        <v>0</v>
      </c>
      <c r="K355" s="335">
        <f>IF(F340&gt;=7,G340,I340)</f>
        <v>0</v>
      </c>
      <c r="L355" s="335">
        <f>IF(F340&gt;=8,G340,I340)</f>
        <v>0</v>
      </c>
      <c r="M355" s="335">
        <f>IF(F340&gt;=9,G340,I340)</f>
        <v>0</v>
      </c>
      <c r="N355" s="335">
        <f>IF(F340&gt;=10,G340,I340)</f>
        <v>0</v>
      </c>
      <c r="O355" s="335">
        <f>IF(F340&gt;=11,G340,I340)</f>
        <v>0</v>
      </c>
      <c r="P355" s="335">
        <f>IF(F340&gt;=12,G340,I340)</f>
        <v>0</v>
      </c>
    </row>
    <row r="356" spans="4:16" x14ac:dyDescent="0.25">
      <c r="D356" s="188" t="s">
        <v>987</v>
      </c>
      <c r="E356" s="480">
        <f t="shared" ref="E356:P356" si="29">ROUND((E352+E353+E354)*E355*$D$321,2)</f>
        <v>0.99</v>
      </c>
      <c r="F356" s="480">
        <f t="shared" si="29"/>
        <v>0</v>
      </c>
      <c r="G356" s="480">
        <f t="shared" si="29"/>
        <v>0</v>
      </c>
      <c r="H356" s="480">
        <f t="shared" si="29"/>
        <v>0</v>
      </c>
      <c r="I356" s="480">
        <f t="shared" si="29"/>
        <v>0</v>
      </c>
      <c r="J356" s="480">
        <f t="shared" si="29"/>
        <v>0</v>
      </c>
      <c r="K356" s="480">
        <f t="shared" si="29"/>
        <v>0</v>
      </c>
      <c r="L356" s="480">
        <f t="shared" si="29"/>
        <v>0</v>
      </c>
      <c r="M356" s="480">
        <f t="shared" si="29"/>
        <v>0</v>
      </c>
      <c r="N356" s="480">
        <f t="shared" si="29"/>
        <v>0</v>
      </c>
      <c r="O356" s="480">
        <f t="shared" si="29"/>
        <v>0</v>
      </c>
      <c r="P356" s="480">
        <f t="shared" si="29"/>
        <v>0</v>
      </c>
    </row>
    <row r="357" spans="4:16" x14ac:dyDescent="0.25">
      <c r="D357" s="188"/>
      <c r="E357" s="188"/>
      <c r="F357" s="188"/>
      <c r="G357" s="188"/>
      <c r="H357" s="188"/>
      <c r="I357" s="188"/>
      <c r="J357" s="290"/>
    </row>
    <row r="358" spans="4:16" x14ac:dyDescent="0.2">
      <c r="D358" s="194" t="s">
        <v>146</v>
      </c>
      <c r="E358" s="194" t="s">
        <v>970</v>
      </c>
      <c r="F358" s="194" t="s">
        <v>146</v>
      </c>
      <c r="G358" s="194" t="s">
        <v>146</v>
      </c>
      <c r="H358" s="194" t="s">
        <v>146</v>
      </c>
      <c r="I358" s="195" t="s">
        <v>146</v>
      </c>
      <c r="J358" s="290"/>
    </row>
    <row r="359" spans="4:16" x14ac:dyDescent="0.2">
      <c r="D359" s="194" t="s">
        <v>146</v>
      </c>
      <c r="E359" s="194" t="s">
        <v>1091</v>
      </c>
      <c r="F359" s="194" t="s">
        <v>1092</v>
      </c>
      <c r="G359" s="194" t="s">
        <v>975</v>
      </c>
      <c r="H359" s="194"/>
      <c r="I359" s="195"/>
      <c r="J359" s="290"/>
    </row>
    <row r="360" spans="4:16" x14ac:dyDescent="0.2">
      <c r="D360" s="194" t="s">
        <v>983</v>
      </c>
      <c r="E360" s="549">
        <v>425</v>
      </c>
      <c r="F360" s="549">
        <v>440</v>
      </c>
      <c r="G360" s="549">
        <v>440</v>
      </c>
      <c r="H360" s="549">
        <v>0</v>
      </c>
      <c r="I360" s="550">
        <v>0</v>
      </c>
      <c r="J360" s="551">
        <v>0</v>
      </c>
    </row>
    <row r="361" spans="4:16" x14ac:dyDescent="0.2">
      <c r="D361" s="196" t="s">
        <v>979</v>
      </c>
      <c r="E361" s="196">
        <v>120</v>
      </c>
      <c r="F361" s="196">
        <v>120</v>
      </c>
      <c r="G361" s="196">
        <v>95</v>
      </c>
      <c r="H361" s="196">
        <f>IF(H360=0,0,IF(G366&gt;=8,F366,H366))</f>
        <v>0</v>
      </c>
      <c r="I361" s="197">
        <f>IF(I360=0,0,IF(G366&gt;=10,F366,H366))</f>
        <v>0</v>
      </c>
      <c r="J361" s="290">
        <f>IF(J360=0,0,IF(G366&gt;=12,F366,H366))</f>
        <v>0</v>
      </c>
    </row>
    <row r="362" spans="4:16" x14ac:dyDescent="0.25">
      <c r="D362" s="188" t="s">
        <v>987</v>
      </c>
      <c r="E362" s="188">
        <f>ROUND(E360*E361*$D$321,2)</f>
        <v>0.45</v>
      </c>
      <c r="F362" s="188">
        <f>ROUND(F360*F361*$D$321,2)</f>
        <v>0.47</v>
      </c>
      <c r="G362" s="188">
        <f>ROUND(G360*G361*$D$321,2)*2</f>
        <v>0.74</v>
      </c>
      <c r="H362" s="188">
        <f>ROUND(H360*H361*$D$321,2)*2</f>
        <v>0</v>
      </c>
      <c r="I362" s="188">
        <f>ROUND(I360*I361*$D$321,2)*2</f>
        <v>0</v>
      </c>
      <c r="J362" s="290">
        <f>ROUND(J360*J361*$D$321,2)*2</f>
        <v>0</v>
      </c>
    </row>
    <row r="367" spans="4:16" x14ac:dyDescent="0.25">
      <c r="D367" s="228" t="s">
        <v>1141</v>
      </c>
      <c r="E367" s="228" t="s">
        <v>1144</v>
      </c>
      <c r="F367" s="228" t="s">
        <v>1145</v>
      </c>
    </row>
    <row r="369" spans="4:4" x14ac:dyDescent="0.25">
      <c r="D369" s="228" t="s">
        <v>1142</v>
      </c>
    </row>
    <row r="370" spans="4:4" x14ac:dyDescent="0.25">
      <c r="D370" s="228" t="s">
        <v>1143</v>
      </c>
    </row>
  </sheetData>
  <sheetProtection formatCells="0" formatColumns="0" formatRows="0" insertColumns="0" insertRows="0" insertHyperlinks="0" deleteColumns="0" deleteRows="0" sort="0" autoFilter="0" pivotTables="0"/>
  <mergeCells count="6">
    <mergeCell ref="J295:K295"/>
    <mergeCell ref="R92:S94"/>
    <mergeCell ref="C54:C55"/>
    <mergeCell ref="Z66:AG66"/>
    <mergeCell ref="AC100:AD100"/>
    <mergeCell ref="C68:C70"/>
  </mergeCells>
  <pageMargins left="0.7" right="0.7" top="0.75" bottom="0.7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Sheet3!$C$110:$C$111</xm:f>
          </x14:formula1>
          <xm:sqref>F63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43"/>
  <sheetViews>
    <sheetView view="pageBreakPreview" zoomScale="70" zoomScaleNormal="100" zoomScaleSheetLayoutView="70" workbookViewId="0">
      <selection activeCell="M32" sqref="M32"/>
    </sheetView>
  </sheetViews>
  <sheetFormatPr defaultRowHeight="15" x14ac:dyDescent="0.25"/>
  <cols>
    <col min="1" max="1" width="9.140625" style="614" customWidth="1"/>
    <col min="2" max="6" width="9.140625" style="614"/>
    <col min="7" max="7" width="12.7109375" style="614" customWidth="1"/>
    <col min="8" max="8" width="10.28515625" style="614" customWidth="1"/>
    <col min="9" max="9" width="16.42578125" style="614" customWidth="1"/>
    <col min="10" max="10" width="15.85546875" style="614" customWidth="1"/>
    <col min="11" max="11" width="10.28515625" style="614" customWidth="1"/>
    <col min="12" max="12" width="9.140625" style="614"/>
    <col min="13" max="13" width="9.140625" style="614" customWidth="1"/>
    <col min="14" max="14" width="8.42578125" style="614" customWidth="1"/>
    <col min="15" max="15" width="9.140625" style="614"/>
    <col min="16" max="16" width="29.28515625" style="614" customWidth="1"/>
    <col min="17" max="16384" width="9.140625" style="614"/>
  </cols>
  <sheetData>
    <row r="1" spans="1:30" ht="34.5" customHeight="1" x14ac:dyDescent="0.25">
      <c r="A1" s="629"/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1"/>
      <c r="Q1" s="632"/>
      <c r="R1" s="632"/>
      <c r="S1" s="632"/>
      <c r="T1" s="632"/>
      <c r="U1" s="632"/>
      <c r="V1" s="632"/>
      <c r="W1" s="632"/>
      <c r="X1" s="632"/>
      <c r="Y1" s="632"/>
      <c r="Z1" s="632"/>
      <c r="AA1" s="632"/>
      <c r="AB1" s="632"/>
      <c r="AC1" s="632"/>
      <c r="AD1" s="632"/>
    </row>
    <row r="2" spans="1:30" ht="34.5" customHeight="1" x14ac:dyDescent="0.25">
      <c r="A2" s="633"/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634"/>
      <c r="Q2" s="632"/>
      <c r="R2" s="632"/>
      <c r="S2" s="632"/>
      <c r="T2" s="632"/>
      <c r="U2" s="632"/>
      <c r="V2" s="632"/>
      <c r="W2" s="632"/>
      <c r="X2" s="632"/>
      <c r="Y2" s="632"/>
      <c r="Z2" s="632"/>
      <c r="AA2" s="632"/>
      <c r="AB2" s="632"/>
      <c r="AC2" s="632"/>
      <c r="AD2" s="632"/>
    </row>
    <row r="3" spans="1:30" ht="34.5" customHeight="1" x14ac:dyDescent="0.25">
      <c r="A3" s="633"/>
      <c r="B3" s="632"/>
      <c r="C3" s="632"/>
      <c r="D3" s="632"/>
      <c r="E3" s="632"/>
      <c r="F3" s="632"/>
      <c r="G3" s="632"/>
      <c r="H3" s="632"/>
      <c r="I3" s="632"/>
      <c r="J3" s="632"/>
      <c r="K3" s="632"/>
      <c r="L3" s="632"/>
      <c r="M3" s="632"/>
      <c r="N3" s="632"/>
      <c r="O3" s="632"/>
      <c r="P3" s="634"/>
      <c r="Q3" s="632"/>
      <c r="R3" s="632"/>
      <c r="S3" s="632"/>
      <c r="T3" s="632"/>
      <c r="U3" s="632"/>
      <c r="V3" s="632"/>
      <c r="W3" s="632"/>
      <c r="X3" s="632"/>
      <c r="Y3" s="632"/>
      <c r="Z3" s="632"/>
      <c r="AA3" s="632"/>
      <c r="AB3" s="632"/>
      <c r="AC3" s="632"/>
      <c r="AD3" s="632"/>
    </row>
    <row r="4" spans="1:30" ht="15.75" customHeight="1" x14ac:dyDescent="0.25">
      <c r="A4" s="633"/>
      <c r="B4" s="632"/>
      <c r="C4" s="1262" t="s">
        <v>1083</v>
      </c>
      <c r="D4" s="1262"/>
      <c r="E4" s="1262"/>
      <c r="F4" s="1262" t="s">
        <v>1073</v>
      </c>
      <c r="G4" s="1262"/>
      <c r="H4" s="1262" t="s">
        <v>1071</v>
      </c>
      <c r="I4" s="1262"/>
      <c r="J4" s="1262" t="s">
        <v>1074</v>
      </c>
      <c r="K4" s="1262"/>
      <c r="L4" s="1261" t="s">
        <v>1084</v>
      </c>
      <c r="M4" s="1261"/>
      <c r="N4" s="1261"/>
      <c r="O4" s="632"/>
      <c r="P4" s="634"/>
      <c r="Q4" s="632"/>
      <c r="R4" s="632"/>
      <c r="S4" s="632"/>
      <c r="T4" s="632"/>
      <c r="U4" s="632"/>
      <c r="V4" s="632"/>
      <c r="W4" s="632"/>
      <c r="X4" s="632"/>
      <c r="Y4" s="632"/>
      <c r="Z4" s="632"/>
      <c r="AA4" s="632"/>
      <c r="AB4" s="632"/>
      <c r="AC4" s="632"/>
      <c r="AD4" s="632"/>
    </row>
    <row r="5" spans="1:30" ht="15" customHeight="1" x14ac:dyDescent="0.25">
      <c r="A5" s="633"/>
      <c r="B5" s="632"/>
      <c r="C5" s="1262"/>
      <c r="D5" s="1262"/>
      <c r="E5" s="1262"/>
      <c r="F5" s="1262"/>
      <c r="G5" s="1262"/>
      <c r="H5" s="1262"/>
      <c r="I5" s="1262"/>
      <c r="J5" s="1262"/>
      <c r="K5" s="1262"/>
      <c r="L5" s="1261"/>
      <c r="M5" s="1261"/>
      <c r="N5" s="1261"/>
      <c r="O5" s="632"/>
      <c r="P5" s="634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632"/>
      <c r="AB5" s="632"/>
      <c r="AC5" s="632"/>
      <c r="AD5" s="632"/>
    </row>
    <row r="6" spans="1:30" ht="15" customHeight="1" x14ac:dyDescent="0.25">
      <c r="A6" s="633"/>
      <c r="B6" s="632"/>
      <c r="C6" s="1262"/>
      <c r="D6" s="1262"/>
      <c r="E6" s="1262"/>
      <c r="F6" s="1262"/>
      <c r="G6" s="1262"/>
      <c r="H6" s="1262"/>
      <c r="I6" s="1262"/>
      <c r="J6" s="1262"/>
      <c r="K6" s="1262"/>
      <c r="L6" s="1261"/>
      <c r="M6" s="1261"/>
      <c r="N6" s="1261"/>
      <c r="O6" s="632"/>
      <c r="P6" s="634"/>
      <c r="Q6" s="632"/>
      <c r="R6" s="632"/>
      <c r="S6" s="632"/>
      <c r="T6" s="632"/>
      <c r="U6" s="632"/>
      <c r="V6" s="632"/>
      <c r="W6" s="632"/>
      <c r="X6" s="632"/>
      <c r="Y6" s="632"/>
      <c r="Z6" s="632"/>
      <c r="AA6" s="632"/>
      <c r="AB6" s="632"/>
      <c r="AC6" s="632"/>
      <c r="AD6" s="632"/>
    </row>
    <row r="7" spans="1:30" ht="15" customHeight="1" x14ac:dyDescent="0.25">
      <c r="A7" s="633"/>
      <c r="B7" s="632"/>
      <c r="C7" s="1262"/>
      <c r="D7" s="1262"/>
      <c r="E7" s="1262"/>
      <c r="F7" s="1262"/>
      <c r="G7" s="1262"/>
      <c r="H7" s="1262"/>
      <c r="I7" s="1262"/>
      <c r="J7" s="1262"/>
      <c r="K7" s="1262"/>
      <c r="L7" s="1261"/>
      <c r="M7" s="1261"/>
      <c r="N7" s="1261"/>
      <c r="O7" s="632"/>
      <c r="P7" s="634"/>
      <c r="Q7" s="632"/>
      <c r="R7" s="632"/>
      <c r="S7" s="632"/>
      <c r="T7" s="632"/>
      <c r="U7" s="632"/>
      <c r="V7" s="632"/>
      <c r="W7" s="632"/>
      <c r="X7" s="632"/>
      <c r="Y7" s="632"/>
      <c r="Z7" s="632"/>
      <c r="AA7" s="632"/>
      <c r="AB7" s="632"/>
      <c r="AC7" s="632"/>
      <c r="AD7" s="632"/>
    </row>
    <row r="8" spans="1:30" ht="15" customHeight="1" x14ac:dyDescent="0.25">
      <c r="A8" s="633"/>
      <c r="B8" s="632"/>
      <c r="C8" s="1262" t="s">
        <v>1068</v>
      </c>
      <c r="D8" s="1262"/>
      <c r="E8" s="1262"/>
      <c r="F8" s="1263">
        <f>Sheet2!F174</f>
        <v>82.5</v>
      </c>
      <c r="G8" s="1263"/>
      <c r="H8" s="1262">
        <f>Sheet2!G174</f>
        <v>50</v>
      </c>
      <c r="I8" s="1262"/>
      <c r="J8" s="1262">
        <f>Sheet2!H174</f>
        <v>10</v>
      </c>
      <c r="K8" s="1262"/>
      <c r="L8" s="1262">
        <v>6</v>
      </c>
      <c r="M8" s="1262"/>
      <c r="N8" s="1262"/>
      <c r="O8" s="632"/>
      <c r="P8" s="634"/>
      <c r="Q8" s="632"/>
      <c r="R8" s="632"/>
      <c r="S8" s="632"/>
      <c r="T8" s="632" t="s">
        <v>3682</v>
      </c>
      <c r="U8" s="632"/>
      <c r="V8" s="632"/>
      <c r="W8" s="632"/>
      <c r="X8" s="632"/>
      <c r="Y8" s="632"/>
      <c r="Z8" s="632"/>
      <c r="AA8" s="632"/>
      <c r="AB8" s="632"/>
      <c r="AC8" s="632"/>
      <c r="AD8" s="632"/>
    </row>
    <row r="9" spans="1:30" ht="15" customHeight="1" x14ac:dyDescent="0.25">
      <c r="A9" s="633"/>
      <c r="B9" s="632"/>
      <c r="C9" s="1262"/>
      <c r="D9" s="1262"/>
      <c r="E9" s="1262"/>
      <c r="F9" s="1263"/>
      <c r="G9" s="1263"/>
      <c r="H9" s="1262"/>
      <c r="I9" s="1262"/>
      <c r="J9" s="1262"/>
      <c r="K9" s="1262"/>
      <c r="L9" s="1262"/>
      <c r="M9" s="1262"/>
      <c r="N9" s="1262"/>
      <c r="O9" s="632"/>
      <c r="P9" s="634"/>
      <c r="Q9" s="632"/>
      <c r="R9" s="632"/>
      <c r="S9" s="632"/>
      <c r="T9" s="1039" t="s">
        <v>3678</v>
      </c>
      <c r="U9" s="1039"/>
      <c r="V9" s="632"/>
      <c r="W9" s="632"/>
      <c r="X9" s="632"/>
      <c r="Y9" s="632"/>
      <c r="Z9" s="632"/>
      <c r="AA9" s="632"/>
      <c r="AB9" s="632"/>
      <c r="AC9" s="632"/>
      <c r="AD9" s="632"/>
    </row>
    <row r="10" spans="1:30" ht="15" customHeight="1" x14ac:dyDescent="0.25">
      <c r="A10" s="633"/>
      <c r="B10" s="632"/>
      <c r="C10" s="1262"/>
      <c r="D10" s="1262"/>
      <c r="E10" s="1262"/>
      <c r="F10" s="1263"/>
      <c r="G10" s="1263"/>
      <c r="H10" s="1262"/>
      <c r="I10" s="1262"/>
      <c r="J10" s="1262"/>
      <c r="K10" s="1262"/>
      <c r="L10" s="1262"/>
      <c r="M10" s="1262"/>
      <c r="N10" s="1262"/>
      <c r="O10" s="632"/>
      <c r="P10" s="634"/>
      <c r="Q10" s="632"/>
      <c r="R10" s="632"/>
      <c r="S10" s="632"/>
      <c r="T10" s="1039" t="s">
        <v>3679</v>
      </c>
      <c r="U10" s="1039">
        <v>9</v>
      </c>
      <c r="V10" s="632"/>
      <c r="W10" s="632"/>
      <c r="X10" s="632"/>
      <c r="Y10" s="632"/>
      <c r="Z10" s="632"/>
      <c r="AA10" s="632"/>
      <c r="AB10" s="632"/>
      <c r="AC10" s="632"/>
      <c r="AD10" s="632"/>
    </row>
    <row r="11" spans="1:30" ht="15" customHeight="1" x14ac:dyDescent="0.25">
      <c r="A11" s="633"/>
      <c r="B11" s="632"/>
      <c r="C11" s="1262"/>
      <c r="D11" s="1262"/>
      <c r="E11" s="1262"/>
      <c r="F11" s="1263"/>
      <c r="G11" s="1263"/>
      <c r="H11" s="1262"/>
      <c r="I11" s="1262"/>
      <c r="J11" s="1262"/>
      <c r="K11" s="1262"/>
      <c r="L11" s="1262"/>
      <c r="M11" s="1262"/>
      <c r="N11" s="1262"/>
      <c r="O11" s="632"/>
      <c r="P11" s="634"/>
      <c r="Q11" s="632"/>
      <c r="R11" s="632"/>
      <c r="S11" s="632"/>
      <c r="T11" s="1039" t="s">
        <v>3680</v>
      </c>
      <c r="U11" s="1039">
        <v>6</v>
      </c>
      <c r="V11" s="632"/>
      <c r="W11" s="632"/>
      <c r="X11" s="632"/>
      <c r="Y11" s="632"/>
      <c r="Z11" s="632"/>
      <c r="AA11" s="632"/>
      <c r="AB11" s="632"/>
      <c r="AC11" s="632"/>
      <c r="AD11" s="632"/>
    </row>
    <row r="12" spans="1:30" ht="15" customHeight="1" x14ac:dyDescent="0.25">
      <c r="A12" s="633"/>
      <c r="B12" s="632"/>
      <c r="C12" s="1262" t="s">
        <v>1069</v>
      </c>
      <c r="D12" s="1262"/>
      <c r="E12" s="1262"/>
      <c r="F12" s="1263">
        <f>Sheet2!F175</f>
        <v>485</v>
      </c>
      <c r="G12" s="1263"/>
      <c r="H12" s="1262">
        <f>Sheet2!G175</f>
        <v>50</v>
      </c>
      <c r="I12" s="1262"/>
      <c r="J12" s="1262">
        <f>Sheet2!H175</f>
        <v>2</v>
      </c>
      <c r="K12" s="1262"/>
      <c r="L12" s="1262">
        <v>3</v>
      </c>
      <c r="M12" s="1262"/>
      <c r="N12" s="1262"/>
      <c r="O12" s="632"/>
      <c r="P12" s="634"/>
      <c r="Q12" s="632"/>
      <c r="R12" s="632"/>
      <c r="S12" s="632"/>
      <c r="T12" s="1039" t="s">
        <v>3681</v>
      </c>
      <c r="U12" s="1039">
        <v>2</v>
      </c>
      <c r="V12" s="632"/>
      <c r="W12" s="632"/>
      <c r="X12" s="632"/>
      <c r="Y12" s="632"/>
      <c r="Z12" s="632"/>
      <c r="AA12" s="632"/>
      <c r="AB12" s="632"/>
      <c r="AC12" s="632"/>
      <c r="AD12" s="632"/>
    </row>
    <row r="13" spans="1:30" ht="15" customHeight="1" x14ac:dyDescent="0.25">
      <c r="A13" s="633"/>
      <c r="B13" s="632"/>
      <c r="C13" s="1262"/>
      <c r="D13" s="1262"/>
      <c r="E13" s="1262"/>
      <c r="F13" s="1263"/>
      <c r="G13" s="1263"/>
      <c r="H13" s="1262"/>
      <c r="I13" s="1262"/>
      <c r="J13" s="1262"/>
      <c r="K13" s="1262"/>
      <c r="L13" s="1262"/>
      <c r="M13" s="1262"/>
      <c r="N13" s="1262"/>
      <c r="O13" s="632"/>
      <c r="P13" s="634"/>
      <c r="Q13" s="632"/>
      <c r="R13" s="632"/>
      <c r="S13" s="632"/>
      <c r="T13" s="632"/>
      <c r="U13" s="632"/>
      <c r="V13" s="632"/>
      <c r="W13" s="632"/>
      <c r="X13" s="632"/>
      <c r="Y13" s="632"/>
      <c r="Z13" s="632"/>
      <c r="AA13" s="632"/>
      <c r="AB13" s="632"/>
      <c r="AC13" s="632"/>
      <c r="AD13" s="632"/>
    </row>
    <row r="14" spans="1:30" ht="15" customHeight="1" x14ac:dyDescent="0.25">
      <c r="A14" s="633"/>
      <c r="B14" s="632"/>
      <c r="C14" s="1262"/>
      <c r="D14" s="1262"/>
      <c r="E14" s="1262"/>
      <c r="F14" s="1263"/>
      <c r="G14" s="1263"/>
      <c r="H14" s="1262"/>
      <c r="I14" s="1262"/>
      <c r="J14" s="1262"/>
      <c r="K14" s="1262"/>
      <c r="L14" s="1262"/>
      <c r="M14" s="1262"/>
      <c r="N14" s="1262"/>
      <c r="O14" s="632"/>
      <c r="P14" s="634"/>
      <c r="Q14" s="632"/>
      <c r="R14" s="632"/>
      <c r="S14" s="632"/>
      <c r="T14" s="632"/>
      <c r="U14" s="632"/>
      <c r="V14" s="632"/>
      <c r="W14" s="632"/>
      <c r="X14" s="632"/>
      <c r="Y14" s="632"/>
      <c r="Z14" s="632"/>
      <c r="AA14" s="632"/>
      <c r="AB14" s="632"/>
      <c r="AC14" s="632"/>
      <c r="AD14" s="632"/>
    </row>
    <row r="15" spans="1:30" ht="15" customHeight="1" x14ac:dyDescent="0.25">
      <c r="A15" s="633"/>
      <c r="B15" s="632"/>
      <c r="C15" s="1262"/>
      <c r="D15" s="1262"/>
      <c r="E15" s="1262"/>
      <c r="F15" s="1263"/>
      <c r="G15" s="1263"/>
      <c r="H15" s="1262"/>
      <c r="I15" s="1262"/>
      <c r="J15" s="1262"/>
      <c r="K15" s="1262"/>
      <c r="L15" s="1262"/>
      <c r="M15" s="1262"/>
      <c r="N15" s="1262"/>
      <c r="O15" s="632"/>
      <c r="P15" s="634"/>
      <c r="Q15" s="632"/>
      <c r="R15" s="632"/>
      <c r="S15" s="632"/>
      <c r="T15" s="632"/>
      <c r="U15" s="632"/>
      <c r="V15" s="632"/>
      <c r="W15" s="632"/>
      <c r="X15" s="632"/>
      <c r="Y15" s="632"/>
      <c r="Z15" s="632"/>
      <c r="AA15" s="632"/>
      <c r="AB15" s="632"/>
      <c r="AC15" s="632"/>
      <c r="AD15" s="632"/>
    </row>
    <row r="16" spans="1:30" ht="15" customHeight="1" x14ac:dyDescent="0.25">
      <c r="A16" s="633"/>
      <c r="B16" s="632"/>
      <c r="C16" s="1262" t="s">
        <v>1070</v>
      </c>
      <c r="D16" s="1262"/>
      <c r="E16" s="1262"/>
      <c r="F16" s="1263">
        <f>Sheet2!F176</f>
        <v>380</v>
      </c>
      <c r="G16" s="1263"/>
      <c r="H16" s="1262">
        <f>Sheet2!G176</f>
        <v>222.5</v>
      </c>
      <c r="I16" s="1262"/>
      <c r="J16" s="1261" t="s">
        <v>1085</v>
      </c>
      <c r="K16" s="1261"/>
      <c r="L16" s="1262">
        <v>2</v>
      </c>
      <c r="M16" s="1262"/>
      <c r="N16" s="1262"/>
      <c r="O16" s="632"/>
      <c r="P16" s="634"/>
      <c r="Q16" s="632"/>
      <c r="R16" s="632"/>
      <c r="S16" s="632"/>
      <c r="T16" s="632"/>
      <c r="U16" s="632"/>
      <c r="V16" s="632"/>
      <c r="W16" s="632"/>
      <c r="X16" s="632"/>
      <c r="Y16" s="632"/>
      <c r="Z16" s="632"/>
      <c r="AA16" s="632"/>
      <c r="AB16" s="632"/>
      <c r="AC16" s="632"/>
      <c r="AD16" s="632"/>
    </row>
    <row r="17" spans="1:30" ht="15" customHeight="1" x14ac:dyDescent="0.25">
      <c r="A17" s="633"/>
      <c r="B17" s="632"/>
      <c r="C17" s="1262"/>
      <c r="D17" s="1262"/>
      <c r="E17" s="1262"/>
      <c r="F17" s="1263"/>
      <c r="G17" s="1263"/>
      <c r="H17" s="1262"/>
      <c r="I17" s="1262"/>
      <c r="J17" s="1261"/>
      <c r="K17" s="1261"/>
      <c r="L17" s="1262"/>
      <c r="M17" s="1262"/>
      <c r="N17" s="1262"/>
      <c r="O17" s="632"/>
      <c r="P17" s="634"/>
      <c r="Q17" s="632"/>
      <c r="R17" s="632"/>
      <c r="S17" s="632"/>
      <c r="T17" s="632"/>
      <c r="U17" s="632"/>
      <c r="V17" s="632"/>
      <c r="W17" s="632"/>
      <c r="X17" s="632"/>
      <c r="Y17" s="632"/>
      <c r="Z17" s="632"/>
      <c r="AA17" s="632"/>
      <c r="AB17" s="632"/>
      <c r="AC17" s="632"/>
      <c r="AD17" s="632"/>
    </row>
    <row r="18" spans="1:30" ht="15" customHeight="1" x14ac:dyDescent="0.25">
      <c r="A18" s="633"/>
      <c r="B18" s="632"/>
      <c r="C18" s="1262"/>
      <c r="D18" s="1262"/>
      <c r="E18" s="1262"/>
      <c r="F18" s="1263"/>
      <c r="G18" s="1263"/>
      <c r="H18" s="1262"/>
      <c r="I18" s="1262"/>
      <c r="J18" s="1261"/>
      <c r="K18" s="1261"/>
      <c r="L18" s="1262"/>
      <c r="M18" s="1262"/>
      <c r="N18" s="1262"/>
      <c r="O18" s="632"/>
      <c r="P18" s="634"/>
      <c r="Q18" s="632"/>
      <c r="R18" s="632"/>
      <c r="S18" s="632"/>
      <c r="T18" s="632"/>
      <c r="U18" s="632"/>
      <c r="V18" s="632"/>
      <c r="W18" s="632"/>
      <c r="X18" s="632"/>
      <c r="Y18" s="632"/>
      <c r="Z18" s="632"/>
      <c r="AA18" s="632"/>
      <c r="AB18" s="632"/>
      <c r="AC18" s="632"/>
      <c r="AD18" s="632"/>
    </row>
    <row r="19" spans="1:30" ht="15" customHeight="1" x14ac:dyDescent="0.25">
      <c r="A19" s="633"/>
      <c r="B19" s="632"/>
      <c r="C19" s="1262"/>
      <c r="D19" s="1262"/>
      <c r="E19" s="1262"/>
      <c r="F19" s="1263"/>
      <c r="G19" s="1263"/>
      <c r="H19" s="1262"/>
      <c r="I19" s="1262"/>
      <c r="J19" s="1261"/>
      <c r="K19" s="1261"/>
      <c r="L19" s="1262"/>
      <c r="M19" s="1262"/>
      <c r="N19" s="1262"/>
      <c r="O19" s="632"/>
      <c r="P19" s="634"/>
      <c r="Q19" s="632"/>
      <c r="R19" s="632"/>
      <c r="S19" s="632"/>
      <c r="T19" s="632"/>
      <c r="U19" s="632"/>
      <c r="V19" s="632"/>
      <c r="W19" s="632"/>
      <c r="X19" s="632"/>
      <c r="Y19" s="632"/>
      <c r="Z19" s="632"/>
      <c r="AA19" s="632"/>
      <c r="AB19" s="632"/>
      <c r="AC19" s="632"/>
      <c r="AD19" s="632"/>
    </row>
    <row r="20" spans="1:30" ht="15" customHeight="1" x14ac:dyDescent="0.25">
      <c r="A20" s="633"/>
      <c r="B20" s="632"/>
      <c r="C20" s="1262" t="s">
        <v>1099</v>
      </c>
      <c r="D20" s="1262"/>
      <c r="E20" s="1262"/>
      <c r="F20" s="1264"/>
      <c r="G20" s="1264"/>
      <c r="H20" s="1263">
        <f>Sheet5!B28-Sheet2!E296</f>
        <v>363</v>
      </c>
      <c r="I20" s="1262"/>
      <c r="J20" s="1262">
        <v>3</v>
      </c>
      <c r="K20" s="1262"/>
      <c r="L20" s="1262">
        <v>4</v>
      </c>
      <c r="M20" s="1262"/>
      <c r="N20" s="1262"/>
      <c r="O20" s="632"/>
      <c r="P20" s="634"/>
      <c r="Q20" s="632"/>
      <c r="R20" s="632"/>
      <c r="S20" s="632"/>
      <c r="T20" s="632"/>
      <c r="U20" s="632"/>
      <c r="V20" s="632"/>
      <c r="W20" s="632"/>
      <c r="X20" s="632"/>
      <c r="Y20" s="632"/>
      <c r="Z20" s="632"/>
      <c r="AA20" s="632"/>
      <c r="AB20" s="632"/>
      <c r="AC20" s="632"/>
      <c r="AD20" s="632"/>
    </row>
    <row r="21" spans="1:30" ht="15" customHeight="1" x14ac:dyDescent="0.25">
      <c r="A21" s="633"/>
      <c r="B21" s="632"/>
      <c r="C21" s="1262"/>
      <c r="D21" s="1262"/>
      <c r="E21" s="1262"/>
      <c r="F21" s="1264"/>
      <c r="G21" s="1264"/>
      <c r="H21" s="1262"/>
      <c r="I21" s="1262"/>
      <c r="J21" s="1262"/>
      <c r="K21" s="1262"/>
      <c r="L21" s="1262"/>
      <c r="M21" s="1262"/>
      <c r="N21" s="1262"/>
      <c r="O21" s="632"/>
      <c r="P21" s="634"/>
      <c r="Q21" s="632"/>
      <c r="R21" s="632"/>
      <c r="S21" s="632"/>
      <c r="T21" s="632"/>
      <c r="U21" s="632"/>
      <c r="V21" s="632"/>
      <c r="W21" s="632"/>
      <c r="X21" s="632"/>
      <c r="Y21" s="632"/>
      <c r="Z21" s="632"/>
      <c r="AA21" s="632"/>
      <c r="AB21" s="632"/>
      <c r="AC21" s="632"/>
      <c r="AD21" s="632"/>
    </row>
    <row r="22" spans="1:30" ht="15" customHeight="1" x14ac:dyDescent="0.25">
      <c r="A22" s="633"/>
      <c r="B22" s="632"/>
      <c r="C22" s="1262"/>
      <c r="D22" s="1262"/>
      <c r="E22" s="1262"/>
      <c r="F22" s="1264"/>
      <c r="G22" s="1264"/>
      <c r="H22" s="1262"/>
      <c r="I22" s="1262"/>
      <c r="J22" s="1262"/>
      <c r="K22" s="1262"/>
      <c r="L22" s="1262"/>
      <c r="M22" s="1262"/>
      <c r="N22" s="1262"/>
      <c r="O22" s="632"/>
      <c r="P22" s="634"/>
      <c r="Q22" s="632"/>
      <c r="R22" s="632"/>
      <c r="S22" s="632"/>
      <c r="T22" s="632"/>
      <c r="U22" s="632"/>
      <c r="V22" s="632"/>
      <c r="W22" s="632"/>
      <c r="X22" s="632"/>
      <c r="Y22" s="632"/>
      <c r="Z22" s="632"/>
      <c r="AA22" s="632"/>
      <c r="AB22" s="632"/>
      <c r="AC22" s="632"/>
      <c r="AD22" s="632"/>
    </row>
    <row r="23" spans="1:30" ht="15.75" customHeight="1" x14ac:dyDescent="0.25">
      <c r="A23" s="633"/>
      <c r="B23" s="632"/>
      <c r="C23" s="1262"/>
      <c r="D23" s="1262"/>
      <c r="E23" s="1262"/>
      <c r="F23" s="1264"/>
      <c r="G23" s="1264"/>
      <c r="H23" s="1262"/>
      <c r="I23" s="1262"/>
      <c r="J23" s="1262"/>
      <c r="K23" s="1262"/>
      <c r="L23" s="1262"/>
      <c r="M23" s="1262"/>
      <c r="N23" s="1262"/>
      <c r="O23" s="632"/>
      <c r="P23" s="634"/>
      <c r="Q23" s="632"/>
      <c r="R23" s="632"/>
      <c r="S23" s="632"/>
      <c r="T23" s="632"/>
      <c r="U23" s="632"/>
      <c r="V23" s="632"/>
      <c r="W23" s="632"/>
      <c r="X23" s="632"/>
      <c r="Y23" s="632"/>
      <c r="Z23" s="632"/>
      <c r="AA23" s="632"/>
      <c r="AB23" s="632"/>
      <c r="AC23" s="632"/>
      <c r="AD23" s="632"/>
    </row>
    <row r="24" spans="1:30" ht="31.5" customHeight="1" x14ac:dyDescent="0.25">
      <c r="A24" s="633"/>
      <c r="B24" s="632"/>
      <c r="C24" s="632"/>
      <c r="D24" s="632"/>
      <c r="E24" s="632"/>
      <c r="F24" s="632"/>
      <c r="G24" s="632"/>
      <c r="H24" s="632"/>
      <c r="I24" s="632"/>
      <c r="J24" s="632"/>
      <c r="K24" s="632"/>
      <c r="L24" s="632"/>
      <c r="M24" s="632"/>
      <c r="N24" s="632"/>
      <c r="O24" s="632"/>
      <c r="P24" s="634"/>
      <c r="Q24" s="632"/>
      <c r="R24" s="632"/>
      <c r="S24" s="632"/>
      <c r="T24" s="632"/>
      <c r="U24" s="632"/>
      <c r="V24" s="632"/>
      <c r="W24" s="632"/>
      <c r="X24" s="632"/>
      <c r="Y24" s="632"/>
      <c r="Z24" s="632"/>
      <c r="AA24" s="632"/>
      <c r="AB24" s="632"/>
      <c r="AC24" s="632"/>
      <c r="AD24" s="632"/>
    </row>
    <row r="25" spans="1:30" ht="31.5" customHeight="1" x14ac:dyDescent="0.25">
      <c r="A25" s="633"/>
      <c r="B25" s="632"/>
      <c r="C25" s="632"/>
      <c r="D25" s="632"/>
      <c r="E25" s="632"/>
      <c r="F25" s="632"/>
      <c r="G25" s="632"/>
      <c r="H25" s="632"/>
      <c r="I25" s="632"/>
      <c r="J25" s="632"/>
      <c r="K25" s="632"/>
      <c r="L25" s="632"/>
      <c r="M25" s="632"/>
      <c r="N25" s="632"/>
      <c r="O25" s="632"/>
      <c r="P25" s="634"/>
      <c r="Q25" s="632"/>
      <c r="R25" s="632"/>
      <c r="S25" s="632"/>
      <c r="T25" s="632"/>
      <c r="U25" s="632"/>
      <c r="V25" s="632"/>
      <c r="W25" s="632"/>
      <c r="X25" s="632"/>
      <c r="Y25" s="632"/>
      <c r="Z25" s="632"/>
      <c r="AA25" s="632"/>
      <c r="AB25" s="632"/>
      <c r="AC25" s="632"/>
      <c r="AD25" s="632"/>
    </row>
    <row r="26" spans="1:30" ht="31.5" customHeight="1" x14ac:dyDescent="0.25">
      <c r="A26" s="633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4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</row>
    <row r="27" spans="1:30" ht="31.5" customHeight="1" x14ac:dyDescent="0.25">
      <c r="A27" s="633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4"/>
      <c r="Q27" s="632"/>
      <c r="R27" s="632"/>
      <c r="S27" s="632"/>
      <c r="T27" s="632"/>
      <c r="U27" s="632"/>
      <c r="V27" s="632"/>
      <c r="W27" s="632"/>
      <c r="X27" s="632"/>
      <c r="Y27" s="632"/>
      <c r="Z27" s="632"/>
      <c r="AA27" s="632"/>
      <c r="AB27" s="632"/>
      <c r="AC27" s="632"/>
      <c r="AD27" s="632"/>
    </row>
    <row r="28" spans="1:30" ht="31.5" customHeight="1" x14ac:dyDescent="0.3">
      <c r="A28" s="633"/>
      <c r="B28" s="632"/>
      <c r="C28" s="632"/>
      <c r="D28" s="632"/>
      <c r="E28" s="632"/>
      <c r="F28" s="632"/>
      <c r="G28" s="1255" t="s">
        <v>1075</v>
      </c>
      <c r="H28" s="1256"/>
      <c r="I28" s="930"/>
      <c r="J28" s="932"/>
      <c r="K28" s="941" t="str">
        <f>"Sản phẩm : "&amp;Phieutrienkhai!$P$8</f>
        <v>Sản phẩm : MBA 303KVA 22/0.4KV (23A 001  )</v>
      </c>
      <c r="L28" s="931"/>
      <c r="M28" s="931"/>
      <c r="N28" s="931"/>
      <c r="O28" s="931"/>
      <c r="P28" s="932"/>
      <c r="Q28" s="632"/>
      <c r="R28" s="632"/>
      <c r="S28" s="632"/>
      <c r="T28" s="632"/>
      <c r="U28" s="632"/>
      <c r="V28" s="632"/>
      <c r="W28" s="632"/>
      <c r="X28" s="632"/>
      <c r="Y28" s="632"/>
      <c r="Z28" s="632"/>
      <c r="AA28" s="632"/>
      <c r="AB28" s="632"/>
      <c r="AC28" s="632"/>
      <c r="AD28" s="632"/>
    </row>
    <row r="29" spans="1:30" ht="31.5" customHeight="1" x14ac:dyDescent="0.3">
      <c r="A29" s="633"/>
      <c r="B29" s="632"/>
      <c r="C29" s="632"/>
      <c r="D29" s="632"/>
      <c r="E29" s="632"/>
      <c r="F29" s="632"/>
      <c r="G29" s="1255" t="s">
        <v>4032</v>
      </c>
      <c r="H29" s="1256"/>
      <c r="I29" s="930"/>
      <c r="J29" s="932"/>
      <c r="K29" s="936" t="s">
        <v>1077</v>
      </c>
      <c r="L29" s="936"/>
      <c r="M29" s="936"/>
      <c r="N29" s="936"/>
      <c r="O29" s="631"/>
      <c r="P29" s="927" t="s">
        <v>1078</v>
      </c>
      <c r="Q29" s="632"/>
      <c r="R29" s="632"/>
      <c r="S29" s="632"/>
      <c r="T29" s="632"/>
      <c r="U29" s="632"/>
      <c r="V29" s="632"/>
      <c r="W29" s="632"/>
      <c r="X29" s="632"/>
      <c r="Y29" s="632"/>
      <c r="Z29" s="632"/>
      <c r="AA29" s="632"/>
      <c r="AB29" s="632"/>
      <c r="AC29" s="632"/>
      <c r="AD29" s="632"/>
    </row>
    <row r="30" spans="1:30" ht="31.5" customHeight="1" x14ac:dyDescent="0.3">
      <c r="A30" s="633"/>
      <c r="B30" s="632"/>
      <c r="C30" s="632"/>
      <c r="D30" s="632"/>
      <c r="E30" s="632"/>
      <c r="F30" s="632"/>
      <c r="G30" s="1255" t="s">
        <v>4033</v>
      </c>
      <c r="H30" s="1256"/>
      <c r="I30" s="930"/>
      <c r="J30" s="932"/>
      <c r="K30" s="1257" t="s">
        <v>630</v>
      </c>
      <c r="L30" s="1257"/>
      <c r="M30" s="1257"/>
      <c r="N30" s="1257"/>
      <c r="O30" s="1258"/>
      <c r="P30" s="932" t="s">
        <v>1079</v>
      </c>
      <c r="Q30" s="632"/>
      <c r="R30" s="632"/>
      <c r="S30" s="632"/>
      <c r="T30" s="632"/>
      <c r="U30" s="632"/>
      <c r="V30" s="632"/>
      <c r="W30" s="632"/>
      <c r="X30" s="632"/>
      <c r="Y30" s="632"/>
      <c r="Z30" s="632"/>
      <c r="AA30" s="632"/>
      <c r="AB30" s="632"/>
      <c r="AC30" s="632"/>
      <c r="AD30" s="632"/>
    </row>
    <row r="31" spans="1:30" ht="31.5" customHeight="1" x14ac:dyDescent="0.3">
      <c r="A31" s="633"/>
      <c r="B31" s="632"/>
      <c r="C31" s="632"/>
      <c r="D31" s="632"/>
      <c r="E31" s="632"/>
      <c r="F31" s="632"/>
      <c r="G31" s="935"/>
      <c r="H31" s="936"/>
      <c r="I31" s="936"/>
      <c r="J31" s="939"/>
      <c r="K31" s="1259"/>
      <c r="L31" s="1259"/>
      <c r="M31" s="1259"/>
      <c r="N31" s="1259"/>
      <c r="O31" s="1260"/>
      <c r="P31" s="933" t="s">
        <v>1080</v>
      </c>
      <c r="Q31" s="632"/>
      <c r="R31" s="632"/>
      <c r="S31" s="632"/>
      <c r="T31" s="632"/>
      <c r="U31" s="632"/>
      <c r="V31" s="632"/>
      <c r="W31" s="632"/>
      <c r="X31" s="632"/>
      <c r="Y31" s="632"/>
      <c r="Z31" s="632"/>
      <c r="AA31" s="632"/>
      <c r="AB31" s="632"/>
      <c r="AC31" s="632"/>
      <c r="AD31" s="632"/>
    </row>
    <row r="32" spans="1:30" ht="31.5" customHeight="1" x14ac:dyDescent="0.3">
      <c r="A32" s="633"/>
      <c r="B32" s="632"/>
      <c r="C32" s="632"/>
      <c r="D32" s="632"/>
      <c r="E32" s="632"/>
      <c r="F32" s="632"/>
      <c r="G32" s="940"/>
      <c r="H32" s="700"/>
      <c r="I32" s="700"/>
      <c r="J32" s="933"/>
      <c r="K32" s="937" t="s">
        <v>1082</v>
      </c>
      <c r="L32" s="934"/>
      <c r="M32" s="934"/>
      <c r="N32" s="934"/>
      <c r="O32" s="632"/>
      <c r="P32" s="928" t="s">
        <v>1081</v>
      </c>
      <c r="Q32" s="632"/>
      <c r="R32" s="632"/>
      <c r="S32" s="632"/>
      <c r="T32" s="632"/>
      <c r="U32" s="632"/>
      <c r="V32" s="632"/>
      <c r="W32" s="632"/>
      <c r="X32" s="632"/>
      <c r="Y32" s="632"/>
      <c r="Z32" s="632"/>
      <c r="AA32" s="632"/>
      <c r="AB32" s="632"/>
      <c r="AC32" s="632"/>
      <c r="AD32" s="632"/>
    </row>
    <row r="33" spans="1:30" ht="31.5" customHeight="1" x14ac:dyDescent="0.3">
      <c r="A33" s="637"/>
      <c r="B33" s="636"/>
      <c r="C33" s="636"/>
      <c r="D33" s="636"/>
      <c r="E33" s="636"/>
      <c r="F33" s="636"/>
      <c r="G33" s="1252" t="s">
        <v>1076</v>
      </c>
      <c r="H33" s="1253"/>
      <c r="I33" s="1253"/>
      <c r="J33" s="1254"/>
      <c r="K33" s="938"/>
      <c r="L33" s="926"/>
      <c r="M33" s="926"/>
      <c r="N33" s="926"/>
      <c r="O33" s="926"/>
      <c r="P33" s="929"/>
      <c r="Q33" s="632"/>
      <c r="R33" s="632"/>
      <c r="S33" s="632"/>
      <c r="T33" s="632"/>
      <c r="U33" s="632"/>
      <c r="V33" s="632"/>
      <c r="W33" s="632"/>
      <c r="X33" s="632"/>
      <c r="Y33" s="632"/>
      <c r="Z33" s="632"/>
      <c r="AA33" s="632"/>
      <c r="AB33" s="632"/>
      <c r="AC33" s="632"/>
      <c r="AD33" s="632"/>
    </row>
    <row r="34" spans="1:30" x14ac:dyDescent="0.25">
      <c r="A34" s="632"/>
      <c r="B34" s="632"/>
      <c r="C34" s="632"/>
      <c r="D34" s="632"/>
      <c r="E34" s="632"/>
      <c r="F34" s="632"/>
      <c r="G34" s="632"/>
      <c r="H34" s="632"/>
      <c r="I34" s="632"/>
      <c r="J34" s="632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</row>
    <row r="35" spans="1:30" x14ac:dyDescent="0.25">
      <c r="A35" s="632"/>
      <c r="B35" s="632"/>
      <c r="C35" s="632"/>
      <c r="D35" s="632"/>
      <c r="E35" s="632"/>
      <c r="F35" s="632"/>
      <c r="G35" s="632"/>
      <c r="H35" s="632"/>
      <c r="I35" s="632"/>
      <c r="J35" s="632"/>
      <c r="K35" s="632"/>
      <c r="L35" s="632"/>
      <c r="M35" s="632"/>
      <c r="N35" s="632"/>
      <c r="O35" s="632"/>
      <c r="P35" s="632"/>
      <c r="Q35" s="632"/>
      <c r="R35" s="632"/>
      <c r="S35" s="632"/>
      <c r="T35" s="632"/>
      <c r="U35" s="632"/>
      <c r="V35" s="632"/>
      <c r="W35" s="632"/>
      <c r="X35" s="632"/>
      <c r="Y35" s="632"/>
      <c r="Z35" s="632"/>
      <c r="AA35" s="632"/>
      <c r="AB35" s="632"/>
      <c r="AC35" s="632"/>
      <c r="AD35" s="632"/>
    </row>
    <row r="36" spans="1:30" x14ac:dyDescent="0.25">
      <c r="A36" s="632"/>
      <c r="B36" s="632"/>
      <c r="C36" s="632"/>
      <c r="D36" s="632"/>
      <c r="E36" s="63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2"/>
      <c r="AD36" s="632"/>
    </row>
    <row r="37" spans="1:30" x14ac:dyDescent="0.25">
      <c r="A37" s="632"/>
      <c r="B37" s="632"/>
      <c r="C37" s="632"/>
      <c r="D37" s="632"/>
      <c r="E37" s="632"/>
      <c r="F37" s="632"/>
      <c r="G37" s="632"/>
      <c r="H37" s="632"/>
      <c r="I37" s="632"/>
      <c r="J37" s="632"/>
      <c r="K37" s="632"/>
      <c r="L37" s="632"/>
      <c r="M37" s="632"/>
      <c r="N37" s="632"/>
      <c r="O37" s="632"/>
      <c r="P37" s="632"/>
      <c r="Q37" s="632"/>
      <c r="R37" s="632"/>
      <c r="S37" s="632"/>
      <c r="T37" s="632"/>
      <c r="U37" s="632"/>
      <c r="V37" s="632"/>
      <c r="W37" s="632"/>
      <c r="X37" s="632"/>
      <c r="Y37" s="632"/>
      <c r="Z37" s="632"/>
      <c r="AA37" s="632"/>
      <c r="AB37" s="632"/>
      <c r="AC37" s="632"/>
      <c r="AD37" s="632"/>
    </row>
    <row r="38" spans="1:30" x14ac:dyDescent="0.25">
      <c r="A38" s="632"/>
      <c r="B38" s="632"/>
      <c r="C38" s="632"/>
      <c r="D38" s="632"/>
      <c r="E38" s="632"/>
      <c r="F38" s="632"/>
      <c r="G38" s="632"/>
      <c r="H38" s="632"/>
      <c r="I38" s="632"/>
      <c r="J38" s="632"/>
      <c r="K38" s="632"/>
      <c r="L38" s="632"/>
      <c r="M38" s="632"/>
      <c r="N38" s="632"/>
      <c r="O38" s="632"/>
      <c r="P38" s="632"/>
      <c r="Q38" s="632"/>
      <c r="R38" s="632"/>
      <c r="S38" s="632"/>
      <c r="T38" s="632"/>
      <c r="U38" s="632"/>
      <c r="V38" s="632"/>
      <c r="W38" s="632"/>
      <c r="X38" s="632"/>
      <c r="Y38" s="632"/>
      <c r="Z38" s="632"/>
      <c r="AA38" s="632"/>
      <c r="AB38" s="632"/>
      <c r="AC38" s="632"/>
      <c r="AD38" s="632"/>
    </row>
    <row r="39" spans="1:30" x14ac:dyDescent="0.25">
      <c r="A39" s="632"/>
      <c r="B39" s="632"/>
      <c r="C39" s="632"/>
      <c r="D39" s="632"/>
      <c r="E39" s="632"/>
      <c r="F39" s="632"/>
      <c r="G39" s="632"/>
      <c r="H39" s="632"/>
      <c r="I39" s="632"/>
      <c r="J39" s="632"/>
      <c r="K39" s="632"/>
      <c r="L39" s="632"/>
      <c r="M39" s="632"/>
      <c r="N39" s="632"/>
      <c r="O39" s="632"/>
      <c r="P39" s="632"/>
      <c r="Q39" s="632"/>
      <c r="R39" s="632"/>
      <c r="S39" s="632"/>
      <c r="T39" s="632"/>
      <c r="U39" s="632"/>
      <c r="V39" s="632"/>
      <c r="W39" s="632"/>
      <c r="X39" s="632"/>
      <c r="Y39" s="632"/>
      <c r="Z39" s="632"/>
      <c r="AA39" s="632"/>
      <c r="AB39" s="632"/>
      <c r="AC39" s="632"/>
      <c r="AD39" s="632"/>
    </row>
    <row r="40" spans="1:30" x14ac:dyDescent="0.25">
      <c r="A40" s="632"/>
      <c r="B40" s="632"/>
      <c r="C40" s="632"/>
      <c r="D40" s="632"/>
      <c r="E40" s="632"/>
      <c r="F40" s="632"/>
      <c r="G40" s="632"/>
      <c r="H40" s="632"/>
      <c r="I40" s="632"/>
      <c r="J40" s="632"/>
      <c r="K40" s="632"/>
      <c r="L40" s="632"/>
      <c r="M40" s="632"/>
      <c r="N40" s="632"/>
      <c r="O40" s="632"/>
      <c r="P40" s="632"/>
      <c r="Q40" s="632"/>
      <c r="R40" s="632"/>
      <c r="S40" s="632"/>
      <c r="T40" s="632"/>
      <c r="U40" s="632"/>
      <c r="V40" s="632"/>
      <c r="W40" s="632"/>
      <c r="X40" s="632"/>
      <c r="Y40" s="632"/>
      <c r="Z40" s="632"/>
      <c r="AA40" s="632"/>
      <c r="AB40" s="632"/>
      <c r="AC40" s="632"/>
      <c r="AD40" s="632"/>
    </row>
    <row r="41" spans="1:30" x14ac:dyDescent="0.25">
      <c r="A41" s="632"/>
      <c r="B41" s="632"/>
      <c r="C41" s="632"/>
      <c r="D41" s="632"/>
      <c r="E41" s="632"/>
      <c r="F41" s="632"/>
      <c r="G41" s="632"/>
      <c r="H41" s="632"/>
      <c r="I41" s="632"/>
      <c r="J41" s="632"/>
      <c r="K41" s="632"/>
      <c r="L41" s="632"/>
      <c r="M41" s="632"/>
      <c r="N41" s="632"/>
      <c r="O41" s="632"/>
      <c r="P41" s="632"/>
      <c r="Q41" s="632"/>
      <c r="R41" s="632"/>
      <c r="S41" s="632"/>
      <c r="T41" s="632"/>
      <c r="U41" s="632"/>
      <c r="V41" s="632"/>
      <c r="W41" s="632"/>
      <c r="X41" s="632"/>
      <c r="Y41" s="632"/>
      <c r="Z41" s="632"/>
      <c r="AA41" s="632"/>
      <c r="AB41" s="632"/>
      <c r="AC41" s="632"/>
      <c r="AD41" s="632"/>
    </row>
    <row r="42" spans="1:30" x14ac:dyDescent="0.25">
      <c r="A42" s="632"/>
      <c r="B42" s="632"/>
      <c r="C42" s="632"/>
      <c r="D42" s="632"/>
      <c r="E42" s="632"/>
      <c r="F42" s="632"/>
      <c r="G42" s="632"/>
      <c r="H42" s="632"/>
      <c r="I42" s="632"/>
      <c r="J42" s="632"/>
      <c r="K42" s="632"/>
      <c r="L42" s="632"/>
      <c r="M42" s="632"/>
      <c r="N42" s="632"/>
      <c r="O42" s="632"/>
      <c r="P42" s="632"/>
      <c r="Q42" s="632"/>
      <c r="R42" s="632"/>
      <c r="S42" s="632"/>
      <c r="T42" s="632"/>
      <c r="U42" s="632"/>
      <c r="V42" s="632"/>
      <c r="W42" s="632"/>
      <c r="X42" s="632"/>
      <c r="Y42" s="632"/>
      <c r="Z42" s="632"/>
      <c r="AA42" s="632"/>
      <c r="AB42" s="632"/>
      <c r="AC42" s="632"/>
      <c r="AD42" s="632"/>
    </row>
    <row r="43" spans="1:30" x14ac:dyDescent="0.25">
      <c r="A43" s="632"/>
      <c r="B43" s="632"/>
      <c r="C43" s="632"/>
      <c r="D43" s="632"/>
      <c r="E43" s="632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</row>
  </sheetData>
  <mergeCells count="30">
    <mergeCell ref="L20:N23"/>
    <mergeCell ref="C8:E11"/>
    <mergeCell ref="J20:K23"/>
    <mergeCell ref="H20:I23"/>
    <mergeCell ref="F20:G23"/>
    <mergeCell ref="H12:I15"/>
    <mergeCell ref="H16:I19"/>
    <mergeCell ref="J16:K19"/>
    <mergeCell ref="J12:K15"/>
    <mergeCell ref="L4:N7"/>
    <mergeCell ref="C20:E23"/>
    <mergeCell ref="C16:E19"/>
    <mergeCell ref="C12:E15"/>
    <mergeCell ref="F12:G15"/>
    <mergeCell ref="F16:G19"/>
    <mergeCell ref="C4:E7"/>
    <mergeCell ref="F4:G7"/>
    <mergeCell ref="H4:I7"/>
    <mergeCell ref="J4:K7"/>
    <mergeCell ref="H8:I11"/>
    <mergeCell ref="F8:G11"/>
    <mergeCell ref="J8:K11"/>
    <mergeCell ref="L8:N11"/>
    <mergeCell ref="L12:N15"/>
    <mergeCell ref="L16:N19"/>
    <mergeCell ref="G33:J33"/>
    <mergeCell ref="G28:H28"/>
    <mergeCell ref="G29:H29"/>
    <mergeCell ref="G30:H30"/>
    <mergeCell ref="K30:O31"/>
  </mergeCells>
  <printOptions horizontalCentered="1" verticalCentered="1"/>
  <pageMargins left="0.24" right="0.16" top="0.2" bottom="0.2" header="0.2" footer="0.2"/>
  <pageSetup paperSize="9" scale="76" orientation="landscape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0"/>
  <sheetViews>
    <sheetView view="pageBreakPreview" zoomScale="40" zoomScaleNormal="55" zoomScaleSheetLayoutView="40" workbookViewId="0">
      <selection activeCell="Q18" sqref="Q18"/>
    </sheetView>
  </sheetViews>
  <sheetFormatPr defaultRowHeight="15" x14ac:dyDescent="0.25"/>
  <cols>
    <col min="1" max="1" width="15.42578125" style="545" customWidth="1"/>
    <col min="2" max="2" width="14.5703125" style="545" customWidth="1"/>
    <col min="3" max="3" width="11.7109375" style="545" customWidth="1"/>
    <col min="4" max="10" width="16" style="545" customWidth="1"/>
    <col min="11" max="11" width="17.5703125" style="545" customWidth="1"/>
    <col min="12" max="12" width="16" style="545" customWidth="1"/>
    <col min="13" max="13" width="18.28515625" style="545" customWidth="1"/>
    <col min="14" max="14" width="17.140625" style="545" customWidth="1"/>
    <col min="15" max="15" width="22.85546875" style="545" customWidth="1"/>
    <col min="16" max="16" width="30.7109375" style="545" customWidth="1"/>
    <col min="17" max="18" width="16.28515625" style="545" customWidth="1"/>
    <col min="19" max="19" width="40" style="545" customWidth="1"/>
    <col min="20" max="16384" width="9.140625" style="545"/>
  </cols>
  <sheetData>
    <row r="1" spans="1:19" ht="29.25" customHeight="1" x14ac:dyDescent="0.25">
      <c r="A1" s="764"/>
      <c r="B1" s="765"/>
      <c r="C1" s="765"/>
      <c r="D1" s="765"/>
      <c r="E1" s="765"/>
      <c r="F1" s="765"/>
      <c r="G1" s="765"/>
      <c r="H1" s="765"/>
      <c r="I1" s="765"/>
      <c r="J1" s="765"/>
      <c r="K1" s="765"/>
      <c r="L1" s="765"/>
      <c r="M1" s="765"/>
      <c r="N1" s="765"/>
      <c r="O1" s="765"/>
      <c r="P1" s="855"/>
      <c r="Q1" s="855"/>
      <c r="R1" s="855"/>
      <c r="S1" s="856"/>
    </row>
    <row r="2" spans="1:19" ht="29.25" customHeight="1" x14ac:dyDescent="0.25">
      <c r="A2" s="766"/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753"/>
      <c r="Q2" s="753"/>
      <c r="R2" s="753"/>
      <c r="S2" s="857"/>
    </row>
    <row r="3" spans="1:19" ht="29.25" customHeight="1" x14ac:dyDescent="0.25">
      <c r="A3" s="766"/>
      <c r="B3" s="632"/>
      <c r="C3" s="632"/>
      <c r="D3" s="632"/>
      <c r="E3" s="632"/>
      <c r="F3" s="632"/>
      <c r="G3" s="632"/>
      <c r="H3" s="632"/>
      <c r="I3" s="632"/>
      <c r="J3" s="632"/>
      <c r="K3" s="632"/>
      <c r="L3" s="632"/>
      <c r="M3" s="632"/>
      <c r="N3" s="632"/>
      <c r="O3" s="632"/>
      <c r="P3" s="753"/>
      <c r="Q3" s="753"/>
      <c r="R3" s="753"/>
      <c r="S3" s="857"/>
    </row>
    <row r="4" spans="1:19" ht="29.25" customHeight="1" x14ac:dyDescent="0.25">
      <c r="A4" s="766"/>
      <c r="B4" s="632"/>
      <c r="C4" s="754"/>
      <c r="D4" s="754"/>
      <c r="E4" s="754"/>
      <c r="F4" s="754"/>
      <c r="G4" s="754"/>
      <c r="H4" s="754"/>
      <c r="I4" s="754"/>
      <c r="J4" s="754"/>
      <c r="K4" s="754"/>
      <c r="L4" s="755"/>
      <c r="M4" s="755"/>
      <c r="N4" s="755"/>
      <c r="O4" s="632"/>
      <c r="P4" s="753"/>
      <c r="Q4" s="753"/>
      <c r="R4" s="753"/>
      <c r="S4" s="857"/>
    </row>
    <row r="5" spans="1:19" ht="29.25" customHeight="1" x14ac:dyDescent="0.25">
      <c r="A5" s="766"/>
      <c r="B5" s="632"/>
      <c r="C5" s="754"/>
      <c r="D5" s="754"/>
      <c r="E5" s="754"/>
      <c r="F5" s="754"/>
      <c r="G5" s="754"/>
      <c r="H5" s="754"/>
      <c r="I5" s="754"/>
      <c r="J5" s="754"/>
      <c r="K5" s="754"/>
      <c r="L5" s="755"/>
      <c r="M5" s="755"/>
      <c r="N5" s="755"/>
      <c r="O5" s="632"/>
      <c r="P5" s="753"/>
      <c r="Q5" s="753"/>
      <c r="R5" s="753"/>
      <c r="S5" s="857"/>
    </row>
    <row r="6" spans="1:19" ht="29.25" customHeight="1" x14ac:dyDescent="0.25">
      <c r="A6" s="766"/>
      <c r="B6" s="632"/>
      <c r="C6" s="754"/>
      <c r="D6" s="754"/>
      <c r="E6" s="754"/>
      <c r="F6" s="754"/>
      <c r="G6" s="754"/>
      <c r="H6" s="754"/>
      <c r="I6" s="754"/>
      <c r="J6" s="754"/>
      <c r="K6" s="754"/>
      <c r="L6" s="755"/>
      <c r="M6" s="755"/>
      <c r="N6" s="755"/>
      <c r="O6" s="632"/>
      <c r="P6" s="753"/>
      <c r="Q6" s="753"/>
      <c r="R6" s="753"/>
      <c r="S6" s="857"/>
    </row>
    <row r="7" spans="1:19" ht="35.25" customHeight="1" x14ac:dyDescent="0.25">
      <c r="A7" s="766"/>
      <c r="B7" s="632"/>
      <c r="C7" s="754"/>
      <c r="D7" s="754"/>
      <c r="E7" s="754"/>
      <c r="F7" s="754"/>
      <c r="G7" s="754"/>
      <c r="H7" s="754"/>
      <c r="I7" s="754"/>
      <c r="J7" s="754"/>
      <c r="K7" s="754"/>
      <c r="L7" s="755"/>
      <c r="M7" s="755"/>
      <c r="N7" s="755"/>
      <c r="O7" s="632"/>
      <c r="P7" s="753"/>
      <c r="S7" s="857"/>
    </row>
    <row r="8" spans="1:19" ht="24" customHeight="1" x14ac:dyDescent="0.25">
      <c r="A8" s="766"/>
      <c r="B8" s="632"/>
      <c r="C8" s="754"/>
      <c r="D8" s="754"/>
      <c r="E8" s="754"/>
      <c r="F8" s="756"/>
      <c r="G8" s="756"/>
      <c r="H8" s="754"/>
      <c r="I8" s="754"/>
      <c r="J8" s="754"/>
      <c r="K8" s="754"/>
      <c r="L8" s="754"/>
      <c r="M8" s="754"/>
      <c r="N8" s="754"/>
      <c r="O8" s="632"/>
      <c r="P8" s="753"/>
      <c r="Q8" s="753"/>
      <c r="R8" s="753"/>
      <c r="S8" s="857"/>
    </row>
    <row r="9" spans="1:19" ht="24" customHeight="1" thickBot="1" x14ac:dyDescent="0.3">
      <c r="A9" s="766"/>
      <c r="B9" s="632"/>
      <c r="C9" s="754"/>
      <c r="D9" s="754"/>
      <c r="E9" s="754"/>
      <c r="F9" s="756"/>
      <c r="G9" s="756"/>
      <c r="H9" s="754"/>
      <c r="I9" s="754"/>
      <c r="J9" s="754"/>
      <c r="K9" s="754"/>
      <c r="L9" s="754"/>
      <c r="M9" s="754"/>
      <c r="N9" s="754"/>
      <c r="O9" s="632"/>
      <c r="P9" s="753"/>
      <c r="R9" s="753"/>
      <c r="S9" s="857"/>
    </row>
    <row r="10" spans="1:19" ht="36" customHeight="1" thickBot="1" x14ac:dyDescent="0.5">
      <c r="A10" s="766"/>
      <c r="B10" s="862" t="s">
        <v>146</v>
      </c>
      <c r="C10" s="863"/>
      <c r="D10" s="1279" t="s">
        <v>970</v>
      </c>
      <c r="E10" s="1280"/>
      <c r="F10" s="1280"/>
      <c r="G10" s="1280"/>
      <c r="H10" s="1280"/>
      <c r="I10" s="1280"/>
      <c r="J10" s="1280"/>
      <c r="K10" s="1280"/>
      <c r="L10" s="1280"/>
      <c r="M10" s="1280"/>
      <c r="N10" s="1280"/>
      <c r="O10" s="1281"/>
      <c r="Q10" s="753"/>
      <c r="R10" s="753"/>
      <c r="S10" s="857"/>
    </row>
    <row r="11" spans="1:19" ht="36" customHeight="1" thickBot="1" x14ac:dyDescent="0.5">
      <c r="A11" s="766"/>
      <c r="B11" s="864" t="s">
        <v>146</v>
      </c>
      <c r="C11" s="865"/>
      <c r="D11" s="866" t="s">
        <v>971</v>
      </c>
      <c r="E11" s="866" t="s">
        <v>972</v>
      </c>
      <c r="F11" s="866" t="s">
        <v>1055</v>
      </c>
      <c r="G11" s="866" t="s">
        <v>1056</v>
      </c>
      <c r="H11" s="866" t="s">
        <v>1057</v>
      </c>
      <c r="I11" s="866" t="s">
        <v>1058</v>
      </c>
      <c r="J11" s="866" t="s">
        <v>1059</v>
      </c>
      <c r="K11" s="866" t="s">
        <v>1060</v>
      </c>
      <c r="L11" s="866" t="s">
        <v>1061</v>
      </c>
      <c r="M11" s="866" t="s">
        <v>1062</v>
      </c>
      <c r="N11" s="866" t="s">
        <v>1063</v>
      </c>
      <c r="O11" s="866" t="s">
        <v>1064</v>
      </c>
      <c r="Q11" s="753"/>
      <c r="S11" s="857"/>
    </row>
    <row r="12" spans="1:19" s="757" customFormat="1" ht="36" customHeight="1" thickBot="1" x14ac:dyDescent="0.5">
      <c r="A12" s="858"/>
      <c r="B12" s="867" t="s">
        <v>976</v>
      </c>
      <c r="C12" s="868"/>
      <c r="D12" s="866">
        <f t="array" ref="D12:O12">TRANSPOSE('Sua R'!H3:H14)</f>
        <v>380</v>
      </c>
      <c r="E12" s="866">
        <v>430</v>
      </c>
      <c r="F12" s="866">
        <v>480</v>
      </c>
      <c r="G12" s="866">
        <v>530</v>
      </c>
      <c r="H12" s="866">
        <v>0</v>
      </c>
      <c r="I12" s="866">
        <v>0</v>
      </c>
      <c r="J12" s="866">
        <v>0</v>
      </c>
      <c r="K12" s="866">
        <v>0</v>
      </c>
      <c r="L12" s="866">
        <v>0</v>
      </c>
      <c r="M12" s="866">
        <v>0</v>
      </c>
      <c r="N12" s="866">
        <v>0</v>
      </c>
      <c r="O12" s="866">
        <v>0</v>
      </c>
      <c r="Q12" s="753"/>
      <c r="S12" s="859"/>
    </row>
    <row r="13" spans="1:19" s="757" customFormat="1" ht="36" customHeight="1" thickBot="1" x14ac:dyDescent="0.5">
      <c r="A13" s="858"/>
      <c r="B13" s="869" t="s">
        <v>979</v>
      </c>
      <c r="C13" s="870"/>
      <c r="D13" s="866">
        <f t="array" ref="D13:O13">TRANSPOSE('Sua R'!I3:I14)</f>
        <v>120</v>
      </c>
      <c r="E13" s="866">
        <v>120</v>
      </c>
      <c r="F13" s="866">
        <v>120</v>
      </c>
      <c r="G13" s="866">
        <v>120</v>
      </c>
      <c r="H13" s="866">
        <v>0</v>
      </c>
      <c r="I13" s="866">
        <v>0</v>
      </c>
      <c r="J13" s="866">
        <v>0</v>
      </c>
      <c r="K13" s="866">
        <v>0</v>
      </c>
      <c r="L13" s="866">
        <v>0</v>
      </c>
      <c r="M13" s="866">
        <v>0</v>
      </c>
      <c r="N13" s="866">
        <v>0</v>
      </c>
      <c r="O13" s="866">
        <v>0</v>
      </c>
      <c r="Q13" s="753"/>
      <c r="S13" s="859"/>
    </row>
    <row r="14" spans="1:19" s="757" customFormat="1" ht="36" customHeight="1" thickTop="1" thickBot="1" x14ac:dyDescent="0.5">
      <c r="A14" s="858"/>
      <c r="B14" s="871" t="s">
        <v>987</v>
      </c>
      <c r="C14" s="872"/>
      <c r="D14" s="873">
        <f>D12*D13*8.92*10^-6</f>
        <v>0.406752</v>
      </c>
      <c r="E14" s="873">
        <f t="shared" ref="E14:O14" si="0">E12*E13*8.92*10^-6</f>
        <v>0.46027199999999996</v>
      </c>
      <c r="F14" s="873">
        <f t="shared" si="0"/>
        <v>0.51379200000000003</v>
      </c>
      <c r="G14" s="873">
        <f t="shared" si="0"/>
        <v>0.56731199999999993</v>
      </c>
      <c r="H14" s="873">
        <f t="shared" si="0"/>
        <v>0</v>
      </c>
      <c r="I14" s="873">
        <f t="shared" si="0"/>
        <v>0</v>
      </c>
      <c r="J14" s="873">
        <f t="shared" si="0"/>
        <v>0</v>
      </c>
      <c r="K14" s="873">
        <f t="shared" si="0"/>
        <v>0</v>
      </c>
      <c r="L14" s="873">
        <f t="shared" si="0"/>
        <v>0</v>
      </c>
      <c r="M14" s="873">
        <f t="shared" si="0"/>
        <v>0</v>
      </c>
      <c r="N14" s="873">
        <f t="shared" si="0"/>
        <v>0</v>
      </c>
      <c r="O14" s="873">
        <f t="shared" si="0"/>
        <v>0</v>
      </c>
      <c r="Q14" s="753"/>
      <c r="S14" s="859"/>
    </row>
    <row r="15" spans="1:19" s="757" customFormat="1" ht="34.5" customHeight="1" thickBot="1" x14ac:dyDescent="0.5">
      <c r="A15" s="858"/>
      <c r="B15" s="874"/>
      <c r="C15" s="874"/>
      <c r="D15" s="874"/>
      <c r="E15" s="874"/>
      <c r="F15" s="874"/>
      <c r="G15" s="874"/>
      <c r="H15" s="874"/>
      <c r="I15" s="874"/>
      <c r="J15" s="874"/>
      <c r="K15" s="874"/>
      <c r="L15" s="874"/>
      <c r="M15" s="874"/>
      <c r="N15" s="874"/>
      <c r="O15" s="874"/>
      <c r="Q15" s="753"/>
      <c r="S15" s="859"/>
    </row>
    <row r="16" spans="1:19" s="757" customFormat="1" ht="36" customHeight="1" thickBot="1" x14ac:dyDescent="0.5">
      <c r="A16" s="858"/>
      <c r="B16" s="862" t="s">
        <v>146</v>
      </c>
      <c r="C16" s="863"/>
      <c r="D16" s="1279" t="s">
        <v>970</v>
      </c>
      <c r="E16" s="1280"/>
      <c r="F16" s="1280"/>
      <c r="G16" s="1280"/>
      <c r="H16" s="1280"/>
      <c r="I16" s="1280"/>
      <c r="J16" s="1280"/>
      <c r="K16" s="1280"/>
      <c r="L16" s="1280"/>
      <c r="M16" s="1280"/>
      <c r="N16" s="1280"/>
      <c r="O16" s="1281"/>
      <c r="Q16" s="753"/>
      <c r="S16" s="859"/>
    </row>
    <row r="17" spans="1:32" s="757" customFormat="1" ht="36" customHeight="1" thickBot="1" x14ac:dyDescent="0.5">
      <c r="A17" s="858"/>
      <c r="B17" s="864" t="s">
        <v>146</v>
      </c>
      <c r="C17" s="865"/>
      <c r="D17" s="866" t="s">
        <v>971</v>
      </c>
      <c r="E17" s="866" t="s">
        <v>972</v>
      </c>
      <c r="F17" s="866" t="s">
        <v>1055</v>
      </c>
      <c r="G17" s="866" t="s">
        <v>1056</v>
      </c>
      <c r="H17" s="866" t="s">
        <v>1057</v>
      </c>
      <c r="I17" s="866" t="s">
        <v>1058</v>
      </c>
      <c r="J17" s="866" t="s">
        <v>1059</v>
      </c>
      <c r="K17" s="866" t="s">
        <v>1060</v>
      </c>
      <c r="L17" s="866" t="s">
        <v>1061</v>
      </c>
      <c r="M17" s="866" t="s">
        <v>1062</v>
      </c>
      <c r="N17" s="866" t="s">
        <v>1063</v>
      </c>
      <c r="O17" s="866" t="s">
        <v>1064</v>
      </c>
      <c r="Q17" s="753"/>
      <c r="S17" s="859"/>
    </row>
    <row r="18" spans="1:32" s="757" customFormat="1" ht="36" customHeight="1" thickBot="1" x14ac:dyDescent="0.5">
      <c r="A18" s="858"/>
      <c r="B18" s="867" t="s">
        <v>977</v>
      </c>
      <c r="C18" s="868"/>
      <c r="D18" s="866">
        <f t="array" ref="D18:O18">TRANSPOSE('Sua R'!J3:J14)</f>
        <v>245</v>
      </c>
      <c r="E18" s="866">
        <v>295</v>
      </c>
      <c r="F18" s="866">
        <v>345</v>
      </c>
      <c r="G18" s="866">
        <v>395</v>
      </c>
      <c r="H18" s="866">
        <v>0</v>
      </c>
      <c r="I18" s="866">
        <v>0</v>
      </c>
      <c r="J18" s="866">
        <v>0</v>
      </c>
      <c r="K18" s="866">
        <v>0</v>
      </c>
      <c r="L18" s="866">
        <v>0</v>
      </c>
      <c r="M18" s="866">
        <v>0</v>
      </c>
      <c r="N18" s="866">
        <v>0</v>
      </c>
      <c r="O18" s="866">
        <v>0</v>
      </c>
      <c r="Q18" s="753"/>
      <c r="S18" s="859"/>
    </row>
    <row r="19" spans="1:32" s="757" customFormat="1" ht="36" customHeight="1" thickBot="1" x14ac:dyDescent="0.5">
      <c r="A19" s="860"/>
      <c r="B19" s="864" t="s">
        <v>979</v>
      </c>
      <c r="C19" s="865"/>
      <c r="D19" s="961">
        <f t="array" ref="D19:O19">TRANSPOSE('Sua R'!K3:K14)</f>
        <v>95</v>
      </c>
      <c r="E19" s="961">
        <v>70</v>
      </c>
      <c r="F19" s="961">
        <v>70</v>
      </c>
      <c r="G19" s="961">
        <v>70</v>
      </c>
      <c r="H19" s="961">
        <v>0</v>
      </c>
      <c r="I19" s="961">
        <v>0</v>
      </c>
      <c r="J19" s="961">
        <v>0</v>
      </c>
      <c r="K19" s="961">
        <v>0</v>
      </c>
      <c r="L19" s="961">
        <v>0</v>
      </c>
      <c r="M19" s="961">
        <v>0</v>
      </c>
      <c r="N19" s="961">
        <v>0</v>
      </c>
      <c r="O19" s="961">
        <v>0</v>
      </c>
      <c r="Q19" s="753"/>
      <c r="S19" s="859"/>
    </row>
    <row r="20" spans="1:32" s="757" customFormat="1" ht="36" customHeight="1" thickBot="1" x14ac:dyDescent="0.5">
      <c r="A20" s="858"/>
      <c r="B20" s="962" t="s">
        <v>987</v>
      </c>
      <c r="C20" s="963"/>
      <c r="D20" s="873">
        <f>D18*D19*8.92*10^-6</f>
        <v>0.20761299999999999</v>
      </c>
      <c r="E20" s="873">
        <f t="shared" ref="E20:O20" si="1">E18*E19*8.92*10^-6</f>
        <v>0.184198</v>
      </c>
      <c r="F20" s="964">
        <f t="shared" si="1"/>
        <v>0.215418</v>
      </c>
      <c r="G20" s="873">
        <f t="shared" si="1"/>
        <v>0.246638</v>
      </c>
      <c r="H20" s="964">
        <f t="shared" si="1"/>
        <v>0</v>
      </c>
      <c r="I20" s="873">
        <f t="shared" si="1"/>
        <v>0</v>
      </c>
      <c r="J20" s="964">
        <f t="shared" si="1"/>
        <v>0</v>
      </c>
      <c r="K20" s="873">
        <f t="shared" si="1"/>
        <v>0</v>
      </c>
      <c r="L20" s="873">
        <f t="shared" si="1"/>
        <v>0</v>
      </c>
      <c r="M20" s="873">
        <f t="shared" si="1"/>
        <v>0</v>
      </c>
      <c r="N20" s="964">
        <f t="shared" si="1"/>
        <v>0</v>
      </c>
      <c r="O20" s="873">
        <f t="shared" si="1"/>
        <v>0</v>
      </c>
      <c r="Q20" s="753"/>
      <c r="S20" s="859"/>
    </row>
    <row r="21" spans="1:32" s="757" customFormat="1" ht="34.5" customHeight="1" x14ac:dyDescent="0.35">
      <c r="A21" s="858"/>
      <c r="Q21" s="753"/>
      <c r="S21" s="859"/>
    </row>
    <row r="22" spans="1:32" s="757" customFormat="1" ht="36" customHeight="1" thickBot="1" x14ac:dyDescent="0.4">
      <c r="A22" s="858"/>
      <c r="Q22" s="753"/>
      <c r="S22" s="859"/>
      <c r="U22" s="1269" t="s">
        <v>3663</v>
      </c>
      <c r="V22" s="1269"/>
      <c r="W22" s="1269"/>
      <c r="X22" s="1269"/>
      <c r="Y22" s="1269"/>
      <c r="Z22" s="1269"/>
      <c r="AA22" s="1269"/>
      <c r="AB22" s="1269"/>
      <c r="AC22" s="1269"/>
      <c r="AD22" s="1269"/>
      <c r="AE22" s="1269"/>
      <c r="AF22" s="1269"/>
    </row>
    <row r="23" spans="1:32" s="757" customFormat="1" ht="36" customHeight="1" thickBot="1" x14ac:dyDescent="0.5">
      <c r="A23" s="858"/>
      <c r="B23" s="1265" t="s">
        <v>146</v>
      </c>
      <c r="C23" s="1266"/>
      <c r="D23" s="1279" t="s">
        <v>970</v>
      </c>
      <c r="E23" s="1280"/>
      <c r="F23" s="1280"/>
      <c r="G23" s="1280"/>
      <c r="H23" s="1280"/>
      <c r="I23" s="1280"/>
      <c r="J23" s="1280"/>
      <c r="K23" s="1280"/>
      <c r="L23" s="1280"/>
      <c r="M23" s="1280"/>
      <c r="N23" s="1280"/>
      <c r="O23" s="1281"/>
      <c r="Q23" s="753"/>
      <c r="S23" s="859"/>
      <c r="U23" s="1269"/>
      <c r="V23" s="1269"/>
      <c r="W23" s="1269"/>
      <c r="X23" s="1269"/>
      <c r="Y23" s="1269"/>
      <c r="Z23" s="1269"/>
      <c r="AA23" s="1269"/>
      <c r="AB23" s="1269"/>
      <c r="AC23" s="1269"/>
      <c r="AD23" s="1269"/>
      <c r="AE23" s="1269"/>
      <c r="AF23" s="1269"/>
    </row>
    <row r="24" spans="1:32" s="757" customFormat="1" ht="36" customHeight="1" thickBot="1" x14ac:dyDescent="0.5">
      <c r="A24" s="858"/>
      <c r="B24" s="1267"/>
      <c r="C24" s="1268"/>
      <c r="D24" s="965" t="s">
        <v>971</v>
      </c>
      <c r="E24" s="965" t="s">
        <v>972</v>
      </c>
      <c r="F24" s="965" t="s">
        <v>1055</v>
      </c>
      <c r="G24" s="965" t="s">
        <v>1056</v>
      </c>
      <c r="H24" s="965" t="s">
        <v>1057</v>
      </c>
      <c r="I24" s="965" t="s">
        <v>1058</v>
      </c>
      <c r="J24" s="965" t="s">
        <v>1059</v>
      </c>
      <c r="K24" s="965" t="s">
        <v>1060</v>
      </c>
      <c r="L24" s="965" t="s">
        <v>1061</v>
      </c>
      <c r="M24" s="965" t="s">
        <v>1062</v>
      </c>
      <c r="N24" s="965" t="s">
        <v>1063</v>
      </c>
      <c r="O24" s="965" t="s">
        <v>1064</v>
      </c>
      <c r="Q24" s="753"/>
      <c r="S24" s="859"/>
      <c r="U24" s="1269"/>
      <c r="V24" s="1269"/>
      <c r="W24" s="1269"/>
      <c r="X24" s="1269"/>
      <c r="Y24" s="1269"/>
      <c r="Z24" s="1269"/>
      <c r="AA24" s="1269"/>
      <c r="AB24" s="1269"/>
      <c r="AC24" s="1269"/>
      <c r="AD24" s="1269"/>
      <c r="AE24" s="1269"/>
      <c r="AF24" s="1269"/>
    </row>
    <row r="25" spans="1:32" ht="36" customHeight="1" thickBot="1" x14ac:dyDescent="0.5">
      <c r="A25" s="766"/>
      <c r="B25" s="867" t="s">
        <v>978</v>
      </c>
      <c r="C25" s="868"/>
      <c r="D25" s="866">
        <f t="array" ref="D25:O25">TRANSPOSE(('Sua R'!L3:L14))</f>
        <v>220</v>
      </c>
      <c r="E25" s="866">
        <v>270</v>
      </c>
      <c r="F25" s="866">
        <v>320</v>
      </c>
      <c r="G25" s="866">
        <v>370</v>
      </c>
      <c r="H25" s="866">
        <v>0</v>
      </c>
      <c r="I25" s="866">
        <v>0</v>
      </c>
      <c r="J25" s="866">
        <v>0</v>
      </c>
      <c r="K25" s="866">
        <v>0</v>
      </c>
      <c r="L25" s="866">
        <v>0</v>
      </c>
      <c r="M25" s="866">
        <v>0</v>
      </c>
      <c r="N25" s="866">
        <v>0</v>
      </c>
      <c r="O25" s="866">
        <v>0</v>
      </c>
      <c r="P25" s="753"/>
      <c r="Q25" s="753"/>
      <c r="R25" s="753"/>
      <c r="S25" s="857"/>
      <c r="U25" s="1269"/>
      <c r="V25" s="1269"/>
      <c r="W25" s="1269"/>
      <c r="X25" s="1269"/>
      <c r="Y25" s="1269"/>
      <c r="Z25" s="1269"/>
      <c r="AA25" s="1269"/>
      <c r="AB25" s="1269"/>
      <c r="AC25" s="1269"/>
      <c r="AD25" s="1269"/>
      <c r="AE25" s="1269"/>
      <c r="AF25" s="1269"/>
    </row>
    <row r="26" spans="1:32" ht="36" customHeight="1" thickBot="1" x14ac:dyDescent="0.5">
      <c r="A26" s="766"/>
      <c r="B26" s="869" t="s">
        <v>979</v>
      </c>
      <c r="C26" s="870"/>
      <c r="D26" s="866">
        <f t="array" ref="D26:O26">TRANSPOSE('Sua R'!M3:M14)</f>
        <v>120</v>
      </c>
      <c r="E26" s="866">
        <v>120</v>
      </c>
      <c r="F26" s="866">
        <v>120</v>
      </c>
      <c r="G26" s="866">
        <v>120</v>
      </c>
      <c r="H26" s="866">
        <v>0</v>
      </c>
      <c r="I26" s="866">
        <v>0</v>
      </c>
      <c r="J26" s="866">
        <v>0</v>
      </c>
      <c r="K26" s="866">
        <v>0</v>
      </c>
      <c r="L26" s="866">
        <v>0</v>
      </c>
      <c r="M26" s="866">
        <v>0</v>
      </c>
      <c r="N26" s="866">
        <v>0</v>
      </c>
      <c r="O26" s="866">
        <v>0</v>
      </c>
      <c r="P26" s="753"/>
      <c r="R26" s="753"/>
      <c r="S26" s="857"/>
      <c r="U26" s="1269"/>
      <c r="V26" s="1269"/>
      <c r="W26" s="1269"/>
      <c r="X26" s="1269"/>
      <c r="Y26" s="1269"/>
      <c r="Z26" s="1269"/>
      <c r="AA26" s="1269"/>
      <c r="AB26" s="1269"/>
      <c r="AC26" s="1269"/>
      <c r="AD26" s="1269"/>
      <c r="AE26" s="1269"/>
      <c r="AF26" s="1269"/>
    </row>
    <row r="27" spans="1:32" ht="33" customHeight="1" thickTop="1" thickBot="1" x14ac:dyDescent="0.5">
      <c r="A27" s="766"/>
      <c r="B27" s="871" t="s">
        <v>987</v>
      </c>
      <c r="C27" s="872"/>
      <c r="D27" s="873">
        <f>D25*D26*8.92*10^-6</f>
        <v>0.235488</v>
      </c>
      <c r="E27" s="873">
        <f t="shared" ref="E27:O27" si="2">E25*E26*8.92*10^-6</f>
        <v>0.28900799999999999</v>
      </c>
      <c r="F27" s="873">
        <f t="shared" si="2"/>
        <v>0.342528</v>
      </c>
      <c r="G27" s="873">
        <f t="shared" si="2"/>
        <v>0.39604799999999996</v>
      </c>
      <c r="H27" s="873">
        <f t="shared" si="2"/>
        <v>0</v>
      </c>
      <c r="I27" s="873">
        <f t="shared" si="2"/>
        <v>0</v>
      </c>
      <c r="J27" s="873">
        <f t="shared" si="2"/>
        <v>0</v>
      </c>
      <c r="K27" s="873">
        <f t="shared" si="2"/>
        <v>0</v>
      </c>
      <c r="L27" s="873">
        <f t="shared" si="2"/>
        <v>0</v>
      </c>
      <c r="M27" s="873">
        <f t="shared" si="2"/>
        <v>0</v>
      </c>
      <c r="N27" s="873">
        <f t="shared" si="2"/>
        <v>0</v>
      </c>
      <c r="O27" s="873">
        <f t="shared" si="2"/>
        <v>0</v>
      </c>
      <c r="P27" s="753"/>
      <c r="Q27" s="753"/>
      <c r="R27" s="753"/>
      <c r="S27" s="857"/>
      <c r="V27" s="757"/>
      <c r="W27" s="757"/>
      <c r="X27" s="757"/>
      <c r="Y27" s="757"/>
      <c r="Z27" s="757"/>
      <c r="AA27" s="757"/>
      <c r="AB27" s="757"/>
      <c r="AC27" s="757"/>
      <c r="AD27" s="757"/>
    </row>
    <row r="28" spans="1:32" ht="36" customHeight="1" thickBot="1" x14ac:dyDescent="0.4">
      <c r="A28" s="766"/>
      <c r="P28" s="753"/>
      <c r="Q28" s="753"/>
      <c r="R28" s="753"/>
      <c r="S28" s="857"/>
      <c r="V28" s="757"/>
      <c r="W28" s="757"/>
      <c r="X28" s="757"/>
      <c r="Y28" s="757"/>
      <c r="Z28" s="757"/>
      <c r="AA28" s="757"/>
      <c r="AB28" s="757"/>
      <c r="AC28" s="757"/>
      <c r="AD28" s="757"/>
    </row>
    <row r="29" spans="1:32" ht="36" customHeight="1" thickBot="1" x14ac:dyDescent="0.5">
      <c r="A29" s="766"/>
      <c r="B29" s="862" t="s">
        <v>146</v>
      </c>
      <c r="C29" s="863"/>
      <c r="D29" s="1279" t="s">
        <v>970</v>
      </c>
      <c r="E29" s="1280"/>
      <c r="F29" s="1280"/>
      <c r="G29" s="1280"/>
      <c r="H29" s="1280"/>
      <c r="I29" s="1280"/>
      <c r="J29" s="1280"/>
      <c r="K29" s="1280"/>
      <c r="L29" s="1280"/>
      <c r="M29" s="1280"/>
      <c r="N29" s="1280"/>
      <c r="O29" s="1281"/>
      <c r="P29" s="753"/>
      <c r="Q29" s="753"/>
      <c r="R29" s="753"/>
      <c r="S29" s="857"/>
      <c r="V29" s="757"/>
      <c r="W29" s="757"/>
      <c r="X29" s="757"/>
      <c r="Y29" s="757"/>
      <c r="Z29" s="757"/>
      <c r="AA29" s="757"/>
      <c r="AB29" s="757"/>
      <c r="AC29" s="757"/>
      <c r="AD29" s="757"/>
    </row>
    <row r="30" spans="1:32" ht="36" customHeight="1" thickBot="1" x14ac:dyDescent="0.5">
      <c r="A30" s="766"/>
      <c r="B30" s="864" t="s">
        <v>146</v>
      </c>
      <c r="C30" s="865"/>
      <c r="D30" s="866" t="s">
        <v>971</v>
      </c>
      <c r="E30" s="866" t="s">
        <v>972</v>
      </c>
      <c r="F30" s="866" t="s">
        <v>1055</v>
      </c>
      <c r="G30" s="866" t="s">
        <v>1056</v>
      </c>
      <c r="H30" s="866" t="s">
        <v>1057</v>
      </c>
      <c r="I30" s="866" t="s">
        <v>1058</v>
      </c>
      <c r="J30" s="866" t="s">
        <v>1059</v>
      </c>
      <c r="K30" s="866" t="s">
        <v>1060</v>
      </c>
      <c r="L30" s="866" t="s">
        <v>1061</v>
      </c>
      <c r="M30" s="866" t="s">
        <v>1062</v>
      </c>
      <c r="N30" s="866" t="s">
        <v>1063</v>
      </c>
      <c r="O30" s="866" t="s">
        <v>1064</v>
      </c>
      <c r="P30" s="753"/>
      <c r="Q30" s="753"/>
      <c r="R30" s="753"/>
      <c r="S30" s="857"/>
    </row>
    <row r="31" spans="1:32" ht="36" customHeight="1" thickBot="1" x14ac:dyDescent="0.5">
      <c r="A31" s="766"/>
      <c r="B31" s="867" t="s">
        <v>983</v>
      </c>
      <c r="C31" s="868"/>
      <c r="D31" s="866">
        <f t="array" ref="D31:O31">TRANSPOSE('Sua R'!N3:N14)</f>
        <v>355</v>
      </c>
      <c r="E31" s="866">
        <v>355</v>
      </c>
      <c r="F31" s="866">
        <v>355</v>
      </c>
      <c r="G31" s="866">
        <v>355</v>
      </c>
      <c r="H31" s="866">
        <v>0</v>
      </c>
      <c r="I31" s="866">
        <v>0</v>
      </c>
      <c r="J31" s="866">
        <v>0</v>
      </c>
      <c r="K31" s="866">
        <v>0</v>
      </c>
      <c r="L31" s="866">
        <v>0</v>
      </c>
      <c r="M31" s="866">
        <v>0</v>
      </c>
      <c r="N31" s="866">
        <v>0</v>
      </c>
      <c r="O31" s="866">
        <v>0</v>
      </c>
      <c r="P31" s="753"/>
      <c r="Q31" s="753"/>
      <c r="R31" s="753"/>
      <c r="S31" s="857"/>
    </row>
    <row r="32" spans="1:32" ht="36" customHeight="1" thickBot="1" x14ac:dyDescent="0.5">
      <c r="A32" s="766"/>
      <c r="B32" s="869" t="s">
        <v>979</v>
      </c>
      <c r="C32" s="870"/>
      <c r="D32" s="866">
        <f t="array" ref="D32:O32">TRANSPOSE('Sua R'!O3:O14)</f>
        <v>120</v>
      </c>
      <c r="E32" s="866">
        <v>120</v>
      </c>
      <c r="F32" s="866">
        <v>95</v>
      </c>
      <c r="G32" s="866">
        <v>95</v>
      </c>
      <c r="H32" s="866">
        <v>0</v>
      </c>
      <c r="I32" s="866">
        <v>0</v>
      </c>
      <c r="J32" s="866">
        <v>0</v>
      </c>
      <c r="K32" s="866">
        <v>0</v>
      </c>
      <c r="L32" s="866">
        <v>0</v>
      </c>
      <c r="M32" s="866">
        <v>0</v>
      </c>
      <c r="N32" s="866">
        <v>0</v>
      </c>
      <c r="O32" s="866">
        <v>0</v>
      </c>
      <c r="P32" s="753"/>
      <c r="Q32" s="753"/>
      <c r="R32" s="753"/>
      <c r="S32" s="857"/>
    </row>
    <row r="33" spans="1:19" ht="39.75" customHeight="1" thickTop="1" thickBot="1" x14ac:dyDescent="0.5">
      <c r="A33" s="861"/>
      <c r="B33" s="871" t="s">
        <v>987</v>
      </c>
      <c r="C33" s="872"/>
      <c r="D33" s="873">
        <f>D31*D32*8.92*10^-6</f>
        <v>0.379992</v>
      </c>
      <c r="E33" s="873">
        <f t="shared" ref="E33:O33" si="3">E31*E32*8.92*10^-6</f>
        <v>0.379992</v>
      </c>
      <c r="F33" s="873">
        <f t="shared" si="3"/>
        <v>0.30082700000000001</v>
      </c>
      <c r="G33" s="873">
        <f t="shared" si="3"/>
        <v>0.30082700000000001</v>
      </c>
      <c r="H33" s="873">
        <f t="shared" si="3"/>
        <v>0</v>
      </c>
      <c r="I33" s="873">
        <f t="shared" si="3"/>
        <v>0</v>
      </c>
      <c r="J33" s="873">
        <f t="shared" si="3"/>
        <v>0</v>
      </c>
      <c r="K33" s="873">
        <f t="shared" si="3"/>
        <v>0</v>
      </c>
      <c r="L33" s="873">
        <f t="shared" si="3"/>
        <v>0</v>
      </c>
      <c r="M33" s="873">
        <f t="shared" si="3"/>
        <v>0</v>
      </c>
      <c r="N33" s="873">
        <f t="shared" si="3"/>
        <v>0</v>
      </c>
      <c r="O33" s="873">
        <f t="shared" si="3"/>
        <v>0</v>
      </c>
      <c r="P33" s="753"/>
      <c r="Q33" s="753"/>
      <c r="R33" s="753"/>
      <c r="S33" s="857"/>
    </row>
    <row r="34" spans="1:19" ht="15.75" thickBot="1" x14ac:dyDescent="0.3">
      <c r="A34" s="861"/>
      <c r="B34" s="753"/>
      <c r="C34" s="753"/>
      <c r="D34" s="753"/>
      <c r="E34" s="753"/>
      <c r="F34" s="753"/>
      <c r="G34" s="753"/>
      <c r="H34" s="753"/>
      <c r="I34" s="753"/>
      <c r="J34" s="753"/>
      <c r="K34" s="753"/>
      <c r="L34" s="753"/>
      <c r="M34" s="753"/>
      <c r="N34" s="753"/>
      <c r="O34" s="753"/>
      <c r="P34" s="753"/>
      <c r="Q34" s="753"/>
      <c r="R34" s="753"/>
      <c r="S34" s="857"/>
    </row>
    <row r="35" spans="1:19" ht="48" customHeight="1" thickBot="1" x14ac:dyDescent="0.5">
      <c r="A35" s="861"/>
      <c r="C35" s="966"/>
      <c r="D35" s="966"/>
      <c r="E35" s="966"/>
      <c r="F35" s="966"/>
      <c r="G35" s="966"/>
      <c r="H35" s="966"/>
      <c r="I35" s="753"/>
      <c r="J35" s="753"/>
      <c r="K35" s="875" t="s">
        <v>1075</v>
      </c>
      <c r="L35" s="876"/>
      <c r="M35" s="877"/>
      <c r="N35" s="878"/>
      <c r="O35" s="879"/>
      <c r="P35" s="880" t="str">
        <f t="array" ref="P35">"Sản phẩm : "&amp;Phieutrienkhai!$P$8</f>
        <v>Sản phẩm : MBA 303KVA 22/0.4KV (23A 001  )</v>
      </c>
      <c r="Q35" s="881"/>
      <c r="R35" s="881"/>
      <c r="S35" s="882"/>
    </row>
    <row r="36" spans="1:19" ht="48" customHeight="1" thickBot="1" x14ac:dyDescent="0.5">
      <c r="A36" s="861"/>
      <c r="C36" s="966"/>
      <c r="D36" s="966"/>
      <c r="E36" s="966"/>
      <c r="F36" s="966"/>
      <c r="G36" s="966"/>
      <c r="H36" s="966"/>
      <c r="I36" s="753"/>
      <c r="J36" s="753"/>
      <c r="K36" s="883" t="s">
        <v>4032</v>
      </c>
      <c r="L36" s="884"/>
      <c r="M36" s="885"/>
      <c r="N36" s="886"/>
      <c r="O36" s="887"/>
      <c r="P36" s="888" t="s">
        <v>1077</v>
      </c>
      <c r="Q36" s="881"/>
      <c r="R36" s="882"/>
      <c r="S36" s="889" t="s">
        <v>1078</v>
      </c>
    </row>
    <row r="37" spans="1:19" ht="48" customHeight="1" thickBot="1" x14ac:dyDescent="0.5">
      <c r="A37" s="861"/>
      <c r="C37" s="966"/>
      <c r="D37" s="966"/>
      <c r="E37" s="966"/>
      <c r="F37" s="966"/>
      <c r="G37" s="966"/>
      <c r="H37" s="966"/>
      <c r="I37" s="753"/>
      <c r="J37" s="753"/>
      <c r="K37" s="883" t="s">
        <v>4033</v>
      </c>
      <c r="L37" s="884"/>
      <c r="M37" s="885"/>
      <c r="N37" s="886"/>
      <c r="O37" s="887"/>
      <c r="P37" s="1270" t="s">
        <v>988</v>
      </c>
      <c r="Q37" s="1271"/>
      <c r="R37" s="1272"/>
      <c r="S37" s="890" t="s">
        <v>1079</v>
      </c>
    </row>
    <row r="38" spans="1:19" ht="37.5" customHeight="1" thickBot="1" x14ac:dyDescent="0.5">
      <c r="A38" s="861"/>
      <c r="C38" s="966"/>
      <c r="D38" s="966"/>
      <c r="E38" s="966"/>
      <c r="F38" s="966"/>
      <c r="G38" s="966"/>
      <c r="H38" s="966"/>
      <c r="I38" s="753"/>
      <c r="J38" s="753"/>
      <c r="K38" s="891"/>
      <c r="L38" s="892"/>
      <c r="M38" s="892"/>
      <c r="N38" s="893"/>
      <c r="O38" s="894"/>
      <c r="P38" s="1273"/>
      <c r="Q38" s="1274"/>
      <c r="R38" s="1275"/>
      <c r="S38" s="895" t="s">
        <v>1080</v>
      </c>
    </row>
    <row r="39" spans="1:19" ht="30" customHeight="1" x14ac:dyDescent="0.45">
      <c r="A39" s="861"/>
      <c r="B39" s="753"/>
      <c r="C39" s="753"/>
      <c r="D39" s="753"/>
      <c r="E39" s="753"/>
      <c r="F39" s="753"/>
      <c r="G39" s="753"/>
      <c r="H39" s="753"/>
      <c r="I39" s="753"/>
      <c r="J39" s="753"/>
      <c r="K39" s="891"/>
      <c r="L39" s="892"/>
      <c r="M39" s="892"/>
      <c r="N39" s="893"/>
      <c r="O39" s="896"/>
      <c r="P39" s="897" t="s">
        <v>1082</v>
      </c>
      <c r="Q39" s="898"/>
      <c r="R39" s="882"/>
      <c r="S39" s="899" t="s">
        <v>1081</v>
      </c>
    </row>
    <row r="40" spans="1:19" ht="37.5" customHeight="1" thickBot="1" x14ac:dyDescent="0.45">
      <c r="A40" s="460"/>
      <c r="B40" s="461"/>
      <c r="C40" s="461"/>
      <c r="D40" s="461"/>
      <c r="E40" s="461"/>
      <c r="F40" s="461"/>
      <c r="G40" s="461"/>
      <c r="H40" s="461"/>
      <c r="I40" s="461"/>
      <c r="J40" s="461"/>
      <c r="K40" s="1276" t="s">
        <v>1076</v>
      </c>
      <c r="L40" s="1277"/>
      <c r="M40" s="1277"/>
      <c r="N40" s="1277"/>
      <c r="O40" s="1278"/>
      <c r="P40" s="900"/>
      <c r="Q40" s="901"/>
      <c r="R40" s="902"/>
      <c r="S40" s="903"/>
    </row>
  </sheetData>
  <mergeCells count="8">
    <mergeCell ref="B23:C24"/>
    <mergeCell ref="U22:AF26"/>
    <mergeCell ref="P37:R38"/>
    <mergeCell ref="K40:O40"/>
    <mergeCell ref="D10:O10"/>
    <mergeCell ref="D16:O16"/>
    <mergeCell ref="D23:O23"/>
    <mergeCell ref="D29:O29"/>
  </mergeCells>
  <pageMargins left="0.23622047244094491" right="0.15748031496062992" top="0.2" bottom="0.23622047244094491" header="0.19685039370078741" footer="0.2"/>
  <pageSetup paperSize="9" scale="41" orientation="landscape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W37"/>
  <sheetViews>
    <sheetView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23.5703125" style="545" customWidth="1"/>
    <col min="2" max="2" width="12.42578125" style="545" customWidth="1"/>
    <col min="3" max="5" width="9.140625" style="545"/>
    <col min="6" max="6" width="16.5703125" style="545" customWidth="1"/>
    <col min="7" max="7" width="7.7109375" style="545" customWidth="1"/>
    <col min="8" max="15" width="12" style="545" customWidth="1"/>
    <col min="16" max="16384" width="9.140625" style="545"/>
  </cols>
  <sheetData>
    <row r="1" spans="1:23" ht="33.75" customHeight="1" x14ac:dyDescent="0.25">
      <c r="A1" s="545" t="s">
        <v>3559</v>
      </c>
      <c r="B1" s="904">
        <f>Sheet5!B17</f>
        <v>303</v>
      </c>
      <c r="H1" s="1282" t="s">
        <v>3560</v>
      </c>
      <c r="I1" s="1282"/>
      <c r="J1" s="1282" t="s">
        <v>3561</v>
      </c>
      <c r="K1" s="1282"/>
      <c r="L1" s="1282" t="s">
        <v>3562</v>
      </c>
      <c r="M1" s="1282"/>
      <c r="N1" s="1283" t="s">
        <v>983</v>
      </c>
      <c r="O1" s="1283"/>
    </row>
    <row r="2" spans="1:23" x14ac:dyDescent="0.25">
      <c r="A2" s="545" t="s">
        <v>3563</v>
      </c>
      <c r="B2" s="905">
        <v>0.4</v>
      </c>
      <c r="G2" s="337" t="s">
        <v>3564</v>
      </c>
      <c r="H2" s="337" t="s">
        <v>1073</v>
      </c>
      <c r="I2" s="545" t="s">
        <v>3565</v>
      </c>
      <c r="J2" s="337" t="s">
        <v>1073</v>
      </c>
      <c r="K2" s="545" t="s">
        <v>3565</v>
      </c>
      <c r="L2" s="337" t="s">
        <v>1073</v>
      </c>
      <c r="M2" s="545" t="s">
        <v>3565</v>
      </c>
      <c r="N2" s="337" t="s">
        <v>1073</v>
      </c>
      <c r="O2" s="545" t="s">
        <v>3565</v>
      </c>
      <c r="S2" s="545" t="s">
        <v>3566</v>
      </c>
    </row>
    <row r="3" spans="1:23" x14ac:dyDescent="0.25">
      <c r="A3" s="545" t="s">
        <v>3567</v>
      </c>
      <c r="B3" s="545">
        <f>B1/B2/3^0.5</f>
        <v>437.34282891114157</v>
      </c>
      <c r="G3" s="337" t="s">
        <v>971</v>
      </c>
      <c r="H3" s="905">
        <v>380</v>
      </c>
      <c r="I3" s="507">
        <v>120</v>
      </c>
      <c r="J3" s="905">
        <v>245</v>
      </c>
      <c r="K3" s="507">
        <v>95</v>
      </c>
      <c r="L3" s="905">
        <v>220</v>
      </c>
      <c r="M3" s="507">
        <f>I3</f>
        <v>120</v>
      </c>
      <c r="N3" s="905">
        <v>355</v>
      </c>
      <c r="O3" s="507">
        <v>120</v>
      </c>
    </row>
    <row r="4" spans="1:23" x14ac:dyDescent="0.25">
      <c r="A4" s="337" t="s">
        <v>3568</v>
      </c>
      <c r="B4" s="905">
        <f>Sheet5!H15*Sheet5!H17+Sheet5!J15*Sheet5!J17</f>
        <v>1.9</v>
      </c>
      <c r="C4" s="905">
        <f>Sheet5!I15*Sheet5!I17</f>
        <v>1.9</v>
      </c>
      <c r="G4" s="337" t="s">
        <v>972</v>
      </c>
      <c r="H4" s="905">
        <f>H3+50</f>
        <v>430</v>
      </c>
      <c r="I4" s="507">
        <v>120</v>
      </c>
      <c r="J4" s="905">
        <f>J3+50</f>
        <v>295</v>
      </c>
      <c r="K4" s="507">
        <v>70</v>
      </c>
      <c r="L4" s="905">
        <f>L3+50</f>
        <v>270</v>
      </c>
      <c r="M4" s="507">
        <f t="shared" ref="M4:M6" si="0">I4</f>
        <v>120</v>
      </c>
      <c r="N4" s="905">
        <v>355</v>
      </c>
      <c r="O4" s="507">
        <v>120</v>
      </c>
      <c r="S4" s="545" t="s">
        <v>3664</v>
      </c>
      <c r="T4" s="509">
        <f>Sheet2!F155</f>
        <v>1</v>
      </c>
      <c r="U4" s="509">
        <f>Sheet2!G155</f>
        <v>95</v>
      </c>
      <c r="V4" s="509">
        <f>Sheet2!H155</f>
        <v>0</v>
      </c>
      <c r="W4" s="509">
        <f>Sheet2!I155</f>
        <v>0</v>
      </c>
    </row>
    <row r="5" spans="1:23" x14ac:dyDescent="0.25">
      <c r="A5" s="337" t="s">
        <v>3569</v>
      </c>
      <c r="B5" s="904">
        <f>Sheet5!H14</f>
        <v>2860</v>
      </c>
      <c r="F5" s="545">
        <f>B4*C4/1000000</f>
        <v>3.6099999999999997E-6</v>
      </c>
      <c r="G5" s="337" t="s">
        <v>1055</v>
      </c>
      <c r="H5" s="905">
        <f t="shared" ref="H5:J6" si="1">H4+50</f>
        <v>480</v>
      </c>
      <c r="I5" s="507">
        <v>120</v>
      </c>
      <c r="J5" s="905">
        <f t="shared" si="1"/>
        <v>345</v>
      </c>
      <c r="K5" s="507">
        <v>70</v>
      </c>
      <c r="L5" s="905">
        <f>L4+50</f>
        <v>320</v>
      </c>
      <c r="M5" s="507">
        <f t="shared" si="0"/>
        <v>120</v>
      </c>
      <c r="N5" s="905">
        <v>355</v>
      </c>
      <c r="O5" s="507">
        <v>95</v>
      </c>
      <c r="S5" s="998" t="s">
        <v>694</v>
      </c>
      <c r="T5" s="545">
        <f>Sheet2!F141</f>
        <v>1</v>
      </c>
      <c r="U5" s="545">
        <f>Sheet2!G141</f>
        <v>35</v>
      </c>
      <c r="V5" s="545">
        <f>Sheet2!H141</f>
        <v>0</v>
      </c>
      <c r="W5" s="545">
        <f>Sheet2!I141</f>
        <v>0</v>
      </c>
    </row>
    <row r="6" spans="1:23" x14ac:dyDescent="0.25">
      <c r="A6" s="337" t="s">
        <v>3570</v>
      </c>
      <c r="B6" s="507">
        <f>Sheet5!H18</f>
        <v>546</v>
      </c>
      <c r="F6" s="545">
        <f>B4*C4/1000000</f>
        <v>3.6099999999999997E-6</v>
      </c>
      <c r="G6" s="337" t="s">
        <v>1056</v>
      </c>
      <c r="H6" s="905">
        <f t="shared" si="1"/>
        <v>530</v>
      </c>
      <c r="I6" s="507">
        <v>120</v>
      </c>
      <c r="J6" s="905">
        <f t="shared" si="1"/>
        <v>395</v>
      </c>
      <c r="K6" s="507">
        <v>70</v>
      </c>
      <c r="L6" s="905">
        <f>L5+50</f>
        <v>370</v>
      </c>
      <c r="M6" s="507">
        <f t="shared" si="0"/>
        <v>120</v>
      </c>
      <c r="N6" s="905">
        <v>355</v>
      </c>
      <c r="O6" s="507">
        <v>95</v>
      </c>
    </row>
    <row r="7" spans="1:23" x14ac:dyDescent="0.25">
      <c r="A7" s="337" t="s">
        <v>3571</v>
      </c>
      <c r="B7" s="507">
        <f>Sheet5!I18</f>
        <v>888</v>
      </c>
      <c r="G7" s="337" t="s">
        <v>1057</v>
      </c>
      <c r="H7" s="905"/>
      <c r="I7" s="507"/>
      <c r="J7" s="905"/>
      <c r="K7" s="507"/>
      <c r="L7" s="905"/>
      <c r="M7" s="507"/>
      <c r="N7" s="905"/>
      <c r="O7" s="507"/>
    </row>
    <row r="8" spans="1:23" x14ac:dyDescent="0.25">
      <c r="A8" s="337" t="s">
        <v>3572</v>
      </c>
      <c r="B8" s="906">
        <f>Sheet5!B22</f>
        <v>30</v>
      </c>
      <c r="C8" s="906">
        <f>Sheet5!B23</f>
        <v>3</v>
      </c>
      <c r="D8" s="507">
        <f>'Tinh vat tu'!S47</f>
        <v>430</v>
      </c>
      <c r="E8" s="545">
        <f>(D8-C$4/2)/1000</f>
        <v>0.42904999999999999</v>
      </c>
      <c r="G8" s="337" t="s">
        <v>1058</v>
      </c>
      <c r="H8" s="905"/>
      <c r="I8" s="507"/>
      <c r="J8" s="905"/>
      <c r="K8" s="507"/>
      <c r="L8" s="905"/>
      <c r="M8" s="507"/>
      <c r="N8" s="905"/>
      <c r="O8" s="507"/>
    </row>
    <row r="9" spans="1:23" x14ac:dyDescent="0.25">
      <c r="A9" s="337" t="s">
        <v>3573</v>
      </c>
      <c r="B9" s="906">
        <f>B8</f>
        <v>30</v>
      </c>
      <c r="C9" s="906">
        <f>C8</f>
        <v>3</v>
      </c>
      <c r="D9" s="507">
        <f>'Tinh vat tu'!P47</f>
        <v>412</v>
      </c>
      <c r="E9" s="545">
        <f>(D9-C$4/2)/1000</f>
        <v>0.41105000000000003</v>
      </c>
      <c r="G9" s="337" t="s">
        <v>1059</v>
      </c>
      <c r="H9" s="905"/>
      <c r="I9" s="507"/>
      <c r="J9" s="905"/>
      <c r="K9" s="507"/>
      <c r="L9" s="905"/>
      <c r="M9" s="507"/>
    </row>
    <row r="10" spans="1:23" x14ac:dyDescent="0.25">
      <c r="A10" s="337" t="s">
        <v>3574</v>
      </c>
      <c r="B10" s="906">
        <f>B9</f>
        <v>30</v>
      </c>
      <c r="C10" s="906">
        <f>C9</f>
        <v>3</v>
      </c>
      <c r="D10" s="507">
        <f>'Tinh vat tu'!P41</f>
        <v>916</v>
      </c>
      <c r="E10" s="545">
        <f>C10*B10/1000000</f>
        <v>9.0000000000000006E-5</v>
      </c>
      <c r="G10" s="337" t="s">
        <v>1060</v>
      </c>
      <c r="H10" s="905"/>
      <c r="I10" s="507"/>
      <c r="J10" s="905"/>
      <c r="K10" s="507"/>
      <c r="L10" s="905"/>
      <c r="M10" s="507"/>
    </row>
    <row r="11" spans="1:23" x14ac:dyDescent="0.25">
      <c r="A11" s="337" t="s">
        <v>249</v>
      </c>
      <c r="B11" s="904">
        <f>Sheet5!B28</f>
        <v>443</v>
      </c>
      <c r="C11" s="907">
        <f>B11/1000</f>
        <v>0.443</v>
      </c>
      <c r="D11" s="907">
        <f>2*C11</f>
        <v>0.88600000000000001</v>
      </c>
      <c r="G11" s="337" t="s">
        <v>1061</v>
      </c>
      <c r="I11" s="507"/>
      <c r="M11" s="507"/>
    </row>
    <row r="12" spans="1:23" x14ac:dyDescent="0.25">
      <c r="A12" s="337" t="s">
        <v>3575</v>
      </c>
      <c r="B12" s="507">
        <f>Sheet2!H150+(Sheet2!F150-1)*Sheet2!H143/2</f>
        <v>90</v>
      </c>
      <c r="C12" s="907">
        <f>B12/1000</f>
        <v>0.09</v>
      </c>
      <c r="D12" s="907"/>
      <c r="G12" s="337" t="s">
        <v>1062</v>
      </c>
      <c r="I12" s="507"/>
      <c r="M12" s="507"/>
    </row>
    <row r="13" spans="1:23" x14ac:dyDescent="0.25">
      <c r="A13" s="337" t="s">
        <v>3576</v>
      </c>
      <c r="B13" s="545">
        <f>(B7+B6)/2</f>
        <v>717</v>
      </c>
      <c r="C13" s="908"/>
      <c r="D13" s="908"/>
      <c r="G13" s="337" t="s">
        <v>1063</v>
      </c>
      <c r="I13" s="507"/>
      <c r="M13" s="507"/>
    </row>
    <row r="14" spans="1:23" x14ac:dyDescent="0.25">
      <c r="A14" s="337" t="s">
        <v>3577</v>
      </c>
      <c r="B14" s="545">
        <f>B11-B12</f>
        <v>353</v>
      </c>
      <c r="C14" s="907">
        <f>B14/1000</f>
        <v>0.35299999999999998</v>
      </c>
      <c r="G14" s="337" t="s">
        <v>1064</v>
      </c>
      <c r="I14" s="507"/>
      <c r="M14" s="507"/>
    </row>
    <row r="15" spans="1:23" x14ac:dyDescent="0.25">
      <c r="A15" s="337" t="s">
        <v>3578</v>
      </c>
      <c r="B15" s="545">
        <f>B11+B12</f>
        <v>533</v>
      </c>
      <c r="C15" s="907">
        <f>B15/1000</f>
        <v>0.53300000000000003</v>
      </c>
      <c r="G15" s="337"/>
    </row>
    <row r="16" spans="1:23" x14ac:dyDescent="0.25">
      <c r="A16" s="337" t="s">
        <v>3579</v>
      </c>
      <c r="B16" s="337">
        <f>1.72*10^-8</f>
        <v>1.7199999999999999E-8</v>
      </c>
      <c r="G16" s="337"/>
    </row>
    <row r="17" spans="1:18" x14ac:dyDescent="0.25">
      <c r="A17" s="337" t="s">
        <v>3580</v>
      </c>
      <c r="B17" s="545">
        <f>B13*B5/1000</f>
        <v>2050.62</v>
      </c>
      <c r="G17" s="337"/>
    </row>
    <row r="18" spans="1:18" x14ac:dyDescent="0.25">
      <c r="A18" s="337" t="s">
        <v>3581</v>
      </c>
      <c r="B18" s="545">
        <f>B4*C4/1000000</f>
        <v>3.6099999999999997E-6</v>
      </c>
      <c r="G18" s="337"/>
    </row>
    <row r="19" spans="1:18" x14ac:dyDescent="0.25">
      <c r="A19" s="337" t="s">
        <v>3582</v>
      </c>
      <c r="B19" s="545">
        <f>B16*B17/B18*1000</f>
        <v>9770.2670360110787</v>
      </c>
      <c r="G19" s="337"/>
    </row>
    <row r="20" spans="1:18" x14ac:dyDescent="0.25">
      <c r="A20" s="337" t="s">
        <v>3583</v>
      </c>
      <c r="B20" s="545">
        <f>B16*E8/F5*1000</f>
        <v>2.0442271468144044</v>
      </c>
      <c r="G20" s="337"/>
    </row>
    <row r="21" spans="1:18" x14ac:dyDescent="0.25">
      <c r="A21" s="337" t="s">
        <v>3584</v>
      </c>
      <c r="B21" s="545">
        <f>B16*E9/F6*1000</f>
        <v>1.9584653739612192</v>
      </c>
    </row>
    <row r="22" spans="1:18" x14ac:dyDescent="0.25">
      <c r="A22" s="337" t="s">
        <v>3585</v>
      </c>
      <c r="B22" s="545">
        <f>SUM(B19:B21)</f>
        <v>9774.2697285318554</v>
      </c>
    </row>
    <row r="23" spans="1:18" x14ac:dyDescent="0.25">
      <c r="A23" s="337" t="s">
        <v>3586</v>
      </c>
      <c r="B23" s="545">
        <f>B16*C14/E10*1000</f>
        <v>6.7462222222222201E-2</v>
      </c>
    </row>
    <row r="24" spans="1:18" x14ac:dyDescent="0.25">
      <c r="A24" s="337" t="s">
        <v>3587</v>
      </c>
      <c r="B24" s="545">
        <f>B16*C12/E10*1000</f>
        <v>1.7199999999999997E-2</v>
      </c>
    </row>
    <row r="25" spans="1:18" x14ac:dyDescent="0.25">
      <c r="A25" s="337" t="s">
        <v>3588</v>
      </c>
      <c r="B25" s="545">
        <f>B16*C15/E10*1000</f>
        <v>0.10186222222222222</v>
      </c>
      <c r="H25" s="545">
        <f>AVERAGE(H3:H20)/1000</f>
        <v>0.45500000000000002</v>
      </c>
      <c r="I25" s="545">
        <f>SUM(I3:I20)/1000000</f>
        <v>4.8000000000000001E-4</v>
      </c>
      <c r="J25" s="545">
        <f>AVERAGE(J3:J20)/1000</f>
        <v>0.32</v>
      </c>
      <c r="K25" s="545">
        <f>SUM(K3:K20)/1000000</f>
        <v>3.0499999999999999E-4</v>
      </c>
      <c r="L25" s="545">
        <f>AVERAGE(L3:L20)/1000</f>
        <v>0.29499999999999998</v>
      </c>
      <c r="M25" s="545">
        <f>SUM(M3:M20)/1000000</f>
        <v>4.8000000000000001E-4</v>
      </c>
      <c r="N25" s="545">
        <f>AVERAGE(N3:N20)/1000</f>
        <v>0.35499999999999998</v>
      </c>
      <c r="O25" s="545">
        <f>SUM(O3:O20)/1000000</f>
        <v>4.2999999999999999E-4</v>
      </c>
    </row>
    <row r="26" spans="1:18" x14ac:dyDescent="0.25">
      <c r="A26" s="337" t="s">
        <v>3589</v>
      </c>
      <c r="B26" s="545">
        <f>B16*C11/E10*1000</f>
        <v>8.4662222222222208E-2</v>
      </c>
      <c r="F26" s="545" t="s">
        <v>3590</v>
      </c>
      <c r="H26" s="545">
        <f>(B16*H25/I25)*1000</f>
        <v>1.6304166666666665E-2</v>
      </c>
      <c r="J26" s="545">
        <f>(B16*J25/K25)*1000</f>
        <v>1.8045901639344261E-2</v>
      </c>
      <c r="L26" s="545">
        <f>(B16*L25/M25)*1000</f>
        <v>1.0570833333333331E-2</v>
      </c>
      <c r="N26" s="545">
        <f>(B16*N25/O25)*1000</f>
        <v>1.4199999999999999E-2</v>
      </c>
    </row>
    <row r="27" spans="1:18" x14ac:dyDescent="0.25">
      <c r="A27" s="337" t="s">
        <v>3591</v>
      </c>
      <c r="B27" s="545">
        <f>2*B26</f>
        <v>0.16932444444444442</v>
      </c>
      <c r="F27" s="545" t="s">
        <v>3592</v>
      </c>
      <c r="I27" s="122">
        <f>B$3/SUM(I3:I20)</f>
        <v>0.91113089356487831</v>
      </c>
      <c r="K27" s="122">
        <f>B$3/SUM(K3:K20)</f>
        <v>1.4339109144627593</v>
      </c>
      <c r="M27" s="122">
        <f>B3/SUM(M3:M20)</f>
        <v>0.91113089356487831</v>
      </c>
      <c r="O27" s="122">
        <f>B$3/SUM(O3:O20)</f>
        <v>1.0170763463049803</v>
      </c>
    </row>
    <row r="28" spans="1:18" x14ac:dyDescent="0.25">
      <c r="A28" s="337" t="s">
        <v>3593</v>
      </c>
      <c r="B28" s="545">
        <f>B22+H26</f>
        <v>9774.2860326985228</v>
      </c>
    </row>
    <row r="29" spans="1:18" x14ac:dyDescent="0.25">
      <c r="A29" s="337" t="s">
        <v>3594</v>
      </c>
      <c r="B29" s="545">
        <f>B22+J26</f>
        <v>9774.2877744334946</v>
      </c>
    </row>
    <row r="30" spans="1:18" x14ac:dyDescent="0.25">
      <c r="A30" s="337" t="s">
        <v>3595</v>
      </c>
      <c r="B30" s="545">
        <f>B22+L26</f>
        <v>9774.2802993651894</v>
      </c>
    </row>
    <row r="32" spans="1:18" x14ac:dyDescent="0.25">
      <c r="F32" s="545" t="s">
        <v>3590</v>
      </c>
      <c r="G32" s="545" t="s">
        <v>3596</v>
      </c>
      <c r="H32" s="545" t="s">
        <v>3597</v>
      </c>
      <c r="I32" s="545" t="s">
        <v>3598</v>
      </c>
      <c r="J32" s="545" t="s">
        <v>3599</v>
      </c>
      <c r="K32" s="545" t="s">
        <v>3600</v>
      </c>
      <c r="N32" s="507" t="s">
        <v>3596</v>
      </c>
      <c r="O32" s="507" t="s">
        <v>3597</v>
      </c>
      <c r="P32" s="507" t="s">
        <v>3598</v>
      </c>
      <c r="Q32" s="507" t="s">
        <v>3599</v>
      </c>
      <c r="R32" s="507" t="s">
        <v>3600</v>
      </c>
    </row>
    <row r="33" spans="7:18" x14ac:dyDescent="0.25">
      <c r="G33" s="545">
        <f>B28+B29+B26</f>
        <v>19548.658469354239</v>
      </c>
      <c r="H33" s="545">
        <f>B29+B30+B26</f>
        <v>19548.652736020907</v>
      </c>
      <c r="I33" s="545">
        <f>B28+B30+B27</f>
        <v>19548.735656508154</v>
      </c>
      <c r="J33" s="921">
        <f>(MAX(G33:I33)-MIN(G33:I33))/MIN(G33:I33)*200</f>
        <v>8.4834989260783485E-4</v>
      </c>
      <c r="K33" s="122">
        <f>(MAX(G33:I33)-AVERAGE(G33:I33))/AVERAGE(G33:I33)*200</f>
        <v>5.4601341345794988E-4</v>
      </c>
      <c r="N33" s="507">
        <v>3.536</v>
      </c>
      <c r="O33" s="507">
        <v>3.5190000000000001</v>
      </c>
      <c r="P33" s="507">
        <v>3.5779999999999998</v>
      </c>
      <c r="Q33" s="909">
        <f>(MAX(N33:P33)-MIN(N33:P33))/MIN(N33:P33)*200</f>
        <v>3.3532253481102425</v>
      </c>
      <c r="R33" s="507">
        <f>(MAX(N33:P33)-AVERAGE(N33:P33))/AVERAGE(N33:P33)*200</f>
        <v>1.8997460735446416</v>
      </c>
    </row>
    <row r="34" spans="7:18" x14ac:dyDescent="0.25">
      <c r="N34" s="507"/>
      <c r="O34" s="507"/>
      <c r="P34" s="507"/>
      <c r="Q34" s="507"/>
      <c r="R34" s="507"/>
    </row>
    <row r="35" spans="7:18" x14ac:dyDescent="0.25">
      <c r="G35" s="545" t="s">
        <v>3601</v>
      </c>
      <c r="H35" s="545" t="s">
        <v>3602</v>
      </c>
      <c r="I35" s="545" t="s">
        <v>3603</v>
      </c>
      <c r="J35" s="545" t="s">
        <v>3599</v>
      </c>
      <c r="K35" s="545" t="s">
        <v>3600</v>
      </c>
      <c r="N35" s="507" t="s">
        <v>3601</v>
      </c>
      <c r="O35" s="507" t="s">
        <v>3602</v>
      </c>
      <c r="P35" s="507" t="s">
        <v>3603</v>
      </c>
      <c r="Q35" s="507" t="s">
        <v>3599</v>
      </c>
      <c r="R35" s="507" t="s">
        <v>3600</v>
      </c>
    </row>
    <row r="36" spans="7:18" x14ac:dyDescent="0.25">
      <c r="G36" s="545">
        <f>B28+B23+N26</f>
        <v>9774.3676949207438</v>
      </c>
      <c r="H36" s="545">
        <f>B29+B24+N26</f>
        <v>9774.3191744334945</v>
      </c>
      <c r="I36" s="545">
        <f>B30+B25+N26</f>
        <v>9774.3963615874109</v>
      </c>
      <c r="J36" s="921">
        <f>(MAX(G36:I36)-MIN(G36:I36))/MIN(G36:I36)*100</f>
        <v>7.8969340512514649E-4</v>
      </c>
      <c r="K36" s="122">
        <f>(MAX(G36:I36)-AVERAGE(G36:I36))/AVERAGE(G36:I36)*100</f>
        <v>3.6099144058664048E-4</v>
      </c>
      <c r="N36" s="507">
        <v>1.7975000000000001</v>
      </c>
      <c r="O36" s="507">
        <v>1.7384999999999999</v>
      </c>
      <c r="P36" s="507">
        <v>1.75</v>
      </c>
      <c r="Q36" s="909">
        <f>(MAX(N36:P36)-MIN(N36:P36))/MIN(N36:P36)*200</f>
        <v>6.7874604544147443</v>
      </c>
      <c r="R36" s="507">
        <f>(MAX(N36:P36)-AVERAGE(N36:P36))/AVERAGE(N36:P36)*200</f>
        <v>4.0295119182747232</v>
      </c>
    </row>
    <row r="37" spans="7:18" x14ac:dyDescent="0.25">
      <c r="N37" s="507"/>
      <c r="O37" s="507"/>
      <c r="P37" s="507"/>
      <c r="Q37" s="507"/>
      <c r="R37" s="507"/>
    </row>
  </sheetData>
  <mergeCells count="4">
    <mergeCell ref="H1:I1"/>
    <mergeCell ref="J1:K1"/>
    <mergeCell ref="L1:M1"/>
    <mergeCell ref="N1:O1"/>
  </mergeCells>
  <pageMargins left="0.7" right="0.7" top="0.75" bottom="0.75" header="0.3" footer="0.3"/>
  <pageSetup paperSize="9" orientation="portrait" verticalDpi="12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I64"/>
  <sheetViews>
    <sheetView view="pageBreakPreview" topLeftCell="B16" zoomScale="40" zoomScaleNormal="40" zoomScaleSheetLayoutView="40" workbookViewId="0">
      <selection activeCell="M28" sqref="M28"/>
    </sheetView>
  </sheetViews>
  <sheetFormatPr defaultRowHeight="15" x14ac:dyDescent="0.25"/>
  <cols>
    <col min="1" max="1" width="5.85546875" style="646" customWidth="1"/>
    <col min="2" max="2" width="9.140625" style="646"/>
    <col min="3" max="3" width="17.7109375" style="646" customWidth="1"/>
    <col min="4" max="4" width="14.85546875" style="646" customWidth="1"/>
    <col min="5" max="5" width="9.85546875" style="646" customWidth="1"/>
    <col min="6" max="6" width="14.85546875" style="646" customWidth="1"/>
    <col min="7" max="7" width="9.85546875" style="646" customWidth="1"/>
    <col min="8" max="8" width="14.85546875" style="646" customWidth="1"/>
    <col min="9" max="9" width="9.7109375" style="646" customWidth="1"/>
    <col min="10" max="10" width="17.7109375" style="646" customWidth="1"/>
    <col min="11" max="11" width="17.42578125" style="646" customWidth="1"/>
    <col min="12" max="12" width="14.85546875" style="646" customWidth="1"/>
    <col min="13" max="13" width="9.140625" style="646" customWidth="1"/>
    <col min="14" max="14" width="11.7109375" style="646" customWidth="1"/>
    <col min="15" max="15" width="16.140625" style="646" customWidth="1"/>
    <col min="16" max="16" width="9.85546875" style="646" customWidth="1"/>
    <col min="17" max="17" width="15.5703125" style="646" customWidth="1"/>
    <col min="18" max="18" width="16.5703125" style="646" customWidth="1"/>
    <col min="19" max="19" width="14.85546875" style="646" customWidth="1"/>
    <col min="20" max="20" width="14.140625" style="646" customWidth="1"/>
    <col min="21" max="21" width="16.140625" style="646" customWidth="1"/>
    <col min="22" max="22" width="8.7109375" style="646" customWidth="1"/>
    <col min="23" max="23" width="14.85546875" style="646" customWidth="1"/>
    <col min="24" max="24" width="12" style="646" customWidth="1"/>
    <col min="25" max="25" width="14.85546875" style="646" customWidth="1"/>
    <col min="26" max="26" width="11.5703125" style="646" customWidth="1"/>
    <col min="27" max="27" width="15.5703125" style="646" customWidth="1"/>
    <col min="28" max="28" width="17" style="646" customWidth="1"/>
    <col min="29" max="29" width="17.140625" style="646" customWidth="1"/>
    <col min="30" max="31" width="14.85546875" style="646" customWidth="1"/>
    <col min="32" max="32" width="16.28515625" style="646" customWidth="1"/>
    <col min="33" max="33" width="14.85546875" style="646" customWidth="1"/>
    <col min="34" max="34" width="12.5703125" style="646" customWidth="1"/>
    <col min="35" max="35" width="19.85546875" style="646" customWidth="1"/>
    <col min="36" max="36" width="40.42578125" style="646" customWidth="1"/>
    <col min="37" max="16384" width="9.140625" style="646"/>
  </cols>
  <sheetData>
    <row r="1" spans="1:36" ht="38.1" customHeight="1" thickTop="1" thickBot="1" x14ac:dyDescent="0.3">
      <c r="A1" s="663"/>
      <c r="B1" s="664"/>
      <c r="C1" s="664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5"/>
      <c r="O1" s="665"/>
      <c r="P1" s="665"/>
      <c r="Q1" s="665"/>
      <c r="R1" s="665"/>
      <c r="S1" s="665"/>
      <c r="T1" s="665"/>
      <c r="U1" s="665"/>
      <c r="V1" s="665"/>
      <c r="W1" s="665"/>
      <c r="X1" s="666"/>
      <c r="Y1" s="666"/>
      <c r="Z1" s="666"/>
      <c r="AA1" s="666"/>
      <c r="AB1" s="666"/>
      <c r="AC1" s="666"/>
      <c r="AD1" s="666"/>
      <c r="AE1" s="666"/>
      <c r="AF1" s="666"/>
      <c r="AG1" s="666"/>
      <c r="AH1" s="666"/>
      <c r="AI1" s="666"/>
      <c r="AJ1" s="667"/>
    </row>
    <row r="2" spans="1:36" ht="69.75" customHeight="1" thickTop="1" thickBot="1" x14ac:dyDescent="0.3">
      <c r="A2" s="668"/>
      <c r="B2" s="1310" t="s">
        <v>1088</v>
      </c>
      <c r="C2" s="1310"/>
      <c r="D2" s="1310"/>
      <c r="E2" s="1310"/>
      <c r="F2" s="1310"/>
      <c r="G2" s="1310"/>
      <c r="H2" s="1310"/>
      <c r="I2" s="1310"/>
      <c r="J2" s="1310"/>
      <c r="K2" s="1310"/>
      <c r="L2" s="1310"/>
      <c r="M2" s="1310"/>
      <c r="N2" s="1310"/>
      <c r="O2" s="730"/>
      <c r="P2" s="730"/>
      <c r="Q2" s="730"/>
      <c r="R2" s="730"/>
      <c r="S2" s="730"/>
      <c r="T2" s="730"/>
      <c r="U2" s="730"/>
      <c r="V2" s="731"/>
      <c r="W2" s="731"/>
      <c r="X2" s="732"/>
      <c r="Y2" s="732"/>
      <c r="Z2" s="732"/>
      <c r="AA2" s="732"/>
      <c r="AB2" s="732"/>
      <c r="AC2" s="732"/>
      <c r="AD2" s="732"/>
      <c r="AE2" s="732"/>
      <c r="AF2" s="732"/>
      <c r="AG2" s="732"/>
      <c r="AH2" s="732"/>
      <c r="AI2" s="732"/>
      <c r="AJ2" s="669"/>
    </row>
    <row r="3" spans="1:36" ht="69.75" customHeight="1" thickTop="1" thickBot="1" x14ac:dyDescent="0.3">
      <c r="A3" s="668"/>
      <c r="B3" s="1311" t="s">
        <v>296</v>
      </c>
      <c r="C3" s="1312" t="s">
        <v>155</v>
      </c>
      <c r="D3" s="1310" t="s">
        <v>297</v>
      </c>
      <c r="E3" s="1310" t="s">
        <v>298</v>
      </c>
      <c r="F3" s="1312" t="s">
        <v>299</v>
      </c>
      <c r="G3" s="1310" t="s">
        <v>300</v>
      </c>
      <c r="H3" s="1312" t="s">
        <v>301</v>
      </c>
      <c r="I3" s="1310" t="s">
        <v>302</v>
      </c>
      <c r="J3" s="1311" t="s">
        <v>303</v>
      </c>
      <c r="K3" s="1311"/>
      <c r="L3" s="1314" t="s">
        <v>304</v>
      </c>
      <c r="M3" s="1314"/>
      <c r="N3" s="1314"/>
      <c r="O3" s="730"/>
      <c r="P3" s="1310" t="s">
        <v>305</v>
      </c>
      <c r="Q3" s="1310"/>
      <c r="R3" s="1310"/>
      <c r="S3" s="1310"/>
      <c r="T3" s="1310"/>
      <c r="U3" s="1310"/>
      <c r="V3" s="1310"/>
      <c r="W3" s="1310"/>
      <c r="X3" s="1310"/>
      <c r="Y3" s="732"/>
      <c r="Z3" s="1310" t="s">
        <v>306</v>
      </c>
      <c r="AA3" s="1310"/>
      <c r="AB3" s="1310"/>
      <c r="AC3" s="1310"/>
      <c r="AD3" s="1310"/>
      <c r="AE3" s="1310"/>
      <c r="AF3" s="1310"/>
      <c r="AG3" s="1310"/>
      <c r="AH3" s="1310"/>
      <c r="AI3" s="733" t="s">
        <v>307</v>
      </c>
      <c r="AJ3" s="669"/>
    </row>
    <row r="4" spans="1:36" ht="69.75" customHeight="1" thickTop="1" thickBot="1" x14ac:dyDescent="0.3">
      <c r="A4" s="670"/>
      <c r="B4" s="1311"/>
      <c r="C4" s="1312"/>
      <c r="D4" s="1310"/>
      <c r="E4" s="1310"/>
      <c r="F4" s="1312"/>
      <c r="G4" s="1310"/>
      <c r="H4" s="1312"/>
      <c r="I4" s="1310"/>
      <c r="J4" s="734" t="s">
        <v>829</v>
      </c>
      <c r="K4" s="734" t="s">
        <v>633</v>
      </c>
      <c r="L4" s="733" t="s">
        <v>308</v>
      </c>
      <c r="M4" s="1313" t="s">
        <v>1101</v>
      </c>
      <c r="N4" s="1313"/>
      <c r="O4" s="730"/>
      <c r="P4" s="734" t="s">
        <v>296</v>
      </c>
      <c r="Q4" s="735" t="s">
        <v>155</v>
      </c>
      <c r="R4" s="736" t="s">
        <v>4288</v>
      </c>
      <c r="S4" s="736" t="s">
        <v>275</v>
      </c>
      <c r="T4" s="736" t="s">
        <v>211</v>
      </c>
      <c r="U4" s="1311" t="s">
        <v>829</v>
      </c>
      <c r="V4" s="1311"/>
      <c r="W4" s="1311" t="s">
        <v>633</v>
      </c>
      <c r="X4" s="1311"/>
      <c r="Y4" s="732"/>
      <c r="Z4" s="734" t="s">
        <v>296</v>
      </c>
      <c r="AA4" s="735" t="s">
        <v>155</v>
      </c>
      <c r="AB4" s="736" t="s">
        <v>4289</v>
      </c>
      <c r="AC4" s="736" t="s">
        <v>4290</v>
      </c>
      <c r="AD4" s="736" t="s">
        <v>4291</v>
      </c>
      <c r="AE4" s="1311" t="s">
        <v>829</v>
      </c>
      <c r="AF4" s="1311"/>
      <c r="AG4" s="1311" t="s">
        <v>633</v>
      </c>
      <c r="AH4" s="1311"/>
      <c r="AI4" s="733" t="s">
        <v>310</v>
      </c>
      <c r="AJ4" s="669"/>
    </row>
    <row r="5" spans="1:36" ht="69.75" customHeight="1" thickTop="1" thickBot="1" x14ac:dyDescent="0.3">
      <c r="A5" s="670"/>
      <c r="B5" s="737" t="s">
        <v>311</v>
      </c>
      <c r="C5" s="749">
        <f>Sheet6!B4</f>
        <v>120</v>
      </c>
      <c r="D5" s="738">
        <f>Sheet6!C4</f>
        <v>510</v>
      </c>
      <c r="E5" s="697">
        <f>Sheet6!D4</f>
        <v>1.5</v>
      </c>
      <c r="F5" s="738">
        <f>Sheet6!E4</f>
        <v>510</v>
      </c>
      <c r="G5" s="738">
        <f>Sheet6!F4</f>
        <v>4.5</v>
      </c>
      <c r="H5" s="738">
        <f>Sheet6!G4</f>
        <v>510</v>
      </c>
      <c r="I5" s="738">
        <f>Sheet6!H4</f>
        <v>7.5</v>
      </c>
      <c r="J5" s="914">
        <f>Sheet2!G83</f>
        <v>26.25</v>
      </c>
      <c r="K5" s="914">
        <f>Sheet2!H83</f>
        <v>26.25</v>
      </c>
      <c r="L5" s="738">
        <f>Sheet6!K4</f>
        <v>219.13043478260866</v>
      </c>
      <c r="M5" s="1284">
        <f>L5/3</f>
        <v>73.043478260869549</v>
      </c>
      <c r="N5" s="1284"/>
      <c r="O5" s="730"/>
      <c r="P5" s="739" t="s">
        <v>311</v>
      </c>
      <c r="Q5" s="750">
        <f>Sheet6!P4</f>
        <v>120</v>
      </c>
      <c r="R5" s="740">
        <f>Sheet6!Q4</f>
        <v>630</v>
      </c>
      <c r="S5" s="740">
        <f>Sheet6!R4</f>
        <v>510</v>
      </c>
      <c r="T5" s="740">
        <f>Sheet6!S4</f>
        <v>390</v>
      </c>
      <c r="U5" s="915">
        <f t="shared" ref="U5:U14" si="0">J5</f>
        <v>26.25</v>
      </c>
      <c r="V5" s="916" t="s">
        <v>312</v>
      </c>
      <c r="W5" s="915">
        <f t="shared" ref="W5:W14" si="1">K5</f>
        <v>26.25</v>
      </c>
      <c r="X5" s="741" t="s">
        <v>312</v>
      </c>
      <c r="Y5" s="732"/>
      <c r="Z5" s="739" t="s">
        <v>311</v>
      </c>
      <c r="AA5" s="750">
        <f>Sheet6!X4</f>
        <v>120</v>
      </c>
      <c r="AB5" s="740">
        <f>Sheet6!Y4</f>
        <v>1006</v>
      </c>
      <c r="AC5" s="740">
        <f>Sheet6!Z4</f>
        <v>443</v>
      </c>
      <c r="AD5" s="740">
        <f>Sheet6!AA4</f>
        <v>323</v>
      </c>
      <c r="AE5" s="915">
        <f t="shared" ref="AE5:AE14" si="2">J5</f>
        <v>26.25</v>
      </c>
      <c r="AF5" s="916" t="s">
        <v>312</v>
      </c>
      <c r="AG5" s="915">
        <f t="shared" ref="AG5:AG14" si="3">K5</f>
        <v>26.25</v>
      </c>
      <c r="AH5" s="741" t="s">
        <v>312</v>
      </c>
      <c r="AI5" s="728">
        <f>Sheet6!AD4</f>
        <v>153.85420940400002</v>
      </c>
      <c r="AJ5" s="669"/>
    </row>
    <row r="6" spans="1:36" ht="69.75" customHeight="1" thickTop="1" thickBot="1" x14ac:dyDescent="0.3">
      <c r="A6" s="670"/>
      <c r="B6" s="737" t="s">
        <v>314</v>
      </c>
      <c r="C6" s="749">
        <f>Sheet6!B5</f>
        <v>110</v>
      </c>
      <c r="D6" s="738">
        <f>Sheet6!C5</f>
        <v>500</v>
      </c>
      <c r="E6" s="697">
        <f>Sheet6!D5</f>
        <v>1.5</v>
      </c>
      <c r="F6" s="738">
        <f>Sheet6!E5</f>
        <v>500</v>
      </c>
      <c r="G6" s="738">
        <f>Sheet6!F5</f>
        <v>4.5</v>
      </c>
      <c r="H6" s="738">
        <f>Sheet6!G5</f>
        <v>500</v>
      </c>
      <c r="I6" s="738">
        <f>Sheet6!H5</f>
        <v>7.5</v>
      </c>
      <c r="J6" s="914">
        <f>Sheet2!G84</f>
        <v>9</v>
      </c>
      <c r="K6" s="914">
        <f>Sheet2!H84</f>
        <v>9</v>
      </c>
      <c r="L6" s="738">
        <f>Sheet6!K5</f>
        <v>75.130434782608688</v>
      </c>
      <c r="M6" s="1284">
        <f t="shared" ref="M6:M13" si="4">L6/3</f>
        <v>25.043478260869563</v>
      </c>
      <c r="N6" s="1284"/>
      <c r="O6" s="730"/>
      <c r="P6" s="739" t="s">
        <v>314</v>
      </c>
      <c r="Q6" s="750">
        <f>Sheet6!P5</f>
        <v>110</v>
      </c>
      <c r="R6" s="740">
        <f>Sheet6!Q5</f>
        <v>610</v>
      </c>
      <c r="S6" s="740">
        <f>Sheet6!R5</f>
        <v>500</v>
      </c>
      <c r="T6" s="740">
        <f>Sheet6!S5</f>
        <v>390</v>
      </c>
      <c r="U6" s="915">
        <f t="shared" si="0"/>
        <v>9</v>
      </c>
      <c r="V6" s="916" t="s">
        <v>312</v>
      </c>
      <c r="W6" s="915">
        <f t="shared" si="1"/>
        <v>9</v>
      </c>
      <c r="X6" s="741" t="s">
        <v>312</v>
      </c>
      <c r="Y6" s="732"/>
      <c r="Z6" s="739" t="s">
        <v>314</v>
      </c>
      <c r="AA6" s="750">
        <f>Sheet6!X5</f>
        <v>110</v>
      </c>
      <c r="AB6" s="740">
        <f>Sheet6!Y5</f>
        <v>996</v>
      </c>
      <c r="AC6" s="740">
        <f>Sheet6!Z5</f>
        <v>443</v>
      </c>
      <c r="AD6" s="740">
        <f>Sheet6!AA5</f>
        <v>333</v>
      </c>
      <c r="AE6" s="915">
        <f t="shared" si="2"/>
        <v>9</v>
      </c>
      <c r="AF6" s="916" t="s">
        <v>312</v>
      </c>
      <c r="AG6" s="915">
        <f t="shared" si="3"/>
        <v>9</v>
      </c>
      <c r="AH6" s="741" t="s">
        <v>312</v>
      </c>
      <c r="AI6" s="728">
        <f>Sheet6!AD5</f>
        <v>47.9141404704</v>
      </c>
      <c r="AJ6" s="669"/>
    </row>
    <row r="7" spans="1:36" ht="69.75" customHeight="1" thickTop="1" thickBot="1" x14ac:dyDescent="0.3">
      <c r="A7" s="670"/>
      <c r="B7" s="737" t="s">
        <v>315</v>
      </c>
      <c r="C7" s="749">
        <f>Sheet6!B6</f>
        <v>100</v>
      </c>
      <c r="D7" s="738">
        <f>Sheet6!C6</f>
        <v>500</v>
      </c>
      <c r="E7" s="697">
        <f>Sheet6!D6</f>
        <v>1.5</v>
      </c>
      <c r="F7" s="738">
        <f>Sheet6!E6</f>
        <v>500</v>
      </c>
      <c r="G7" s="738">
        <f>Sheet6!F6</f>
        <v>4.5</v>
      </c>
      <c r="H7" s="738">
        <f>Sheet6!G6</f>
        <v>500</v>
      </c>
      <c r="I7" s="738">
        <f>Sheet6!H6</f>
        <v>7.5</v>
      </c>
      <c r="J7" s="914">
        <f>Sheet2!G85</f>
        <v>8.5</v>
      </c>
      <c r="K7" s="914">
        <f>Sheet2!H85</f>
        <v>8.5</v>
      </c>
      <c r="L7" s="738">
        <f>Sheet6!K6</f>
        <v>70.956521739130423</v>
      </c>
      <c r="M7" s="1284">
        <f t="shared" si="4"/>
        <v>23.652173913043473</v>
      </c>
      <c r="N7" s="1284"/>
      <c r="O7" s="730"/>
      <c r="P7" s="742" t="s">
        <v>315</v>
      </c>
      <c r="Q7" s="750">
        <f>Sheet6!P6</f>
        <v>100</v>
      </c>
      <c r="R7" s="740">
        <f>Sheet6!Q6</f>
        <v>600</v>
      </c>
      <c r="S7" s="740">
        <f>Sheet6!R6</f>
        <v>500</v>
      </c>
      <c r="T7" s="740">
        <f>Sheet6!S6</f>
        <v>400</v>
      </c>
      <c r="U7" s="915">
        <f t="shared" si="0"/>
        <v>8.5</v>
      </c>
      <c r="V7" s="916" t="s">
        <v>312</v>
      </c>
      <c r="W7" s="915">
        <f t="shared" si="1"/>
        <v>8.5</v>
      </c>
      <c r="X7" s="741" t="s">
        <v>312</v>
      </c>
      <c r="Y7" s="732"/>
      <c r="Z7" s="742" t="s">
        <v>315</v>
      </c>
      <c r="AA7" s="750">
        <f>Sheet6!X6</f>
        <v>100</v>
      </c>
      <c r="AB7" s="740">
        <f>Sheet6!Y6</f>
        <v>986</v>
      </c>
      <c r="AC7" s="740">
        <f>Sheet6!Z6</f>
        <v>443</v>
      </c>
      <c r="AD7" s="740">
        <f>Sheet6!AA6</f>
        <v>343</v>
      </c>
      <c r="AE7" s="915">
        <f t="shared" si="2"/>
        <v>8.5</v>
      </c>
      <c r="AF7" s="916" t="s">
        <v>312</v>
      </c>
      <c r="AG7" s="915">
        <f t="shared" si="3"/>
        <v>8.5</v>
      </c>
      <c r="AH7" s="741" t="s">
        <v>312</v>
      </c>
      <c r="AI7" s="728">
        <f>Sheet6!AD6</f>
        <v>40.760687159999996</v>
      </c>
      <c r="AJ7" s="669"/>
    </row>
    <row r="8" spans="1:36" ht="69.75" customHeight="1" thickTop="1" thickBot="1" x14ac:dyDescent="0.3">
      <c r="A8" s="670"/>
      <c r="B8" s="737" t="s">
        <v>316</v>
      </c>
      <c r="C8" s="749">
        <f>Sheet6!B7</f>
        <v>90</v>
      </c>
      <c r="D8" s="738">
        <f>Sheet6!C7</f>
        <v>500</v>
      </c>
      <c r="E8" s="697">
        <f>Sheet6!D7</f>
        <v>1.5</v>
      </c>
      <c r="F8" s="738">
        <f>Sheet6!E7</f>
        <v>500</v>
      </c>
      <c r="G8" s="738">
        <f>Sheet6!F7</f>
        <v>4.5</v>
      </c>
      <c r="H8" s="738">
        <f>Sheet6!G7</f>
        <v>500</v>
      </c>
      <c r="I8" s="738">
        <f>Sheet6!H7</f>
        <v>7.5</v>
      </c>
      <c r="J8" s="914">
        <f>Sheet2!G86</f>
        <v>6.5</v>
      </c>
      <c r="K8" s="914">
        <f>Sheet2!H86</f>
        <v>6.5</v>
      </c>
      <c r="L8" s="738">
        <f>Sheet6!K7</f>
        <v>54.260869565217391</v>
      </c>
      <c r="M8" s="1284">
        <f t="shared" si="4"/>
        <v>18.086956521739129</v>
      </c>
      <c r="N8" s="1284"/>
      <c r="O8" s="730"/>
      <c r="P8" s="739" t="s">
        <v>316</v>
      </c>
      <c r="Q8" s="750">
        <f>Sheet6!P7</f>
        <v>90</v>
      </c>
      <c r="R8" s="740">
        <f>Sheet6!Q7</f>
        <v>590</v>
      </c>
      <c r="S8" s="740">
        <f>Sheet6!R7</f>
        <v>500</v>
      </c>
      <c r="T8" s="740">
        <f>Sheet6!S7</f>
        <v>410</v>
      </c>
      <c r="U8" s="915">
        <f t="shared" si="0"/>
        <v>6.5</v>
      </c>
      <c r="V8" s="916" t="s">
        <v>312</v>
      </c>
      <c r="W8" s="915">
        <f t="shared" si="1"/>
        <v>6.5</v>
      </c>
      <c r="X8" s="741" t="s">
        <v>312</v>
      </c>
      <c r="Y8" s="732"/>
      <c r="Z8" s="739" t="s">
        <v>316</v>
      </c>
      <c r="AA8" s="750">
        <f>Sheet6!X7</f>
        <v>90</v>
      </c>
      <c r="AB8" s="740">
        <f>Sheet6!Y7</f>
        <v>976</v>
      </c>
      <c r="AC8" s="740">
        <f>Sheet6!Z7</f>
        <v>443</v>
      </c>
      <c r="AD8" s="740">
        <f>Sheet6!AA7</f>
        <v>353</v>
      </c>
      <c r="AE8" s="915">
        <f t="shared" si="2"/>
        <v>6.5</v>
      </c>
      <c r="AF8" s="916" t="s">
        <v>312</v>
      </c>
      <c r="AG8" s="915">
        <f t="shared" si="3"/>
        <v>6.5</v>
      </c>
      <c r="AH8" s="741" t="s">
        <v>312</v>
      </c>
      <c r="AI8" s="728">
        <f>Sheet6!AD7</f>
        <v>27.793073505599999</v>
      </c>
      <c r="AJ8" s="669"/>
    </row>
    <row r="9" spans="1:36" ht="69.75" customHeight="1" thickTop="1" thickBot="1" x14ac:dyDescent="0.3">
      <c r="A9" s="670"/>
      <c r="B9" s="737" t="s">
        <v>317</v>
      </c>
      <c r="C9" s="749">
        <f>Sheet6!B8</f>
        <v>60</v>
      </c>
      <c r="D9" s="738">
        <f>Sheet6!C8</f>
        <v>500</v>
      </c>
      <c r="E9" s="697">
        <f>Sheet6!D8</f>
        <v>1.5</v>
      </c>
      <c r="F9" s="738">
        <f>Sheet6!E8</f>
        <v>500</v>
      </c>
      <c r="G9" s="738">
        <f>Sheet6!F8</f>
        <v>4.5</v>
      </c>
      <c r="H9" s="738">
        <f>Sheet6!G8</f>
        <v>500</v>
      </c>
      <c r="I9" s="738">
        <f>Sheet6!H8</f>
        <v>7.5</v>
      </c>
      <c r="J9" s="914">
        <f>Sheet2!G87</f>
        <v>12</v>
      </c>
      <c r="K9" s="914">
        <f>Sheet2!H87</f>
        <v>12</v>
      </c>
      <c r="L9" s="738">
        <f>Sheet6!K8</f>
        <v>100.17391304347825</v>
      </c>
      <c r="M9" s="1284">
        <f t="shared" si="4"/>
        <v>33.391304347826086</v>
      </c>
      <c r="N9" s="1284"/>
      <c r="O9" s="730"/>
      <c r="P9" s="742" t="s">
        <v>317</v>
      </c>
      <c r="Q9" s="750">
        <f>Sheet6!P8</f>
        <v>60</v>
      </c>
      <c r="R9" s="740">
        <f>Sheet6!Q8</f>
        <v>560</v>
      </c>
      <c r="S9" s="740">
        <f>Sheet6!R8</f>
        <v>500</v>
      </c>
      <c r="T9" s="740">
        <f>Sheet6!S8</f>
        <v>440</v>
      </c>
      <c r="U9" s="915">
        <f t="shared" si="0"/>
        <v>12</v>
      </c>
      <c r="V9" s="916" t="s">
        <v>312</v>
      </c>
      <c r="W9" s="915">
        <f t="shared" si="1"/>
        <v>12</v>
      </c>
      <c r="X9" s="741" t="s">
        <v>312</v>
      </c>
      <c r="Y9" s="732"/>
      <c r="Z9" s="742" t="s">
        <v>317</v>
      </c>
      <c r="AA9" s="750">
        <f>Sheet6!X8</f>
        <v>60</v>
      </c>
      <c r="AB9" s="740">
        <f>Sheet6!Y8</f>
        <v>946</v>
      </c>
      <c r="AC9" s="740">
        <f>Sheet6!Z8</f>
        <v>443</v>
      </c>
      <c r="AD9" s="740">
        <f>Sheet6!AA8</f>
        <v>383</v>
      </c>
      <c r="AE9" s="915">
        <f t="shared" si="2"/>
        <v>12</v>
      </c>
      <c r="AF9" s="916" t="s">
        <v>312</v>
      </c>
      <c r="AG9" s="915">
        <f t="shared" si="3"/>
        <v>12</v>
      </c>
      <c r="AH9" s="741" t="s">
        <v>312</v>
      </c>
      <c r="AI9" s="728">
        <f>Sheet6!AD8</f>
        <v>33.2485264512</v>
      </c>
      <c r="AJ9" s="669"/>
    </row>
    <row r="10" spans="1:36" ht="69.75" customHeight="1" thickTop="1" thickBot="1" x14ac:dyDescent="0.3">
      <c r="A10" s="670"/>
      <c r="B10" s="737" t="s">
        <v>318</v>
      </c>
      <c r="C10" s="749">
        <f>Sheet6!B9</f>
        <v>0</v>
      </c>
      <c r="D10" s="738">
        <f>Sheet6!C9</f>
        <v>0</v>
      </c>
      <c r="E10" s="697">
        <f>Sheet6!D9</f>
        <v>0</v>
      </c>
      <c r="F10" s="738">
        <f>Sheet6!E9</f>
        <v>0</v>
      </c>
      <c r="G10" s="738">
        <f>Sheet6!F9</f>
        <v>0</v>
      </c>
      <c r="H10" s="738">
        <f>Sheet6!G9</f>
        <v>0</v>
      </c>
      <c r="I10" s="738">
        <f>Sheet6!H9</f>
        <v>0</v>
      </c>
      <c r="J10" s="914">
        <f>Sheet2!G88</f>
        <v>0</v>
      </c>
      <c r="K10" s="914">
        <f>Sheet2!H88</f>
        <v>0</v>
      </c>
      <c r="L10" s="738">
        <f>Sheet6!K9</f>
        <v>0</v>
      </c>
      <c r="M10" s="1284">
        <f t="shared" si="4"/>
        <v>0</v>
      </c>
      <c r="N10" s="1284"/>
      <c r="O10" s="730"/>
      <c r="P10" s="739" t="s">
        <v>318</v>
      </c>
      <c r="Q10" s="750">
        <f>Sheet6!P9</f>
        <v>0</v>
      </c>
      <c r="R10" s="740">
        <f>Sheet6!Q9</f>
        <v>0</v>
      </c>
      <c r="S10" s="740">
        <f>Sheet6!R9</f>
        <v>0</v>
      </c>
      <c r="T10" s="740">
        <f>Sheet6!S9</f>
        <v>0</v>
      </c>
      <c r="U10" s="915">
        <f t="shared" si="0"/>
        <v>0</v>
      </c>
      <c r="V10" s="916" t="s">
        <v>312</v>
      </c>
      <c r="W10" s="915">
        <f t="shared" si="1"/>
        <v>0</v>
      </c>
      <c r="X10" s="741" t="s">
        <v>312</v>
      </c>
      <c r="Y10" s="732"/>
      <c r="Z10" s="739" t="s">
        <v>318</v>
      </c>
      <c r="AA10" s="750">
        <f>Sheet6!X9</f>
        <v>0</v>
      </c>
      <c r="AB10" s="740">
        <f>Sheet6!Y9</f>
        <v>0</v>
      </c>
      <c r="AC10" s="740">
        <f>Sheet6!Z9</f>
        <v>0</v>
      </c>
      <c r="AD10" s="740">
        <f>Sheet6!AA9</f>
        <v>0</v>
      </c>
      <c r="AE10" s="915">
        <f t="shared" si="2"/>
        <v>0</v>
      </c>
      <c r="AF10" s="916" t="s">
        <v>312</v>
      </c>
      <c r="AG10" s="915">
        <f t="shared" si="3"/>
        <v>0</v>
      </c>
      <c r="AH10" s="741" t="s">
        <v>312</v>
      </c>
      <c r="AI10" s="728">
        <f>Sheet6!AD9</f>
        <v>0</v>
      </c>
      <c r="AJ10" s="669"/>
    </row>
    <row r="11" spans="1:36" ht="69.75" customHeight="1" thickTop="1" thickBot="1" x14ac:dyDescent="0.3">
      <c r="A11" s="670"/>
      <c r="B11" s="737" t="s">
        <v>319</v>
      </c>
      <c r="C11" s="749">
        <f>Sheet6!B10</f>
        <v>0</v>
      </c>
      <c r="D11" s="738">
        <f>Sheet6!C10</f>
        <v>0</v>
      </c>
      <c r="E11" s="697">
        <f>Sheet6!D10</f>
        <v>0</v>
      </c>
      <c r="F11" s="738">
        <f>Sheet6!E10</f>
        <v>0</v>
      </c>
      <c r="G11" s="738">
        <f>Sheet6!F10</f>
        <v>0</v>
      </c>
      <c r="H11" s="738">
        <f>Sheet6!G10</f>
        <v>0</v>
      </c>
      <c r="I11" s="738">
        <f>Sheet6!H10</f>
        <v>0</v>
      </c>
      <c r="J11" s="914">
        <f>Sheet2!G89</f>
        <v>0</v>
      </c>
      <c r="K11" s="914">
        <f>Sheet2!H89</f>
        <v>0</v>
      </c>
      <c r="L11" s="738">
        <f>Sheet6!K10</f>
        <v>0</v>
      </c>
      <c r="M11" s="1284">
        <f t="shared" si="4"/>
        <v>0</v>
      </c>
      <c r="N11" s="1284"/>
      <c r="O11" s="730"/>
      <c r="P11" s="739" t="s">
        <v>319</v>
      </c>
      <c r="Q11" s="750">
        <f>Sheet6!P10</f>
        <v>0</v>
      </c>
      <c r="R11" s="740">
        <f>Sheet6!Q10</f>
        <v>0</v>
      </c>
      <c r="S11" s="740">
        <f>Sheet6!R10</f>
        <v>0</v>
      </c>
      <c r="T11" s="740">
        <f>Sheet6!S10</f>
        <v>0</v>
      </c>
      <c r="U11" s="915">
        <f t="shared" si="0"/>
        <v>0</v>
      </c>
      <c r="V11" s="916" t="s">
        <v>312</v>
      </c>
      <c r="W11" s="915">
        <f t="shared" si="1"/>
        <v>0</v>
      </c>
      <c r="X11" s="741" t="s">
        <v>312</v>
      </c>
      <c r="Y11" s="732"/>
      <c r="Z11" s="739" t="s">
        <v>319</v>
      </c>
      <c r="AA11" s="750">
        <f>Sheet6!X10</f>
        <v>0</v>
      </c>
      <c r="AB11" s="740">
        <f>Sheet6!Y10</f>
        <v>0</v>
      </c>
      <c r="AC11" s="740">
        <f>Sheet6!Z10</f>
        <v>0</v>
      </c>
      <c r="AD11" s="740">
        <f>Sheet6!AA10</f>
        <v>0</v>
      </c>
      <c r="AE11" s="915">
        <f t="shared" si="2"/>
        <v>0</v>
      </c>
      <c r="AF11" s="916" t="s">
        <v>312</v>
      </c>
      <c r="AG11" s="915">
        <f t="shared" si="3"/>
        <v>0</v>
      </c>
      <c r="AH11" s="741" t="s">
        <v>312</v>
      </c>
      <c r="AI11" s="728">
        <f>Sheet6!AD10</f>
        <v>0</v>
      </c>
      <c r="AJ11" s="669"/>
    </row>
    <row r="12" spans="1:36" ht="69.75" customHeight="1" thickTop="1" thickBot="1" x14ac:dyDescent="0.3">
      <c r="A12" s="670"/>
      <c r="B12" s="737" t="s">
        <v>320</v>
      </c>
      <c r="C12" s="749">
        <f>Sheet6!B11</f>
        <v>0</v>
      </c>
      <c r="D12" s="738">
        <f>Sheet6!C11</f>
        <v>0</v>
      </c>
      <c r="E12" s="697">
        <f>Sheet6!D11</f>
        <v>0</v>
      </c>
      <c r="F12" s="738">
        <f>Sheet6!E11</f>
        <v>0</v>
      </c>
      <c r="G12" s="738">
        <f>Sheet6!F11</f>
        <v>0</v>
      </c>
      <c r="H12" s="738">
        <f>Sheet6!G11</f>
        <v>0</v>
      </c>
      <c r="I12" s="738">
        <f>Sheet6!H11</f>
        <v>0</v>
      </c>
      <c r="J12" s="914">
        <f>Sheet2!G90</f>
        <v>0</v>
      </c>
      <c r="K12" s="914">
        <f>Sheet2!H90</f>
        <v>0</v>
      </c>
      <c r="L12" s="738">
        <f>Sheet6!K11</f>
        <v>0</v>
      </c>
      <c r="M12" s="1284">
        <f t="shared" si="4"/>
        <v>0</v>
      </c>
      <c r="N12" s="1284"/>
      <c r="O12" s="730"/>
      <c r="P12" s="739" t="s">
        <v>320</v>
      </c>
      <c r="Q12" s="750">
        <f>Sheet6!P11</f>
        <v>0</v>
      </c>
      <c r="R12" s="740">
        <f>Sheet6!Q11</f>
        <v>0</v>
      </c>
      <c r="S12" s="740">
        <f>Sheet6!R11</f>
        <v>0</v>
      </c>
      <c r="T12" s="740">
        <f>Sheet6!S11</f>
        <v>0</v>
      </c>
      <c r="U12" s="915">
        <f t="shared" si="0"/>
        <v>0</v>
      </c>
      <c r="V12" s="916" t="s">
        <v>312</v>
      </c>
      <c r="W12" s="915">
        <f t="shared" si="1"/>
        <v>0</v>
      </c>
      <c r="X12" s="741" t="s">
        <v>312</v>
      </c>
      <c r="Y12" s="732"/>
      <c r="Z12" s="739" t="s">
        <v>320</v>
      </c>
      <c r="AA12" s="750">
        <f>Sheet6!X11</f>
        <v>0</v>
      </c>
      <c r="AB12" s="740">
        <f>Sheet6!Y11</f>
        <v>0</v>
      </c>
      <c r="AC12" s="740">
        <f>Sheet6!Z11</f>
        <v>0</v>
      </c>
      <c r="AD12" s="740">
        <f>Sheet6!AA11</f>
        <v>0</v>
      </c>
      <c r="AE12" s="915">
        <f t="shared" si="2"/>
        <v>0</v>
      </c>
      <c r="AF12" s="916" t="s">
        <v>312</v>
      </c>
      <c r="AG12" s="915">
        <f t="shared" si="3"/>
        <v>0</v>
      </c>
      <c r="AH12" s="741" t="s">
        <v>312</v>
      </c>
      <c r="AI12" s="728">
        <f>Sheet6!AD11</f>
        <v>0</v>
      </c>
      <c r="AJ12" s="669"/>
    </row>
    <row r="13" spans="1:36" ht="69.75" customHeight="1" thickTop="1" thickBot="1" x14ac:dyDescent="0.3">
      <c r="A13" s="671"/>
      <c r="B13" s="737" t="s">
        <v>321</v>
      </c>
      <c r="C13" s="749">
        <f>Sheet6!B12</f>
        <v>0</v>
      </c>
      <c r="D13" s="738">
        <f>Sheet6!C12</f>
        <v>0</v>
      </c>
      <c r="E13" s="738">
        <f>Sheet6!D12</f>
        <v>0</v>
      </c>
      <c r="F13" s="738">
        <f>Sheet6!E12</f>
        <v>0</v>
      </c>
      <c r="G13" s="738">
        <f>Sheet6!F12</f>
        <v>0</v>
      </c>
      <c r="H13" s="738">
        <f>Sheet6!G12</f>
        <v>0</v>
      </c>
      <c r="I13" s="738">
        <f>Sheet6!H12</f>
        <v>0</v>
      </c>
      <c r="J13" s="914">
        <f>Sheet2!G91</f>
        <v>0</v>
      </c>
      <c r="K13" s="914">
        <f>Sheet2!H91</f>
        <v>0</v>
      </c>
      <c r="L13" s="738">
        <f>Sheet6!K12</f>
        <v>0</v>
      </c>
      <c r="M13" s="1284">
        <f t="shared" si="4"/>
        <v>0</v>
      </c>
      <c r="N13" s="1284"/>
      <c r="O13" s="731"/>
      <c r="P13" s="739" t="s">
        <v>321</v>
      </c>
      <c r="Q13" s="750">
        <f>Sheet6!P12</f>
        <v>0</v>
      </c>
      <c r="R13" s="740">
        <f>Sheet6!Q12</f>
        <v>0</v>
      </c>
      <c r="S13" s="740">
        <f>Sheet6!R12</f>
        <v>0</v>
      </c>
      <c r="T13" s="740">
        <f>Sheet6!S12</f>
        <v>0</v>
      </c>
      <c r="U13" s="915">
        <f t="shared" si="0"/>
        <v>0</v>
      </c>
      <c r="V13" s="916" t="s">
        <v>312</v>
      </c>
      <c r="W13" s="915">
        <f t="shared" si="1"/>
        <v>0</v>
      </c>
      <c r="X13" s="741" t="s">
        <v>312</v>
      </c>
      <c r="Y13" s="732"/>
      <c r="Z13" s="739" t="s">
        <v>321</v>
      </c>
      <c r="AA13" s="750">
        <f>Sheet6!X12</f>
        <v>0</v>
      </c>
      <c r="AB13" s="740">
        <f>Sheet6!Y12</f>
        <v>0</v>
      </c>
      <c r="AC13" s="740">
        <f>Sheet6!Z12</f>
        <v>0</v>
      </c>
      <c r="AD13" s="740">
        <f>Sheet6!AA12</f>
        <v>0</v>
      </c>
      <c r="AE13" s="915">
        <f t="shared" si="2"/>
        <v>0</v>
      </c>
      <c r="AF13" s="916" t="s">
        <v>312</v>
      </c>
      <c r="AG13" s="915">
        <f t="shared" si="3"/>
        <v>0</v>
      </c>
      <c r="AH13" s="741" t="s">
        <v>312</v>
      </c>
      <c r="AI13" s="728">
        <f>Sheet6!AD12</f>
        <v>0</v>
      </c>
      <c r="AJ13" s="669"/>
    </row>
    <row r="14" spans="1:36" ht="51" customHeight="1" thickTop="1" thickBot="1" x14ac:dyDescent="0.3">
      <c r="A14" s="671"/>
      <c r="B14" s="737" t="s">
        <v>947</v>
      </c>
      <c r="C14" s="749">
        <f>Sheet6!B13</f>
        <v>0</v>
      </c>
      <c r="D14" s="738">
        <f>Sheet6!C13</f>
        <v>0</v>
      </c>
      <c r="E14" s="738">
        <f>Sheet6!D13</f>
        <v>0</v>
      </c>
      <c r="F14" s="738">
        <f>Sheet6!E13</f>
        <v>0</v>
      </c>
      <c r="G14" s="738">
        <f>Sheet6!F13</f>
        <v>0</v>
      </c>
      <c r="H14" s="738">
        <f>Sheet6!G13</f>
        <v>0</v>
      </c>
      <c r="I14" s="738">
        <f>Sheet6!H13</f>
        <v>0</v>
      </c>
      <c r="J14" s="914">
        <f>Sheet2!G92</f>
        <v>0</v>
      </c>
      <c r="K14" s="914">
        <f>Sheet2!H92</f>
        <v>0</v>
      </c>
      <c r="L14" s="738">
        <f>Sheet6!K13</f>
        <v>0</v>
      </c>
      <c r="M14" s="1284">
        <f>L14/3</f>
        <v>0</v>
      </c>
      <c r="N14" s="1284"/>
      <c r="O14" s="731"/>
      <c r="P14" s="739" t="s">
        <v>947</v>
      </c>
      <c r="Q14" s="750">
        <f>Sheet6!P13</f>
        <v>0</v>
      </c>
      <c r="R14" s="740">
        <f>Sheet6!Q13</f>
        <v>0</v>
      </c>
      <c r="S14" s="740">
        <f>Sheet6!R13</f>
        <v>0</v>
      </c>
      <c r="T14" s="740">
        <f>Sheet6!S13</f>
        <v>0</v>
      </c>
      <c r="U14" s="915">
        <f t="shared" si="0"/>
        <v>0</v>
      </c>
      <c r="V14" s="916" t="s">
        <v>312</v>
      </c>
      <c r="W14" s="915">
        <f t="shared" si="1"/>
        <v>0</v>
      </c>
      <c r="X14" s="741" t="s">
        <v>312</v>
      </c>
      <c r="Y14" s="732"/>
      <c r="Z14" s="739" t="s">
        <v>947</v>
      </c>
      <c r="AA14" s="750">
        <f>Sheet6!X13</f>
        <v>0</v>
      </c>
      <c r="AB14" s="740">
        <f>Sheet6!Y13</f>
        <v>0</v>
      </c>
      <c r="AC14" s="740">
        <f>Sheet6!Z13</f>
        <v>0</v>
      </c>
      <c r="AD14" s="740">
        <f>Sheet6!AA13</f>
        <v>0</v>
      </c>
      <c r="AE14" s="915">
        <f t="shared" si="2"/>
        <v>0</v>
      </c>
      <c r="AF14" s="916" t="s">
        <v>312</v>
      </c>
      <c r="AG14" s="915">
        <f t="shared" si="3"/>
        <v>0</v>
      </c>
      <c r="AH14" s="741" t="s">
        <v>312</v>
      </c>
      <c r="AI14" s="728">
        <f>Sheet6!AD13</f>
        <v>0</v>
      </c>
      <c r="AJ14" s="669"/>
    </row>
    <row r="15" spans="1:36" ht="47.25" customHeight="1" thickTop="1" thickBot="1" x14ac:dyDescent="0.3">
      <c r="A15" s="672"/>
      <c r="B15" s="654"/>
      <c r="C15" s="654"/>
      <c r="D15" s="654"/>
      <c r="E15" s="654"/>
      <c r="F15" s="654"/>
      <c r="G15" s="654"/>
      <c r="H15" s="658"/>
      <c r="I15" s="656"/>
      <c r="J15" s="656"/>
      <c r="K15" s="656"/>
      <c r="L15" s="656"/>
      <c r="M15" s="656"/>
      <c r="N15" s="656"/>
      <c r="O15" s="656"/>
      <c r="P15" s="656"/>
      <c r="AF15" s="691"/>
      <c r="AG15" s="1315" t="s">
        <v>322</v>
      </c>
      <c r="AH15" s="1316"/>
      <c r="AI15" s="748">
        <f>SUM(AI5:AI14)</f>
        <v>303.57063699120005</v>
      </c>
      <c r="AJ15" s="669"/>
    </row>
    <row r="16" spans="1:36" ht="7.5" customHeight="1" thickTop="1" x14ac:dyDescent="0.25">
      <c r="A16" s="672"/>
      <c r="B16" s="654"/>
      <c r="C16" s="654"/>
      <c r="D16" s="654"/>
      <c r="E16" s="654"/>
      <c r="F16" s="654"/>
      <c r="G16" s="654"/>
      <c r="H16" s="658"/>
      <c r="I16" s="656"/>
      <c r="J16" s="656"/>
      <c r="K16" s="656"/>
      <c r="L16" s="656"/>
      <c r="M16" s="656"/>
      <c r="N16" s="656"/>
      <c r="O16" s="656"/>
      <c r="P16" s="656"/>
      <c r="AF16" s="691"/>
      <c r="AG16" s="698"/>
      <c r="AH16" s="698"/>
      <c r="AI16" s="698"/>
      <c r="AJ16" s="669"/>
    </row>
    <row r="17" spans="1:61" ht="7.5" customHeight="1" x14ac:dyDescent="0.25">
      <c r="A17" s="672"/>
      <c r="B17" s="654"/>
      <c r="C17" s="654"/>
      <c r="D17" s="654"/>
      <c r="E17" s="654"/>
      <c r="F17" s="654"/>
      <c r="G17" s="654"/>
      <c r="H17" s="658"/>
      <c r="I17" s="656"/>
      <c r="J17" s="656"/>
      <c r="K17" s="656"/>
      <c r="L17" s="656"/>
      <c r="M17" s="656"/>
      <c r="N17" s="656"/>
      <c r="O17" s="656"/>
      <c r="P17" s="656"/>
      <c r="AF17" s="691"/>
      <c r="AG17" s="698"/>
      <c r="AH17" s="698"/>
      <c r="AI17" s="698"/>
      <c r="AJ17" s="669"/>
    </row>
    <row r="18" spans="1:61" ht="7.5" customHeight="1" x14ac:dyDescent="0.25">
      <c r="A18" s="672"/>
      <c r="B18" s="654"/>
      <c r="K18" s="656"/>
      <c r="L18" s="656"/>
      <c r="M18" s="656"/>
      <c r="N18" s="656"/>
      <c r="O18" s="656"/>
      <c r="P18" s="656"/>
      <c r="AF18" s="656"/>
      <c r="AG18" s="662"/>
      <c r="AH18" s="662"/>
      <c r="AI18" s="662"/>
      <c r="AJ18" s="669"/>
    </row>
    <row r="19" spans="1:61" ht="18.75" customHeight="1" thickBot="1" x14ac:dyDescent="0.3">
      <c r="A19" s="672"/>
      <c r="B19" s="654"/>
      <c r="K19" s="656"/>
      <c r="L19" s="656"/>
      <c r="M19" s="656"/>
      <c r="N19" s="656"/>
      <c r="O19" s="656"/>
      <c r="P19" s="656"/>
      <c r="AF19" s="656"/>
      <c r="AG19" s="662"/>
      <c r="AH19" s="662"/>
      <c r="AI19" s="662"/>
      <c r="AJ19" s="669"/>
    </row>
    <row r="20" spans="1:61" ht="76.5" customHeight="1" thickTop="1" thickBot="1" x14ac:dyDescent="0.3">
      <c r="A20" s="668"/>
      <c r="B20" s="656"/>
      <c r="K20" s="656"/>
      <c r="L20" s="656"/>
      <c r="M20" s="656"/>
      <c r="N20" s="656"/>
      <c r="O20" s="656"/>
      <c r="P20" s="656"/>
      <c r="U20" s="1288" t="s">
        <v>323</v>
      </c>
      <c r="V20" s="1288"/>
      <c r="W20" s="1288"/>
      <c r="X20" s="1288"/>
      <c r="Y20" s="1288"/>
      <c r="Z20" s="1288"/>
      <c r="AA20" s="1288"/>
      <c r="AB20" s="1288"/>
      <c r="AC20" s="1288"/>
      <c r="AD20" s="1288"/>
      <c r="AE20" s="1288"/>
      <c r="AF20" s="1288"/>
      <c r="AG20" s="1288"/>
      <c r="AH20" s="1288"/>
      <c r="AI20" s="1288"/>
      <c r="AJ20" s="669"/>
    </row>
    <row r="21" spans="1:61" ht="76.5" customHeight="1" thickTop="1" thickBot="1" x14ac:dyDescent="0.3">
      <c r="A21" s="673"/>
      <c r="B21" s="656"/>
      <c r="K21" s="656"/>
      <c r="L21" s="656"/>
      <c r="M21" s="656"/>
      <c r="N21" s="656"/>
      <c r="O21" s="656"/>
      <c r="P21" s="656"/>
      <c r="Q21" s="656"/>
      <c r="R21" s="656"/>
      <c r="S21" s="656"/>
      <c r="T21" s="656"/>
      <c r="U21" s="1289" t="s">
        <v>324</v>
      </c>
      <c r="V21" s="1289"/>
      <c r="W21" s="1289"/>
      <c r="X21" s="744">
        <f>Sheet6!D15</f>
        <v>390</v>
      </c>
      <c r="Y21" s="695" t="s">
        <v>560</v>
      </c>
      <c r="Z21" s="1289" t="s">
        <v>325</v>
      </c>
      <c r="AA21" s="1289"/>
      <c r="AB21" s="1289"/>
      <c r="AC21" s="744">
        <f>Sheet6!K15</f>
        <v>443</v>
      </c>
      <c r="AD21" s="695" t="s">
        <v>560</v>
      </c>
      <c r="AE21" s="696" t="s">
        <v>326</v>
      </c>
      <c r="AF21" s="727">
        <f>Sheet6!N15</f>
        <v>3</v>
      </c>
      <c r="AG21" s="695" t="s">
        <v>327</v>
      </c>
      <c r="AH21" s="746">
        <f>Sheet6!Q15</f>
        <v>5</v>
      </c>
      <c r="AI21" s="726">
        <f>Sheet6!S15</f>
        <v>7.5</v>
      </c>
      <c r="AJ21" s="669"/>
      <c r="AP21" s="645"/>
      <c r="AQ21" s="645"/>
      <c r="AR21" s="645"/>
      <c r="AS21" s="645"/>
      <c r="AT21" s="645"/>
      <c r="AU21" s="645"/>
      <c r="AV21" s="645"/>
      <c r="AW21" s="645"/>
      <c r="AX21" s="645"/>
      <c r="AY21" s="645"/>
      <c r="AZ21" s="645"/>
      <c r="BA21" s="645"/>
      <c r="BB21" s="645"/>
      <c r="BC21" s="645"/>
      <c r="BD21" s="645"/>
      <c r="BE21" s="645"/>
      <c r="BF21" s="645"/>
      <c r="BG21" s="645"/>
      <c r="BH21" s="645"/>
      <c r="BI21" s="645"/>
    </row>
    <row r="22" spans="1:61" ht="76.5" customHeight="1" thickTop="1" thickBot="1" x14ac:dyDescent="0.3">
      <c r="A22" s="673"/>
      <c r="B22" s="656"/>
      <c r="C22" s="656"/>
      <c r="D22" s="656"/>
      <c r="E22" s="656"/>
      <c r="F22" s="656"/>
      <c r="G22" s="656"/>
      <c r="H22" s="656"/>
      <c r="I22" s="655"/>
      <c r="J22" s="656"/>
      <c r="K22" s="656"/>
      <c r="L22" s="656"/>
      <c r="M22" s="656"/>
      <c r="N22" s="656"/>
      <c r="O22" s="656"/>
      <c r="P22" s="656"/>
      <c r="U22" s="1288" t="s">
        <v>328</v>
      </c>
      <c r="V22" s="1288"/>
      <c r="W22" s="1288"/>
      <c r="X22" s="729">
        <f>Sheet6!D16</f>
        <v>0</v>
      </c>
      <c r="Y22" s="695" t="s">
        <v>310</v>
      </c>
      <c r="Z22" s="1288" t="s">
        <v>329</v>
      </c>
      <c r="AA22" s="1288"/>
      <c r="AB22" s="1288"/>
      <c r="AC22" s="729">
        <v>0</v>
      </c>
      <c r="AD22" s="695" t="s">
        <v>310</v>
      </c>
      <c r="AE22" s="695" t="s">
        <v>330</v>
      </c>
      <c r="AF22" s="743">
        <f>Sheet6!N16</f>
        <v>0.96</v>
      </c>
      <c r="AG22" s="1317" t="s">
        <v>331</v>
      </c>
      <c r="AH22" s="1318"/>
      <c r="AI22" s="745">
        <f>Sheet6!Q16</f>
        <v>0.23</v>
      </c>
      <c r="AJ22" s="669"/>
      <c r="AP22" s="645"/>
      <c r="AQ22" s="645"/>
      <c r="AR22" s="645"/>
      <c r="AS22" s="645"/>
      <c r="AT22" s="645"/>
      <c r="AU22" s="645"/>
      <c r="AV22" s="645"/>
      <c r="AW22" s="645"/>
      <c r="AX22" s="645"/>
      <c r="AY22" s="645"/>
      <c r="AZ22" s="645"/>
      <c r="BA22" s="645"/>
      <c r="BB22" s="645"/>
      <c r="BC22" s="645"/>
      <c r="BD22" s="645"/>
      <c r="BE22" s="645"/>
      <c r="BF22" s="645"/>
      <c r="BG22" s="645"/>
      <c r="BH22" s="645"/>
      <c r="BI22" s="645"/>
    </row>
    <row r="23" spans="1:61" ht="55.5" customHeight="1" thickTop="1" x14ac:dyDescent="0.25">
      <c r="A23" s="673"/>
      <c r="B23" s="656"/>
      <c r="C23" s="656"/>
      <c r="D23" s="656"/>
      <c r="E23" s="656"/>
      <c r="F23" s="656"/>
      <c r="G23" s="656"/>
      <c r="H23" s="656"/>
      <c r="I23" s="655"/>
      <c r="J23" s="660"/>
      <c r="K23" s="660"/>
      <c r="L23" s="655"/>
      <c r="M23" s="655"/>
      <c r="N23" s="655"/>
      <c r="O23" s="655"/>
      <c r="P23" s="655"/>
      <c r="AF23" s="656"/>
      <c r="AG23" s="656"/>
      <c r="AH23" s="656"/>
      <c r="AI23" s="656"/>
      <c r="AJ23" s="669"/>
      <c r="AP23" s="645"/>
      <c r="AQ23" s="645"/>
      <c r="AR23" s="645"/>
      <c r="AS23" s="645"/>
      <c r="AT23" s="645"/>
      <c r="AU23" s="645"/>
      <c r="AV23" s="645"/>
      <c r="AW23" s="645"/>
      <c r="AX23" s="645"/>
      <c r="AY23" s="645"/>
      <c r="AZ23" s="645"/>
      <c r="BA23" s="645"/>
      <c r="BB23" s="645"/>
      <c r="BC23" s="645"/>
      <c r="BD23" s="645"/>
      <c r="BE23" s="645"/>
      <c r="BF23" s="645"/>
      <c r="BG23" s="645"/>
      <c r="BH23" s="645"/>
      <c r="BI23" s="645"/>
    </row>
    <row r="24" spans="1:61" ht="55.5" customHeight="1" x14ac:dyDescent="0.25">
      <c r="A24" s="673"/>
      <c r="B24" s="656"/>
      <c r="C24" s="656"/>
      <c r="D24" s="656"/>
      <c r="E24" s="656"/>
      <c r="F24" s="656"/>
      <c r="G24" s="656"/>
      <c r="H24" s="656"/>
      <c r="I24" s="655"/>
      <c r="J24" s="655"/>
      <c r="K24" s="655"/>
      <c r="L24" s="655"/>
      <c r="M24" s="655"/>
      <c r="N24" s="655"/>
      <c r="O24" s="655"/>
      <c r="P24" s="655"/>
      <c r="AF24" s="656"/>
      <c r="AG24" s="656"/>
      <c r="AH24" s="656"/>
      <c r="AI24" s="656"/>
      <c r="AJ24" s="669"/>
      <c r="AP24" s="645"/>
      <c r="AQ24" s="645"/>
      <c r="AR24" s="645"/>
      <c r="AS24" s="645"/>
      <c r="AT24" s="645"/>
      <c r="AU24" s="645"/>
      <c r="AV24" s="645"/>
      <c r="AW24" s="645"/>
      <c r="AX24" s="645"/>
      <c r="AY24" s="645"/>
      <c r="AZ24" s="645"/>
      <c r="BA24" s="645"/>
      <c r="BB24" s="645"/>
      <c r="BC24" s="645"/>
      <c r="BD24" s="645"/>
      <c r="BE24" s="645"/>
      <c r="BF24" s="645"/>
      <c r="BG24" s="645"/>
      <c r="BH24" s="645"/>
      <c r="BI24" s="645"/>
    </row>
    <row r="25" spans="1:61" ht="55.5" customHeight="1" x14ac:dyDescent="0.25">
      <c r="A25" s="673"/>
      <c r="B25" s="656"/>
      <c r="C25" s="656"/>
      <c r="D25" s="656"/>
      <c r="E25" s="656"/>
      <c r="F25" s="656"/>
      <c r="G25" s="656"/>
      <c r="H25" s="656"/>
      <c r="I25" s="656"/>
      <c r="J25" s="656"/>
      <c r="K25" s="656"/>
      <c r="L25" s="659"/>
      <c r="M25" s="659"/>
      <c r="N25" s="659"/>
      <c r="O25" s="659"/>
      <c r="P25" s="659"/>
      <c r="Q25" s="659"/>
      <c r="R25" s="659"/>
      <c r="S25" s="659"/>
      <c r="T25" s="659"/>
      <c r="U25" s="659"/>
      <c r="V25" s="657"/>
      <c r="W25" s="659"/>
      <c r="X25" s="659"/>
      <c r="Y25" s="659"/>
      <c r="Z25" s="659"/>
      <c r="AA25" s="659"/>
      <c r="AB25" s="656"/>
      <c r="AC25" s="656"/>
      <c r="AD25" s="656"/>
      <c r="AE25" s="656"/>
      <c r="AF25" s="656"/>
      <c r="AG25" s="656"/>
      <c r="AH25" s="656"/>
      <c r="AI25" s="656"/>
      <c r="AJ25" s="669"/>
      <c r="AP25" s="645"/>
      <c r="AQ25" s="645"/>
      <c r="AR25" s="645"/>
      <c r="AS25" s="645"/>
      <c r="AT25" s="645"/>
      <c r="AU25" s="645"/>
      <c r="AV25" s="645"/>
      <c r="AW25" s="645"/>
      <c r="AX25" s="645"/>
      <c r="AY25" s="645"/>
      <c r="AZ25" s="645"/>
      <c r="BA25" s="645"/>
      <c r="BB25" s="645"/>
      <c r="BC25" s="645"/>
      <c r="BD25" s="645"/>
      <c r="BE25" s="645"/>
      <c r="BF25" s="645"/>
      <c r="BG25" s="645"/>
      <c r="BH25" s="645"/>
      <c r="BI25" s="645"/>
    </row>
    <row r="26" spans="1:61" ht="55.5" customHeight="1" x14ac:dyDescent="0.25">
      <c r="A26" s="673"/>
      <c r="B26" s="656"/>
      <c r="C26" s="656"/>
      <c r="D26" s="656"/>
      <c r="E26" s="656"/>
      <c r="F26" s="656"/>
      <c r="G26" s="656"/>
      <c r="H26" s="656"/>
      <c r="I26" s="656"/>
      <c r="J26" s="656"/>
      <c r="K26" s="656"/>
      <c r="L26" s="656"/>
      <c r="M26" s="656"/>
      <c r="N26" s="656"/>
      <c r="O26" s="656"/>
      <c r="P26" s="656"/>
      <c r="Q26" s="656"/>
      <c r="R26" s="656"/>
      <c r="S26" s="656"/>
      <c r="T26" s="656"/>
      <c r="U26" s="656"/>
      <c r="V26" s="656"/>
      <c r="W26" s="656"/>
      <c r="X26" s="656"/>
      <c r="Y26" s="656"/>
      <c r="Z26" s="656"/>
      <c r="AA26" s="656"/>
      <c r="AB26" s="656"/>
      <c r="AC26" s="656"/>
      <c r="AD26" s="656"/>
      <c r="AE26" s="656"/>
      <c r="AF26" s="656"/>
      <c r="AG26" s="656"/>
      <c r="AH26" s="656"/>
      <c r="AI26" s="656"/>
      <c r="AJ26" s="669"/>
      <c r="AP26" s="645"/>
      <c r="AQ26" s="645"/>
      <c r="AR26" s="645"/>
      <c r="AS26" s="645"/>
      <c r="AT26" s="645"/>
      <c r="AU26" s="645"/>
      <c r="AV26" s="645"/>
      <c r="AW26" s="645"/>
      <c r="AX26" s="645"/>
      <c r="AY26" s="645"/>
      <c r="AZ26" s="645"/>
      <c r="BA26" s="645"/>
      <c r="BB26" s="645"/>
      <c r="BC26" s="645"/>
      <c r="BD26" s="645"/>
      <c r="BE26" s="645"/>
      <c r="BF26" s="645"/>
      <c r="BG26" s="645"/>
      <c r="BH26" s="645"/>
      <c r="BI26" s="645"/>
    </row>
    <row r="27" spans="1:61" ht="55.5" customHeight="1" x14ac:dyDescent="0.25">
      <c r="A27" s="673"/>
      <c r="B27" s="656"/>
      <c r="C27" s="656"/>
      <c r="D27" s="656"/>
      <c r="E27" s="656"/>
      <c r="F27" s="656"/>
      <c r="G27" s="656"/>
      <c r="H27" s="656"/>
      <c r="I27" s="656"/>
      <c r="J27" s="656"/>
      <c r="K27" s="656"/>
      <c r="L27" s="656"/>
      <c r="M27" s="656"/>
      <c r="N27" s="656"/>
      <c r="O27" s="656"/>
      <c r="P27" s="679"/>
      <c r="Q27" s="656"/>
      <c r="R27" s="656"/>
      <c r="S27" s="656"/>
      <c r="T27" s="656"/>
      <c r="U27" s="656"/>
      <c r="V27" s="656"/>
      <c r="W27" s="656"/>
      <c r="X27" s="656"/>
      <c r="Y27" s="656"/>
      <c r="Z27" s="656"/>
      <c r="AA27" s="656"/>
      <c r="AB27" s="656"/>
      <c r="AC27" s="656"/>
      <c r="AD27" s="656"/>
      <c r="AE27" s="656"/>
      <c r="AF27" s="656"/>
      <c r="AG27" s="656"/>
      <c r="AH27" s="656"/>
      <c r="AI27" s="656"/>
      <c r="AJ27" s="669"/>
      <c r="AP27" s="645"/>
      <c r="AQ27" s="645"/>
      <c r="AR27" s="645"/>
      <c r="AS27" s="645"/>
      <c r="AT27" s="677"/>
      <c r="AU27" s="678"/>
      <c r="AV27" s="678"/>
      <c r="AW27" s="678"/>
      <c r="AX27" s="678"/>
      <c r="AY27" s="678"/>
      <c r="AZ27" s="677"/>
      <c r="BA27" s="678"/>
      <c r="BB27" s="678"/>
      <c r="BC27" s="678"/>
      <c r="BD27" s="678"/>
      <c r="BE27" s="678"/>
      <c r="BF27" s="678"/>
      <c r="BG27" s="645"/>
      <c r="BH27" s="645"/>
      <c r="BI27" s="645"/>
    </row>
    <row r="28" spans="1:61" ht="55.5" customHeight="1" thickBot="1" x14ac:dyDescent="0.3">
      <c r="A28" s="673"/>
      <c r="B28" s="656"/>
      <c r="C28" s="656"/>
      <c r="D28" s="656"/>
      <c r="E28" s="656"/>
      <c r="F28" s="656"/>
      <c r="G28" s="656"/>
      <c r="H28" s="656"/>
      <c r="I28" s="655"/>
      <c r="J28" s="655"/>
      <c r="K28" s="655"/>
      <c r="L28" s="655"/>
      <c r="M28" s="655"/>
      <c r="N28" s="645"/>
      <c r="O28" s="645"/>
      <c r="P28" s="679"/>
      <c r="Q28" s="645"/>
      <c r="R28" s="645"/>
      <c r="S28" s="645"/>
      <c r="T28" s="645"/>
      <c r="U28" s="655"/>
      <c r="V28" s="655"/>
      <c r="W28" s="656"/>
      <c r="X28" s="656"/>
      <c r="Y28" s="656"/>
      <c r="Z28" s="656"/>
      <c r="AA28" s="656"/>
      <c r="AB28" s="656"/>
      <c r="AC28" s="656"/>
      <c r="AD28" s="656"/>
      <c r="AE28" s="656"/>
      <c r="AF28" s="656"/>
      <c r="AG28" s="656"/>
      <c r="AH28" s="656"/>
      <c r="AI28" s="656"/>
      <c r="AJ28" s="669"/>
      <c r="AP28" s="645"/>
      <c r="AQ28" s="645"/>
      <c r="AR28" s="645"/>
      <c r="AS28" s="645"/>
      <c r="AT28" s="677"/>
      <c r="AU28" s="678"/>
      <c r="AV28" s="678"/>
      <c r="AW28" s="678"/>
      <c r="AX28" s="678"/>
      <c r="AY28" s="678"/>
      <c r="AZ28" s="677"/>
      <c r="BA28" s="678"/>
      <c r="BB28" s="678"/>
      <c r="BC28" s="678"/>
      <c r="BD28" s="677"/>
      <c r="BE28" s="678"/>
      <c r="BF28" s="678"/>
      <c r="BG28" s="645"/>
      <c r="BH28" s="645"/>
      <c r="BI28" s="645"/>
    </row>
    <row r="29" spans="1:61" ht="72" customHeight="1" thickTop="1" thickBot="1" x14ac:dyDescent="0.3">
      <c r="A29" s="673"/>
      <c r="B29" s="656"/>
      <c r="K29" s="655"/>
      <c r="L29" s="655"/>
      <c r="M29" s="655"/>
      <c r="N29" s="645"/>
      <c r="O29" s="645"/>
      <c r="P29" s="645"/>
      <c r="Q29" s="645"/>
      <c r="R29" s="1308" t="s">
        <v>1075</v>
      </c>
      <c r="S29" s="1309"/>
      <c r="T29" s="1309"/>
      <c r="U29" s="1296"/>
      <c r="V29" s="1297"/>
      <c r="W29" s="1297"/>
      <c r="X29" s="1298"/>
      <c r="Y29" s="1302"/>
      <c r="Z29" s="1303"/>
      <c r="AA29" s="1304"/>
      <c r="AB29" s="747" t="str">
        <f>BIA!K28</f>
        <v>Sản phẩm : MBA 303KVA 22/0.4KV (23A 001  )</v>
      </c>
      <c r="AC29" s="686"/>
      <c r="AD29" s="686"/>
      <c r="AE29" s="686"/>
      <c r="AF29" s="686"/>
      <c r="AG29" s="686"/>
      <c r="AH29" s="686"/>
      <c r="AI29" s="686"/>
      <c r="AJ29" s="687"/>
      <c r="AP29" s="645"/>
      <c r="AQ29" s="645"/>
      <c r="AR29" s="645"/>
      <c r="AS29" s="645"/>
      <c r="AT29" s="677"/>
      <c r="AU29" s="678"/>
      <c r="AV29" s="678"/>
      <c r="AW29" s="678"/>
      <c r="AX29" s="678"/>
      <c r="AY29" s="678"/>
      <c r="AZ29" s="1300"/>
      <c r="BA29" s="1300"/>
      <c r="BB29" s="1300"/>
      <c r="BC29" s="1300"/>
      <c r="BD29" s="677"/>
      <c r="BE29" s="678"/>
      <c r="BF29" s="678"/>
      <c r="BG29" s="645"/>
      <c r="BH29" s="645"/>
      <c r="BI29" s="645"/>
    </row>
    <row r="30" spans="1:61" ht="72" customHeight="1" thickTop="1" thickBot="1" x14ac:dyDescent="0.55000000000000004">
      <c r="A30" s="673"/>
      <c r="B30" s="1322" t="str">
        <f>Sheet5!B48</f>
        <v>Cấp 1-0.8,Cấp 2-0.8,Cấp 3-1Cấp 4-1,Cấp 5-1,Cấp 6-1,Cấp 7-1,Cấp 8-1,Cấp 9-1,Cấp 10-1</v>
      </c>
      <c r="C30" s="1322"/>
      <c r="D30" s="1322"/>
      <c r="E30" s="1322"/>
      <c r="F30" s="1322"/>
      <c r="G30" s="1322"/>
      <c r="H30" s="1322"/>
      <c r="I30" s="1322"/>
      <c r="J30" s="1322"/>
      <c r="K30" s="1322"/>
      <c r="L30" s="1322"/>
      <c r="M30" s="1322"/>
      <c r="N30" s="1322"/>
      <c r="O30" s="1322"/>
      <c r="P30" s="1322"/>
      <c r="Q30" s="1323"/>
      <c r="R30" s="1308" t="s">
        <v>4032</v>
      </c>
      <c r="S30" s="1309"/>
      <c r="T30" s="1309"/>
      <c r="U30" s="1299"/>
      <c r="V30" s="1300"/>
      <c r="W30" s="1300"/>
      <c r="X30" s="1301"/>
      <c r="Y30" s="1305"/>
      <c r="Z30" s="1306"/>
      <c r="AA30" s="1306"/>
      <c r="AB30" s="1319" t="s">
        <v>1077</v>
      </c>
      <c r="AC30" s="1320"/>
      <c r="AD30" s="1320"/>
      <c r="AE30" s="1320"/>
      <c r="AF30" s="1320"/>
      <c r="AG30" s="1320"/>
      <c r="AH30" s="1320"/>
      <c r="AI30" s="1321"/>
      <c r="AJ30" s="699" t="s">
        <v>1078</v>
      </c>
      <c r="AP30" s="645"/>
      <c r="AQ30" s="645"/>
      <c r="AR30" s="645"/>
      <c r="AS30" s="645"/>
      <c r="AT30" s="678"/>
      <c r="AU30" s="678"/>
      <c r="AV30" s="678"/>
      <c r="AW30" s="678"/>
      <c r="AX30" s="678"/>
      <c r="AY30" s="678"/>
      <c r="AZ30" s="678"/>
      <c r="BA30" s="678"/>
      <c r="BB30" s="678"/>
      <c r="BC30" s="678"/>
      <c r="BD30" s="677"/>
      <c r="BE30" s="678"/>
      <c r="BF30" s="678"/>
      <c r="BG30" s="645"/>
      <c r="BH30" s="645"/>
      <c r="BI30" s="645"/>
    </row>
    <row r="31" spans="1:61" ht="72" customHeight="1" thickTop="1" thickBot="1" x14ac:dyDescent="0.55000000000000004">
      <c r="A31" s="671"/>
      <c r="B31" s="1285" t="s">
        <v>1102</v>
      </c>
      <c r="C31" s="1285"/>
      <c r="D31" s="1285"/>
      <c r="E31" s="1285"/>
      <c r="F31" s="1285"/>
      <c r="G31" s="1285"/>
      <c r="H31" s="1285"/>
      <c r="I31" s="1285"/>
      <c r="L31" s="655"/>
      <c r="M31" s="655"/>
      <c r="N31" s="645"/>
      <c r="O31" s="645"/>
      <c r="P31" s="645"/>
      <c r="Q31" s="645"/>
      <c r="R31" s="1308" t="s">
        <v>4033</v>
      </c>
      <c r="S31" s="1309"/>
      <c r="T31" s="1309"/>
      <c r="U31" s="1296"/>
      <c r="V31" s="1297"/>
      <c r="W31" s="1297"/>
      <c r="X31" s="1298"/>
      <c r="Y31" s="1307"/>
      <c r="Z31" s="1303"/>
      <c r="AA31" s="1303"/>
      <c r="AB31" s="1290" t="s">
        <v>1087</v>
      </c>
      <c r="AC31" s="1291"/>
      <c r="AD31" s="1291"/>
      <c r="AE31" s="1291"/>
      <c r="AF31" s="1291"/>
      <c r="AG31" s="1291"/>
      <c r="AH31" s="1291"/>
      <c r="AI31" s="1292"/>
      <c r="AJ31" s="699" t="s">
        <v>1079</v>
      </c>
      <c r="AP31" s="645"/>
      <c r="AQ31" s="645"/>
      <c r="AR31" s="645"/>
      <c r="AS31" s="645"/>
      <c r="AT31" s="678"/>
      <c r="AU31" s="678"/>
      <c r="AV31" s="678"/>
      <c r="AW31" s="678"/>
      <c r="AX31" s="678"/>
      <c r="AY31" s="678"/>
      <c r="AZ31" s="677"/>
      <c r="BA31" s="678"/>
      <c r="BB31" s="678"/>
      <c r="BC31" s="678"/>
      <c r="BD31" s="677"/>
      <c r="BE31" s="678"/>
      <c r="BF31" s="678"/>
      <c r="BG31" s="645"/>
      <c r="BH31" s="645"/>
      <c r="BI31" s="645"/>
    </row>
    <row r="32" spans="1:61" ht="72" customHeight="1" thickTop="1" thickBot="1" x14ac:dyDescent="0.55000000000000004">
      <c r="A32" s="671"/>
      <c r="B32" s="1324" t="s">
        <v>333</v>
      </c>
      <c r="C32" s="1324"/>
      <c r="D32" s="1324"/>
      <c r="E32" s="1324"/>
      <c r="F32" s="1324"/>
      <c r="G32" s="1324"/>
      <c r="H32" s="1324"/>
      <c r="I32" s="1324"/>
      <c r="K32" s="655"/>
      <c r="L32" s="655"/>
      <c r="M32" s="655"/>
      <c r="N32" s="661"/>
      <c r="O32" s="661"/>
      <c r="P32" s="661"/>
      <c r="Q32" s="661"/>
      <c r="R32" s="682"/>
      <c r="S32" s="683"/>
      <c r="T32" s="683"/>
      <c r="U32" s="685"/>
      <c r="V32" s="685"/>
      <c r="W32" s="685"/>
      <c r="X32" s="685"/>
      <c r="Y32" s="685"/>
      <c r="AB32" s="1293"/>
      <c r="AC32" s="1294"/>
      <c r="AD32" s="1294"/>
      <c r="AE32" s="1294"/>
      <c r="AF32" s="1294"/>
      <c r="AG32" s="1294"/>
      <c r="AH32" s="1294"/>
      <c r="AI32" s="1295"/>
      <c r="AJ32" s="699" t="s">
        <v>1080</v>
      </c>
      <c r="AP32" s="645"/>
      <c r="AQ32" s="645"/>
      <c r="AR32" s="645"/>
      <c r="AS32" s="645"/>
      <c r="AT32" s="1300"/>
      <c r="AU32" s="1300"/>
      <c r="AV32" s="1300"/>
      <c r="AW32" s="1300"/>
      <c r="AX32" s="1300"/>
      <c r="AY32" s="1300"/>
      <c r="AZ32" s="679"/>
      <c r="BA32" s="678"/>
      <c r="BB32" s="678"/>
      <c r="BC32" s="678"/>
      <c r="BD32" s="678"/>
      <c r="BE32" s="678"/>
      <c r="BF32" s="678"/>
      <c r="BG32" s="645"/>
      <c r="BH32" s="645"/>
      <c r="BI32" s="645"/>
    </row>
    <row r="33" spans="1:61" ht="72" customHeight="1" thickTop="1" x14ac:dyDescent="0.5">
      <c r="A33" s="671"/>
      <c r="B33" s="1324"/>
      <c r="C33" s="1324"/>
      <c r="D33" s="1324"/>
      <c r="E33" s="1324"/>
      <c r="F33" s="1324"/>
      <c r="G33" s="1324"/>
      <c r="H33" s="1324"/>
      <c r="I33" s="1324"/>
      <c r="J33" s="655"/>
      <c r="K33" s="655"/>
      <c r="L33" s="655"/>
      <c r="M33" s="655"/>
      <c r="N33" s="661"/>
      <c r="O33" s="661"/>
      <c r="P33" s="661"/>
      <c r="Q33" s="661"/>
      <c r="R33" s="684"/>
      <c r="S33" s="685"/>
      <c r="T33" s="685"/>
      <c r="U33" s="685"/>
      <c r="V33" s="685"/>
      <c r="W33" s="685"/>
      <c r="X33" s="685"/>
      <c r="Y33" s="685"/>
      <c r="AB33" s="688" t="s">
        <v>1082</v>
      </c>
      <c r="AC33" s="689"/>
      <c r="AD33" s="689"/>
      <c r="AE33" s="689"/>
      <c r="AF33" s="680"/>
      <c r="AG33" s="680"/>
      <c r="AH33" s="689"/>
      <c r="AI33" s="690"/>
      <c r="AJ33" s="701" t="s">
        <v>1081</v>
      </c>
      <c r="AP33" s="645"/>
      <c r="AQ33" s="645"/>
      <c r="AR33" s="645"/>
      <c r="AS33" s="645"/>
      <c r="AT33" s="645"/>
      <c r="AU33" s="645"/>
      <c r="AV33" s="645"/>
      <c r="AW33" s="645"/>
      <c r="AX33" s="645"/>
      <c r="AY33" s="645"/>
      <c r="AZ33" s="645"/>
      <c r="BA33" s="645"/>
      <c r="BB33" s="645"/>
      <c r="BC33" s="645"/>
      <c r="BD33" s="645"/>
      <c r="BE33" s="645"/>
      <c r="BF33" s="645"/>
      <c r="BG33" s="645"/>
      <c r="BH33" s="645"/>
      <c r="BI33" s="645"/>
    </row>
    <row r="34" spans="1:61" ht="72" customHeight="1" thickBot="1" x14ac:dyDescent="0.55000000000000004">
      <c r="A34" s="674"/>
      <c r="B34" s="675"/>
      <c r="C34" s="675"/>
      <c r="D34" s="675"/>
      <c r="E34" s="675"/>
      <c r="F34" s="675"/>
      <c r="G34" s="675"/>
      <c r="H34" s="675"/>
      <c r="I34" s="675"/>
      <c r="J34" s="676"/>
      <c r="K34" s="675"/>
      <c r="L34" s="675"/>
      <c r="M34" s="675"/>
      <c r="N34" s="675"/>
      <c r="O34" s="675"/>
      <c r="P34" s="675"/>
      <c r="Q34" s="681"/>
      <c r="R34" s="1286" t="s">
        <v>1076</v>
      </c>
      <c r="S34" s="1287"/>
      <c r="T34" s="1287"/>
      <c r="U34" s="1287"/>
      <c r="V34" s="1287"/>
      <c r="W34" s="1287"/>
      <c r="X34" s="1287"/>
      <c r="Y34" s="1287"/>
      <c r="Z34" s="1287"/>
      <c r="AA34" s="1287"/>
      <c r="AB34" s="692"/>
      <c r="AC34" s="693"/>
      <c r="AD34" s="693"/>
      <c r="AE34" s="693"/>
      <c r="AF34" s="693"/>
      <c r="AG34" s="693"/>
      <c r="AH34" s="693"/>
      <c r="AI34" s="694"/>
      <c r="AJ34" s="702"/>
      <c r="AP34" s="645"/>
      <c r="AQ34" s="645"/>
      <c r="AR34" s="645"/>
      <c r="AS34" s="645"/>
      <c r="AT34" s="645"/>
      <c r="AU34" s="645"/>
      <c r="AV34" s="645"/>
      <c r="AW34" s="645"/>
      <c r="AX34" s="645"/>
      <c r="AY34" s="645"/>
      <c r="AZ34" s="645"/>
      <c r="BA34" s="645"/>
      <c r="BB34" s="645"/>
      <c r="BC34" s="645"/>
      <c r="BD34" s="645"/>
      <c r="BE34" s="645"/>
      <c r="BF34" s="645"/>
      <c r="BG34" s="645"/>
      <c r="BH34" s="645"/>
      <c r="BI34" s="645"/>
    </row>
    <row r="35" spans="1:61" ht="16.5" thickTop="1" x14ac:dyDescent="0.25">
      <c r="A35" s="647"/>
      <c r="J35" s="648"/>
      <c r="R35" s="645"/>
      <c r="S35" s="645"/>
      <c r="T35" s="645"/>
      <c r="U35" s="645"/>
      <c r="V35" s="645"/>
      <c r="W35" s="645"/>
      <c r="X35" s="645"/>
      <c r="Y35" s="645"/>
      <c r="Z35" s="645"/>
    </row>
    <row r="36" spans="1:61" ht="15.75" x14ac:dyDescent="0.25">
      <c r="A36" s="647"/>
      <c r="J36" s="648"/>
    </row>
    <row r="37" spans="1:61" ht="15.75" x14ac:dyDescent="0.25">
      <c r="A37" s="647"/>
      <c r="J37" s="648"/>
      <c r="K37" s="648"/>
      <c r="L37" s="648"/>
      <c r="M37" s="648"/>
      <c r="N37" s="648"/>
      <c r="O37" s="648"/>
      <c r="P37" s="648"/>
      <c r="Q37" s="648"/>
      <c r="R37" s="648"/>
      <c r="S37" s="648"/>
      <c r="T37" s="648"/>
      <c r="U37" s="648"/>
      <c r="V37" s="648"/>
      <c r="W37" s="649"/>
    </row>
    <row r="38" spans="1:61" ht="15.75" x14ac:dyDescent="0.25">
      <c r="A38" s="647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9"/>
    </row>
    <row r="39" spans="1:61" ht="15.75" x14ac:dyDescent="0.25">
      <c r="A39" s="650"/>
      <c r="J39" s="651"/>
      <c r="K39" s="651"/>
      <c r="R39" s="651"/>
      <c r="S39" s="651"/>
      <c r="T39" s="651"/>
      <c r="U39" s="651"/>
      <c r="V39" s="651"/>
      <c r="W39" s="645"/>
    </row>
    <row r="40" spans="1:61" ht="15.75" x14ac:dyDescent="0.25">
      <c r="A40" s="650"/>
      <c r="J40" s="651"/>
      <c r="K40" s="651"/>
      <c r="R40" s="651"/>
      <c r="S40" s="651"/>
      <c r="T40" s="651"/>
      <c r="U40" s="651"/>
      <c r="V40" s="651"/>
      <c r="W40" s="645"/>
    </row>
    <row r="41" spans="1:61" ht="15.75" x14ac:dyDescent="0.25">
      <c r="A41" s="650"/>
      <c r="J41" s="651"/>
      <c r="K41" s="651"/>
      <c r="R41" s="651"/>
      <c r="S41" s="651"/>
      <c r="T41" s="651"/>
      <c r="U41" s="651"/>
      <c r="V41" s="651"/>
      <c r="W41" s="645"/>
    </row>
    <row r="42" spans="1:61" ht="15.75" x14ac:dyDescent="0.25">
      <c r="A42" s="650"/>
      <c r="J42" s="651"/>
      <c r="K42" s="651"/>
      <c r="R42" s="651"/>
      <c r="S42" s="651"/>
      <c r="T42" s="651"/>
      <c r="U42" s="651"/>
      <c r="V42" s="651"/>
      <c r="W42" s="645"/>
    </row>
    <row r="43" spans="1:61" ht="15.75" x14ac:dyDescent="0.25">
      <c r="A43" s="650"/>
      <c r="J43" s="651"/>
      <c r="K43" s="651"/>
      <c r="R43" s="651"/>
      <c r="S43" s="651"/>
      <c r="T43" s="651"/>
      <c r="U43" s="651"/>
      <c r="V43" s="651"/>
      <c r="W43" s="645"/>
    </row>
    <row r="44" spans="1:61" ht="15.75" x14ac:dyDescent="0.25">
      <c r="A44" s="650"/>
      <c r="J44" s="651"/>
      <c r="R44" s="651"/>
      <c r="S44" s="651"/>
      <c r="T44" s="651"/>
      <c r="U44" s="651"/>
      <c r="V44" s="651"/>
      <c r="W44" s="645"/>
    </row>
    <row r="45" spans="1:61" ht="15.75" x14ac:dyDescent="0.25">
      <c r="A45" s="650"/>
      <c r="J45" s="651"/>
      <c r="K45" s="651"/>
      <c r="L45" s="651"/>
      <c r="M45" s="651"/>
      <c r="N45" s="651"/>
      <c r="O45" s="651"/>
      <c r="P45" s="651"/>
      <c r="Q45" s="651"/>
      <c r="R45" s="651"/>
      <c r="S45" s="651"/>
      <c r="T45" s="651"/>
      <c r="U45" s="651"/>
      <c r="V45" s="651"/>
      <c r="W45" s="645"/>
    </row>
    <row r="46" spans="1:61" ht="16.5" x14ac:dyDescent="0.25">
      <c r="A46" s="652"/>
      <c r="B46" s="645"/>
      <c r="C46" s="645"/>
      <c r="D46" s="645"/>
      <c r="E46" s="645"/>
      <c r="F46" s="645"/>
      <c r="G46" s="645"/>
      <c r="H46" s="645"/>
      <c r="I46" s="645"/>
      <c r="J46" s="645"/>
      <c r="K46" s="645"/>
      <c r="L46" s="645"/>
      <c r="M46" s="645"/>
      <c r="N46" s="653"/>
      <c r="O46" s="645"/>
      <c r="P46" s="645"/>
      <c r="Q46" s="645"/>
      <c r="R46" s="645"/>
      <c r="S46" s="645"/>
      <c r="T46" s="645"/>
      <c r="U46" s="645"/>
      <c r="V46" s="645"/>
    </row>
    <row r="47" spans="1:61" ht="26.25" customHeight="1" x14ac:dyDescent="0.25">
      <c r="A47" s="645"/>
      <c r="B47" s="645"/>
      <c r="C47" s="645"/>
      <c r="D47" s="645"/>
      <c r="E47" s="645"/>
      <c r="F47" s="645"/>
      <c r="G47" s="645"/>
      <c r="H47" s="645"/>
      <c r="I47" s="645"/>
      <c r="J47" s="645"/>
      <c r="K47" s="645"/>
      <c r="L47" s="645"/>
      <c r="M47" s="645"/>
      <c r="N47" s="645"/>
      <c r="O47" s="645"/>
      <c r="P47" s="645"/>
    </row>
    <row r="48" spans="1:61" ht="22.5" customHeight="1" x14ac:dyDescent="0.25">
      <c r="A48" s="645"/>
      <c r="B48" s="645"/>
      <c r="C48" s="645"/>
      <c r="D48" s="645"/>
      <c r="E48" s="645"/>
      <c r="F48" s="645"/>
      <c r="G48" s="645"/>
      <c r="H48" s="645"/>
      <c r="I48" s="645"/>
      <c r="J48" s="645"/>
      <c r="K48" s="645"/>
      <c r="L48" s="645"/>
      <c r="M48" s="645"/>
      <c r="N48" s="645"/>
      <c r="O48" s="645"/>
      <c r="P48" s="645"/>
    </row>
    <row r="49" spans="1:23" ht="24" customHeight="1" x14ac:dyDescent="0.25">
      <c r="A49" s="645"/>
      <c r="B49" s="645"/>
      <c r="C49" s="645"/>
      <c r="D49" s="645"/>
      <c r="E49" s="645"/>
      <c r="F49" s="645"/>
      <c r="G49" s="645"/>
      <c r="H49" s="645"/>
      <c r="I49" s="645"/>
      <c r="J49" s="645"/>
      <c r="K49" s="645"/>
      <c r="L49" s="645"/>
      <c r="M49" s="645"/>
      <c r="N49" s="645"/>
      <c r="O49" s="645"/>
      <c r="P49" s="645"/>
    </row>
    <row r="50" spans="1:23" ht="20.100000000000001" customHeight="1" x14ac:dyDescent="0.25">
      <c r="A50" s="645"/>
      <c r="B50" s="645"/>
      <c r="C50" s="645"/>
      <c r="D50" s="645"/>
      <c r="E50" s="645"/>
      <c r="F50" s="645"/>
      <c r="G50" s="645"/>
      <c r="H50" s="645"/>
      <c r="I50" s="645"/>
      <c r="J50" s="645"/>
      <c r="K50" s="645"/>
      <c r="L50" s="645"/>
      <c r="M50" s="645"/>
      <c r="N50" s="645"/>
      <c r="O50" s="645"/>
      <c r="P50" s="645"/>
    </row>
    <row r="51" spans="1:23" ht="20.100000000000001" customHeight="1" x14ac:dyDescent="0.25">
      <c r="A51" s="645"/>
      <c r="B51" s="645"/>
      <c r="C51" s="645"/>
      <c r="D51" s="645"/>
      <c r="E51" s="645"/>
      <c r="F51" s="645"/>
      <c r="G51" s="645"/>
      <c r="H51" s="645"/>
      <c r="I51" s="645"/>
      <c r="J51" s="645"/>
      <c r="K51" s="645"/>
      <c r="L51" s="645"/>
      <c r="M51" s="645"/>
      <c r="N51" s="645"/>
      <c r="O51" s="645"/>
      <c r="P51" s="645"/>
    </row>
    <row r="52" spans="1:23" ht="20.100000000000001" customHeight="1" x14ac:dyDescent="0.25">
      <c r="A52" s="645"/>
      <c r="B52" s="645"/>
      <c r="C52" s="645"/>
      <c r="D52" s="645"/>
      <c r="E52" s="645"/>
      <c r="F52" s="645"/>
      <c r="G52" s="645"/>
      <c r="H52" s="645"/>
      <c r="I52" s="645"/>
      <c r="J52" s="645"/>
      <c r="K52" s="645"/>
      <c r="L52" s="645"/>
      <c r="M52" s="645"/>
      <c r="N52" s="645"/>
      <c r="O52" s="645"/>
      <c r="P52" s="645"/>
    </row>
    <row r="53" spans="1:23" x14ac:dyDescent="0.25">
      <c r="A53" s="645"/>
      <c r="B53" s="645"/>
      <c r="C53" s="645"/>
      <c r="D53" s="645"/>
      <c r="E53" s="645"/>
      <c r="F53" s="645"/>
      <c r="G53" s="645"/>
      <c r="H53" s="645"/>
      <c r="I53" s="645"/>
      <c r="J53" s="645"/>
      <c r="K53" s="645"/>
      <c r="L53" s="645"/>
      <c r="M53" s="645"/>
      <c r="N53" s="645"/>
      <c r="O53" s="645"/>
      <c r="P53" s="645"/>
    </row>
    <row r="54" spans="1:23" x14ac:dyDescent="0.25">
      <c r="A54" s="645"/>
      <c r="B54" s="645"/>
      <c r="C54" s="645"/>
      <c r="D54" s="645"/>
      <c r="E54" s="645"/>
      <c r="F54" s="645"/>
      <c r="G54" s="645"/>
      <c r="H54" s="645"/>
      <c r="I54" s="645"/>
      <c r="J54" s="645"/>
      <c r="K54" s="645"/>
      <c r="L54" s="645"/>
      <c r="M54" s="645"/>
      <c r="N54" s="645"/>
      <c r="O54" s="645"/>
      <c r="P54" s="645"/>
    </row>
    <row r="55" spans="1:23" x14ac:dyDescent="0.25">
      <c r="A55" s="645"/>
      <c r="B55" s="645"/>
      <c r="C55" s="645"/>
      <c r="D55" s="645"/>
      <c r="E55" s="645"/>
      <c r="F55" s="645"/>
      <c r="G55" s="645"/>
      <c r="H55" s="645"/>
      <c r="I55" s="645"/>
      <c r="J55" s="645"/>
      <c r="K55" s="645"/>
      <c r="L55" s="645"/>
      <c r="M55" s="645"/>
      <c r="N55" s="645"/>
      <c r="O55" s="645"/>
      <c r="P55" s="645"/>
    </row>
    <row r="56" spans="1:23" ht="30.75" x14ac:dyDescent="0.25">
      <c r="A56" s="645"/>
      <c r="B56" s="645"/>
      <c r="C56" s="645"/>
      <c r="D56" s="645"/>
      <c r="E56" s="645"/>
      <c r="F56" s="645"/>
      <c r="G56" s="645"/>
      <c r="H56" s="645"/>
      <c r="I56" s="645"/>
      <c r="J56" s="645"/>
      <c r="K56" s="645"/>
      <c r="L56" s="645"/>
      <c r="M56" s="645"/>
      <c r="N56" s="645"/>
      <c r="O56" s="645"/>
      <c r="P56" s="645"/>
      <c r="Q56" s="645"/>
      <c r="R56" s="640"/>
      <c r="S56" s="640"/>
      <c r="T56" s="640"/>
      <c r="U56" s="640"/>
      <c r="V56" s="645"/>
      <c r="W56" s="645"/>
    </row>
    <row r="57" spans="1:23" x14ac:dyDescent="0.25">
      <c r="A57" s="645"/>
      <c r="B57" s="645"/>
      <c r="C57" s="645"/>
      <c r="D57" s="645"/>
      <c r="E57" s="645"/>
      <c r="F57" s="645"/>
      <c r="G57" s="645"/>
      <c r="H57" s="645"/>
      <c r="I57" s="645"/>
      <c r="J57" s="645"/>
      <c r="K57" s="645"/>
      <c r="L57" s="645"/>
      <c r="M57" s="645"/>
      <c r="N57" s="645"/>
      <c r="O57" s="645"/>
      <c r="P57" s="645"/>
      <c r="Q57" s="645"/>
      <c r="R57" s="645"/>
      <c r="S57" s="645"/>
      <c r="T57" s="645"/>
      <c r="U57" s="645"/>
      <c r="V57" s="645"/>
      <c r="W57" s="645"/>
    </row>
    <row r="58" spans="1:23" x14ac:dyDescent="0.25">
      <c r="A58" s="645"/>
      <c r="B58" s="645"/>
      <c r="C58" s="645"/>
      <c r="D58" s="645"/>
      <c r="E58" s="645"/>
      <c r="F58" s="645"/>
      <c r="G58" s="645"/>
      <c r="H58" s="645"/>
      <c r="I58" s="645"/>
      <c r="J58" s="645"/>
      <c r="K58" s="645"/>
      <c r="L58" s="645"/>
      <c r="M58" s="645"/>
      <c r="N58" s="645"/>
      <c r="O58" s="645"/>
      <c r="P58" s="645"/>
      <c r="Q58" s="645"/>
      <c r="R58" s="645"/>
      <c r="S58" s="645"/>
      <c r="T58" s="645"/>
      <c r="U58" s="645"/>
      <c r="V58" s="645"/>
      <c r="W58" s="645"/>
    </row>
    <row r="59" spans="1:23" x14ac:dyDescent="0.25">
      <c r="A59" s="645"/>
      <c r="B59" s="645"/>
      <c r="C59" s="645"/>
      <c r="D59" s="645"/>
      <c r="E59" s="645"/>
      <c r="F59" s="645"/>
      <c r="G59" s="645"/>
      <c r="H59" s="645"/>
      <c r="I59" s="645"/>
      <c r="J59" s="645"/>
      <c r="K59" s="645"/>
      <c r="L59" s="645"/>
      <c r="M59" s="645"/>
      <c r="N59" s="645"/>
      <c r="O59" s="645"/>
      <c r="P59" s="645"/>
    </row>
    <row r="60" spans="1:23" x14ac:dyDescent="0.25">
      <c r="A60" s="645"/>
      <c r="B60" s="645"/>
      <c r="C60" s="645"/>
      <c r="D60" s="645"/>
      <c r="E60" s="645"/>
      <c r="F60" s="645"/>
      <c r="G60" s="645"/>
      <c r="H60" s="645"/>
      <c r="I60" s="645"/>
      <c r="J60" s="645"/>
      <c r="K60" s="645"/>
      <c r="L60" s="645"/>
      <c r="M60" s="645"/>
      <c r="N60" s="645"/>
      <c r="O60" s="645"/>
      <c r="P60" s="645"/>
    </row>
    <row r="61" spans="1:23" x14ac:dyDescent="0.25">
      <c r="A61" s="645"/>
      <c r="B61" s="645"/>
      <c r="C61" s="645"/>
      <c r="D61" s="645"/>
      <c r="E61" s="645"/>
      <c r="F61" s="645"/>
      <c r="G61" s="645"/>
      <c r="H61" s="645"/>
      <c r="I61" s="645"/>
      <c r="J61" s="645"/>
      <c r="K61" s="645"/>
      <c r="L61" s="645"/>
      <c r="M61" s="645"/>
      <c r="N61" s="645"/>
      <c r="O61" s="645"/>
      <c r="P61" s="645"/>
    </row>
    <row r="62" spans="1:23" x14ac:dyDescent="0.25">
      <c r="A62" s="645"/>
      <c r="B62" s="645"/>
      <c r="C62" s="645"/>
      <c r="D62" s="645"/>
      <c r="E62" s="645"/>
      <c r="F62" s="645"/>
      <c r="G62" s="645"/>
      <c r="H62" s="645"/>
      <c r="I62" s="645"/>
      <c r="J62" s="645"/>
      <c r="K62" s="645"/>
      <c r="L62" s="645"/>
      <c r="M62" s="645"/>
      <c r="N62" s="645"/>
      <c r="O62" s="645"/>
      <c r="P62" s="645"/>
    </row>
    <row r="63" spans="1:23" x14ac:dyDescent="0.25">
      <c r="A63" s="645"/>
      <c r="B63" s="645"/>
      <c r="C63" s="645"/>
      <c r="D63" s="645"/>
      <c r="E63" s="645"/>
      <c r="F63" s="645"/>
      <c r="G63" s="645"/>
      <c r="H63" s="645"/>
      <c r="I63" s="645"/>
      <c r="J63" s="645"/>
      <c r="K63" s="645"/>
      <c r="L63" s="645"/>
      <c r="M63" s="645"/>
      <c r="N63" s="645"/>
      <c r="O63" s="645"/>
      <c r="P63" s="645"/>
    </row>
    <row r="64" spans="1:23" x14ac:dyDescent="0.25">
      <c r="A64" s="645"/>
      <c r="B64" s="645"/>
      <c r="C64" s="645"/>
      <c r="D64" s="645"/>
      <c r="E64" s="645"/>
      <c r="F64" s="645"/>
      <c r="G64" s="645"/>
      <c r="H64" s="645"/>
      <c r="I64" s="645"/>
      <c r="J64" s="645"/>
      <c r="K64" s="645"/>
      <c r="L64" s="645"/>
      <c r="M64" s="645"/>
      <c r="N64" s="645"/>
      <c r="O64" s="645"/>
      <c r="P64" s="645"/>
    </row>
  </sheetData>
  <mergeCells count="52">
    <mergeCell ref="U4:V4"/>
    <mergeCell ref="W4:X4"/>
    <mergeCell ref="P3:X3"/>
    <mergeCell ref="Z3:AH3"/>
    <mergeCell ref="AE4:AF4"/>
    <mergeCell ref="AG4:AH4"/>
    <mergeCell ref="AZ29:BC29"/>
    <mergeCell ref="AG15:AH15"/>
    <mergeCell ref="AG22:AH22"/>
    <mergeCell ref="AT32:AY32"/>
    <mergeCell ref="M13:N13"/>
    <mergeCell ref="AB30:AI30"/>
    <mergeCell ref="M14:N14"/>
    <mergeCell ref="B30:Q30"/>
    <mergeCell ref="B32:I33"/>
    <mergeCell ref="Z21:AB21"/>
    <mergeCell ref="Z22:AB22"/>
    <mergeCell ref="R29:T29"/>
    <mergeCell ref="R30:T30"/>
    <mergeCell ref="B2:N2"/>
    <mergeCell ref="B3:B4"/>
    <mergeCell ref="C3:C4"/>
    <mergeCell ref="D3:D4"/>
    <mergeCell ref="E3:E4"/>
    <mergeCell ref="F3:F4"/>
    <mergeCell ref="G3:G4"/>
    <mergeCell ref="H3:H4"/>
    <mergeCell ref="I3:I4"/>
    <mergeCell ref="M4:N4"/>
    <mergeCell ref="L3:N3"/>
    <mergeCell ref="J3:K3"/>
    <mergeCell ref="M8:N8"/>
    <mergeCell ref="M9:N9"/>
    <mergeCell ref="M10:N10"/>
    <mergeCell ref="M11:N11"/>
    <mergeCell ref="M12:N12"/>
    <mergeCell ref="M5:N5"/>
    <mergeCell ref="M6:N6"/>
    <mergeCell ref="M7:N7"/>
    <mergeCell ref="B31:I31"/>
    <mergeCell ref="R34:AA34"/>
    <mergeCell ref="U20:AI20"/>
    <mergeCell ref="U22:W22"/>
    <mergeCell ref="U21:W21"/>
    <mergeCell ref="AB31:AI32"/>
    <mergeCell ref="U29:X29"/>
    <mergeCell ref="U30:X30"/>
    <mergeCell ref="U31:X31"/>
    <mergeCell ref="Y29:AA29"/>
    <mergeCell ref="Y30:AA30"/>
    <mergeCell ref="Y31:AA31"/>
    <mergeCell ref="R31:T31"/>
  </mergeCells>
  <printOptions verticalCentered="1"/>
  <pageMargins left="0.24" right="0.16" top="0.2" bottom="0.2" header="0.2" footer="0.2"/>
  <pageSetup paperSize="9" scale="27" orientation="landscape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6"/>
  <sheetViews>
    <sheetView view="pageBreakPreview" zoomScale="85" zoomScaleNormal="100" zoomScaleSheetLayoutView="85" workbookViewId="0">
      <selection activeCell="G7" sqref="G7"/>
    </sheetView>
  </sheetViews>
  <sheetFormatPr defaultRowHeight="15" x14ac:dyDescent="0.25"/>
  <cols>
    <col min="1" max="1" width="16.85546875" customWidth="1"/>
    <col min="2" max="3" width="9.140625" customWidth="1"/>
    <col min="6" max="6" width="5.140625" customWidth="1"/>
    <col min="7" max="7" width="11.140625" customWidth="1"/>
    <col min="8" max="8" width="10.140625" customWidth="1"/>
    <col min="9" max="9" width="17.28515625" customWidth="1"/>
    <col min="10" max="10" width="17.140625" customWidth="1"/>
    <col min="16" max="16" width="14" customWidth="1"/>
  </cols>
  <sheetData>
    <row r="1" spans="1:16" ht="25.5" customHeight="1" x14ac:dyDescent="0.25">
      <c r="A1" s="629"/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  <c r="O1" s="630"/>
      <c r="P1" s="631"/>
    </row>
    <row r="2" spans="1:16" ht="25.5" customHeight="1" x14ac:dyDescent="0.25">
      <c r="A2" s="633"/>
      <c r="B2" s="632"/>
      <c r="C2" s="632"/>
      <c r="D2" s="632"/>
      <c r="E2" s="632"/>
      <c r="F2" s="632"/>
      <c r="G2" s="632"/>
      <c r="H2" s="632"/>
      <c r="I2" s="632"/>
      <c r="J2" s="632"/>
      <c r="K2" s="632"/>
      <c r="L2" s="632"/>
      <c r="M2" s="632"/>
      <c r="N2" s="632"/>
      <c r="O2" s="632"/>
      <c r="P2" s="634"/>
    </row>
    <row r="3" spans="1:16" ht="25.5" customHeight="1" x14ac:dyDescent="0.25">
      <c r="A3" s="633"/>
      <c r="B3" s="632"/>
      <c r="C3" s="632"/>
      <c r="D3" s="632"/>
      <c r="E3" s="632"/>
      <c r="F3" s="632"/>
      <c r="G3" s="632"/>
      <c r="H3" s="632"/>
      <c r="I3" s="632"/>
      <c r="J3" s="632"/>
      <c r="K3" s="632"/>
      <c r="L3" s="638"/>
      <c r="M3" s="638"/>
      <c r="N3" s="632"/>
      <c r="O3" s="632"/>
      <c r="P3" s="634"/>
    </row>
    <row r="4" spans="1:16" ht="25.5" customHeight="1" x14ac:dyDescent="0.25">
      <c r="A4" s="633"/>
      <c r="B4" s="632"/>
      <c r="L4" s="638"/>
      <c r="M4" s="638"/>
      <c r="N4" s="632"/>
      <c r="O4" s="632"/>
      <c r="P4" s="634"/>
    </row>
    <row r="5" spans="1:16" ht="25.5" customHeight="1" x14ac:dyDescent="0.25">
      <c r="A5" s="633"/>
      <c r="B5" s="632"/>
      <c r="L5" s="638"/>
      <c r="M5" s="638"/>
      <c r="N5" s="632"/>
      <c r="O5" s="632"/>
      <c r="P5" s="634"/>
    </row>
    <row r="6" spans="1:16" ht="25.5" customHeight="1" x14ac:dyDescent="0.25">
      <c r="A6" s="633"/>
      <c r="B6" s="632"/>
      <c r="L6" s="638"/>
      <c r="M6" s="638"/>
      <c r="N6" s="632"/>
      <c r="O6" s="632"/>
      <c r="P6" s="634"/>
    </row>
    <row r="7" spans="1:16" ht="48.75" customHeight="1" x14ac:dyDescent="0.25">
      <c r="A7" s="633"/>
      <c r="B7" s="632"/>
      <c r="L7" s="638"/>
      <c r="M7" s="638"/>
      <c r="N7" s="632"/>
      <c r="O7" s="632"/>
      <c r="P7" s="634"/>
    </row>
    <row r="8" spans="1:16" ht="48.75" customHeight="1" x14ac:dyDescent="0.25">
      <c r="A8" s="633"/>
      <c r="B8" s="632"/>
      <c r="L8" s="638"/>
      <c r="M8" s="638"/>
      <c r="N8" s="632"/>
      <c r="O8" s="632"/>
      <c r="P8" s="634"/>
    </row>
    <row r="9" spans="1:16" x14ac:dyDescent="0.25">
      <c r="A9" s="633"/>
      <c r="B9" s="632"/>
      <c r="L9" s="638"/>
      <c r="M9" s="638"/>
      <c r="N9" s="632"/>
      <c r="O9" s="632"/>
      <c r="P9" s="634"/>
    </row>
    <row r="10" spans="1:16" x14ac:dyDescent="0.25">
      <c r="A10" s="633"/>
      <c r="B10" s="632"/>
      <c r="D10" s="1338" t="s">
        <v>1083</v>
      </c>
      <c r="E10" s="1350"/>
      <c r="F10" s="1339"/>
      <c r="G10" s="1338" t="s">
        <v>1072</v>
      </c>
      <c r="H10" s="1339"/>
      <c r="I10" s="1338" t="s">
        <v>1073</v>
      </c>
      <c r="J10" s="1339"/>
      <c r="K10" s="1332" t="s">
        <v>1100</v>
      </c>
      <c r="L10" s="1333"/>
      <c r="M10" s="638"/>
      <c r="N10" s="632"/>
      <c r="O10" s="632"/>
      <c r="P10" s="634"/>
    </row>
    <row r="11" spans="1:16" x14ac:dyDescent="0.25">
      <c r="A11" s="633"/>
      <c r="B11" s="632"/>
      <c r="D11" s="1340"/>
      <c r="E11" s="1351"/>
      <c r="F11" s="1341"/>
      <c r="G11" s="1340"/>
      <c r="H11" s="1341"/>
      <c r="I11" s="1340"/>
      <c r="J11" s="1341"/>
      <c r="K11" s="1334"/>
      <c r="L11" s="1335"/>
      <c r="M11" s="638"/>
      <c r="N11" s="632"/>
      <c r="O11" s="632"/>
      <c r="P11" s="634"/>
    </row>
    <row r="12" spans="1:16" x14ac:dyDescent="0.25">
      <c r="A12" s="633"/>
      <c r="B12" s="632"/>
      <c r="D12" s="1340"/>
      <c r="E12" s="1351"/>
      <c r="F12" s="1341"/>
      <c r="G12" s="1340"/>
      <c r="H12" s="1341"/>
      <c r="I12" s="1340"/>
      <c r="J12" s="1341"/>
      <c r="K12" s="1334"/>
      <c r="L12" s="1335"/>
      <c r="M12" s="638"/>
      <c r="N12" s="632"/>
      <c r="O12" s="632"/>
      <c r="P12" s="634"/>
    </row>
    <row r="13" spans="1:16" x14ac:dyDescent="0.25">
      <c r="A13" s="633"/>
      <c r="B13" s="632"/>
      <c r="D13" s="1342"/>
      <c r="E13" s="1352"/>
      <c r="F13" s="1343"/>
      <c r="G13" s="1342"/>
      <c r="H13" s="1343"/>
      <c r="I13" s="1342"/>
      <c r="J13" s="1343"/>
      <c r="K13" s="1336"/>
      <c r="L13" s="1337"/>
      <c r="M13" s="638"/>
      <c r="N13" s="632"/>
      <c r="O13" s="632"/>
      <c r="P13" s="634"/>
    </row>
    <row r="14" spans="1:16" x14ac:dyDescent="0.25">
      <c r="A14" s="633"/>
      <c r="B14" s="632"/>
      <c r="D14" s="1338" t="s">
        <v>1006</v>
      </c>
      <c r="E14" s="1350"/>
      <c r="F14" s="1339"/>
      <c r="G14" s="1344" t="str">
        <f>"M"&amp;Sheet2!F160</f>
        <v>M12</v>
      </c>
      <c r="H14" s="1345"/>
      <c r="I14" s="1338">
        <f>ROUNDUP(Sheet2!G160,0)</f>
        <v>498</v>
      </c>
      <c r="J14" s="1339"/>
      <c r="K14" s="1338">
        <v>4</v>
      </c>
      <c r="L14" s="1339"/>
      <c r="M14" s="638"/>
      <c r="N14" s="632"/>
      <c r="O14" s="632"/>
      <c r="P14" s="634"/>
    </row>
    <row r="15" spans="1:16" x14ac:dyDescent="0.25">
      <c r="A15" s="633"/>
      <c r="B15" s="632"/>
      <c r="D15" s="1340"/>
      <c r="E15" s="1351"/>
      <c r="F15" s="1341"/>
      <c r="G15" s="1346"/>
      <c r="H15" s="1347"/>
      <c r="I15" s="1340"/>
      <c r="J15" s="1341"/>
      <c r="K15" s="1340"/>
      <c r="L15" s="1341"/>
      <c r="M15" s="638"/>
      <c r="N15" s="632"/>
      <c r="O15" s="632"/>
      <c r="P15" s="634"/>
    </row>
    <row r="16" spans="1:16" x14ac:dyDescent="0.25">
      <c r="A16" s="633"/>
      <c r="B16" s="632"/>
      <c r="C16" s="639"/>
      <c r="D16" s="1340"/>
      <c r="E16" s="1351"/>
      <c r="F16" s="1341"/>
      <c r="G16" s="1346"/>
      <c r="H16" s="1347"/>
      <c r="I16" s="1340"/>
      <c r="J16" s="1341"/>
      <c r="K16" s="1340"/>
      <c r="L16" s="1341"/>
      <c r="M16" s="638"/>
      <c r="N16" s="632"/>
      <c r="O16" s="632"/>
      <c r="P16" s="634"/>
    </row>
    <row r="17" spans="1:16" x14ac:dyDescent="0.25">
      <c r="A17" s="633"/>
      <c r="B17" s="632"/>
      <c r="C17" s="639"/>
      <c r="D17" s="1342"/>
      <c r="E17" s="1352"/>
      <c r="F17" s="1343"/>
      <c r="G17" s="1348"/>
      <c r="H17" s="1349"/>
      <c r="I17" s="1342"/>
      <c r="J17" s="1343"/>
      <c r="K17" s="1342"/>
      <c r="L17" s="1343"/>
      <c r="M17" s="639"/>
      <c r="N17" s="632"/>
      <c r="O17" s="632"/>
      <c r="P17" s="634"/>
    </row>
    <row r="18" spans="1:16" x14ac:dyDescent="0.25">
      <c r="A18" s="633"/>
      <c r="B18" s="632"/>
      <c r="C18" s="639"/>
      <c r="D18" s="1338" t="s">
        <v>1007</v>
      </c>
      <c r="E18" s="1350"/>
      <c r="F18" s="1339"/>
      <c r="G18" s="1344" t="str">
        <f>"M"&amp;Sheet2!F161</f>
        <v>M12</v>
      </c>
      <c r="H18" s="1345"/>
      <c r="I18" s="1338">
        <f>ROUNDUP(Sheet2!G161,0)</f>
        <v>197</v>
      </c>
      <c r="J18" s="1339"/>
      <c r="K18" s="1344">
        <f>Sheet2!K170</f>
        <v>8</v>
      </c>
      <c r="L18" s="1345"/>
      <c r="M18" s="639"/>
      <c r="N18" s="632"/>
      <c r="O18" s="632"/>
      <c r="P18" s="634"/>
    </row>
    <row r="19" spans="1:16" x14ac:dyDescent="0.25">
      <c r="A19" s="633"/>
      <c r="B19" s="632"/>
      <c r="C19" s="639"/>
      <c r="D19" s="1340"/>
      <c r="E19" s="1351"/>
      <c r="F19" s="1341"/>
      <c r="G19" s="1346"/>
      <c r="H19" s="1347"/>
      <c r="I19" s="1340"/>
      <c r="J19" s="1341"/>
      <c r="K19" s="1346"/>
      <c r="L19" s="1347"/>
      <c r="M19" s="639"/>
      <c r="N19" s="632"/>
      <c r="O19" s="632"/>
      <c r="P19" s="634"/>
    </row>
    <row r="20" spans="1:16" x14ac:dyDescent="0.25">
      <c r="A20" s="633"/>
      <c r="B20" s="632"/>
      <c r="C20" s="639"/>
      <c r="D20" s="1340"/>
      <c r="E20" s="1351"/>
      <c r="F20" s="1341"/>
      <c r="G20" s="1346"/>
      <c r="H20" s="1347"/>
      <c r="I20" s="1340"/>
      <c r="J20" s="1341"/>
      <c r="K20" s="1346"/>
      <c r="L20" s="1347"/>
      <c r="M20" s="639"/>
      <c r="N20" s="632"/>
      <c r="O20" s="632"/>
      <c r="P20" s="634"/>
    </row>
    <row r="21" spans="1:16" x14ac:dyDescent="0.25">
      <c r="A21" s="633"/>
      <c r="B21" s="632"/>
      <c r="C21" s="639"/>
      <c r="D21" s="1342"/>
      <c r="E21" s="1352"/>
      <c r="F21" s="1343"/>
      <c r="G21" s="1348"/>
      <c r="H21" s="1349"/>
      <c r="I21" s="1342"/>
      <c r="J21" s="1343"/>
      <c r="K21" s="1348"/>
      <c r="L21" s="1349"/>
      <c r="M21" s="639"/>
      <c r="N21" s="632"/>
      <c r="O21" s="632"/>
      <c r="P21" s="634"/>
    </row>
    <row r="22" spans="1:16" x14ac:dyDescent="0.25">
      <c r="A22" s="633"/>
      <c r="B22" s="632"/>
      <c r="C22" s="639"/>
      <c r="D22" s="639"/>
      <c r="E22" s="639"/>
      <c r="F22" s="639"/>
      <c r="G22" s="639"/>
      <c r="H22" s="639"/>
      <c r="I22" s="639"/>
      <c r="J22" s="639"/>
      <c r="K22" s="639"/>
      <c r="L22" s="639"/>
      <c r="M22" s="639"/>
      <c r="N22" s="632"/>
      <c r="O22" s="632"/>
      <c r="P22" s="634"/>
    </row>
    <row r="23" spans="1:16" x14ac:dyDescent="0.25">
      <c r="A23" s="633"/>
      <c r="B23" s="632"/>
      <c r="C23" s="639"/>
      <c r="D23" s="639"/>
      <c r="E23" s="639"/>
      <c r="F23" s="639"/>
      <c r="G23" s="639"/>
      <c r="H23" s="639"/>
      <c r="I23" s="639"/>
      <c r="J23" s="639"/>
      <c r="K23" s="639"/>
      <c r="L23" s="639"/>
      <c r="M23" s="639"/>
      <c r="N23" s="632"/>
      <c r="O23" s="632"/>
      <c r="P23" s="634"/>
    </row>
    <row r="24" spans="1:16" x14ac:dyDescent="0.25">
      <c r="A24" s="633"/>
      <c r="B24" s="632"/>
      <c r="C24" s="632"/>
      <c r="D24" s="632"/>
      <c r="E24" s="632"/>
      <c r="F24" s="632"/>
      <c r="G24" s="632"/>
      <c r="H24" s="632"/>
      <c r="I24" s="632"/>
      <c r="J24" s="632"/>
      <c r="K24" s="632"/>
      <c r="L24" s="632"/>
      <c r="M24" s="632"/>
      <c r="N24" s="632"/>
      <c r="O24" s="632"/>
      <c r="P24" s="634"/>
    </row>
    <row r="25" spans="1:16" x14ac:dyDescent="0.25">
      <c r="A25" s="633"/>
      <c r="B25" s="632"/>
      <c r="C25" s="632"/>
      <c r="D25" s="632"/>
      <c r="E25" s="632"/>
      <c r="F25" s="632"/>
      <c r="G25" s="632"/>
      <c r="H25" s="632"/>
      <c r="I25" s="632"/>
      <c r="J25" s="632"/>
      <c r="K25" s="632"/>
      <c r="L25" s="632"/>
      <c r="M25" s="632"/>
      <c r="N25" s="632"/>
      <c r="O25" s="632"/>
      <c r="P25" s="634"/>
    </row>
    <row r="26" spans="1:16" x14ac:dyDescent="0.25">
      <c r="A26" s="633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L26" s="632"/>
      <c r="M26" s="632"/>
      <c r="N26" s="632"/>
      <c r="O26" s="632"/>
      <c r="P26" s="634"/>
    </row>
    <row r="27" spans="1:16" x14ac:dyDescent="0.25">
      <c r="A27" s="633"/>
      <c r="B27" s="632"/>
      <c r="C27" s="632"/>
      <c r="D27" s="632"/>
      <c r="E27" s="632"/>
      <c r="F27" s="632"/>
      <c r="G27" s="632"/>
      <c r="H27" s="632"/>
      <c r="I27" s="632"/>
      <c r="J27" s="632"/>
      <c r="K27" s="632"/>
      <c r="L27" s="632"/>
      <c r="M27" s="632"/>
      <c r="N27" s="632"/>
      <c r="O27" s="632"/>
      <c r="P27" s="635"/>
    </row>
    <row r="28" spans="1:16" ht="29.25" customHeight="1" x14ac:dyDescent="0.3">
      <c r="A28" s="633"/>
      <c r="B28" s="632"/>
      <c r="C28" s="632"/>
      <c r="D28" s="632"/>
      <c r="E28" s="632"/>
      <c r="F28" s="632"/>
      <c r="G28" s="1325" t="s">
        <v>1075</v>
      </c>
      <c r="H28" s="1326"/>
      <c r="I28" s="703"/>
      <c r="J28" s="704"/>
      <c r="K28" s="705" t="str">
        <f>BIA!K28</f>
        <v>Sản phẩm : MBA 303KVA 22/0.4KV (23A 001  )</v>
      </c>
      <c r="L28" s="705"/>
      <c r="M28" s="706"/>
      <c r="N28" s="706"/>
      <c r="O28" s="706"/>
      <c r="P28" s="707"/>
    </row>
    <row r="29" spans="1:16" ht="29.25" customHeight="1" x14ac:dyDescent="0.3">
      <c r="A29" s="633"/>
      <c r="B29" s="632"/>
      <c r="C29" s="632"/>
      <c r="D29" s="632"/>
      <c r="E29" s="632"/>
      <c r="F29" s="632"/>
      <c r="G29" s="1325" t="s">
        <v>4032</v>
      </c>
      <c r="H29" s="1326"/>
      <c r="I29" s="708"/>
      <c r="J29" s="709"/>
      <c r="K29" s="710" t="s">
        <v>1077</v>
      </c>
      <c r="L29" s="711"/>
      <c r="M29" s="711"/>
      <c r="N29" s="712"/>
      <c r="O29" s="711" t="s">
        <v>1078</v>
      </c>
      <c r="P29" s="707"/>
    </row>
    <row r="30" spans="1:16" ht="29.25" customHeight="1" x14ac:dyDescent="0.3">
      <c r="A30" s="633"/>
      <c r="B30" s="632"/>
      <c r="C30" s="632"/>
      <c r="D30" s="632"/>
      <c r="E30" s="632"/>
      <c r="F30" s="632"/>
      <c r="G30" s="1325" t="s">
        <v>4033</v>
      </c>
      <c r="H30" s="1326"/>
      <c r="I30" s="708"/>
      <c r="J30" s="709"/>
      <c r="K30" s="1327" t="s">
        <v>1086</v>
      </c>
      <c r="L30" s="1257"/>
      <c r="M30" s="1257"/>
      <c r="N30" s="1258"/>
      <c r="O30" s="713" t="s">
        <v>1079</v>
      </c>
      <c r="P30" s="707"/>
    </row>
    <row r="31" spans="1:16" ht="29.25" customHeight="1" x14ac:dyDescent="0.3">
      <c r="A31" s="633"/>
      <c r="B31" s="632"/>
      <c r="C31" s="632"/>
      <c r="D31" s="632"/>
      <c r="E31" s="632"/>
      <c r="F31" s="632"/>
      <c r="G31" s="714"/>
      <c r="H31" s="715"/>
      <c r="I31" s="715"/>
      <c r="J31" s="712"/>
      <c r="K31" s="1328"/>
      <c r="L31" s="1259"/>
      <c r="M31" s="1259"/>
      <c r="N31" s="1260"/>
      <c r="O31" s="716" t="s">
        <v>1080</v>
      </c>
      <c r="P31" s="717"/>
    </row>
    <row r="32" spans="1:16" ht="29.25" customHeight="1" x14ac:dyDescent="0.3">
      <c r="A32" s="633"/>
      <c r="B32" s="632"/>
      <c r="C32" s="632"/>
      <c r="D32" s="632"/>
      <c r="E32" s="632"/>
      <c r="F32" s="632"/>
      <c r="G32" s="714"/>
      <c r="H32" s="715"/>
      <c r="I32" s="715"/>
      <c r="J32" s="717"/>
      <c r="K32" s="718" t="s">
        <v>1082</v>
      </c>
      <c r="L32" s="719"/>
      <c r="M32" s="719"/>
      <c r="N32" s="720"/>
      <c r="O32" s="721" t="s">
        <v>1081</v>
      </c>
      <c r="P32" s="712"/>
    </row>
    <row r="33" spans="1:16" ht="29.25" customHeight="1" x14ac:dyDescent="0.3">
      <c r="A33" s="637"/>
      <c r="B33" s="636"/>
      <c r="C33" s="636"/>
      <c r="D33" s="636"/>
      <c r="E33" s="636"/>
      <c r="F33" s="636"/>
      <c r="G33" s="1329" t="s">
        <v>1076</v>
      </c>
      <c r="H33" s="1330"/>
      <c r="I33" s="1330"/>
      <c r="J33" s="1331"/>
      <c r="K33" s="722"/>
      <c r="L33" s="723"/>
      <c r="M33" s="723"/>
      <c r="N33" s="724"/>
      <c r="O33" s="725"/>
      <c r="P33" s="709"/>
    </row>
    <row r="36" spans="1:16" x14ac:dyDescent="0.25">
      <c r="P36" s="545"/>
    </row>
  </sheetData>
  <mergeCells count="17">
    <mergeCell ref="D10:F13"/>
    <mergeCell ref="D14:F17"/>
    <mergeCell ref="D18:F21"/>
    <mergeCell ref="G10:H13"/>
    <mergeCell ref="I10:J13"/>
    <mergeCell ref="K10:L13"/>
    <mergeCell ref="K14:L17"/>
    <mergeCell ref="K18:L21"/>
    <mergeCell ref="G18:H21"/>
    <mergeCell ref="I14:J17"/>
    <mergeCell ref="I18:J21"/>
    <mergeCell ref="G14:H17"/>
    <mergeCell ref="G29:H29"/>
    <mergeCell ref="G30:H30"/>
    <mergeCell ref="K30:N31"/>
    <mergeCell ref="G33:J33"/>
    <mergeCell ref="G28:H28"/>
  </mergeCells>
  <printOptions horizontalCentered="1" verticalCentered="1"/>
  <pageMargins left="0.24" right="0.16" top="0.2" bottom="0.2" header="0.2" footer="0.2"/>
  <pageSetup paperSize="9" scale="82" orientation="landscape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125"/>
  <sheetViews>
    <sheetView topLeftCell="A93" zoomScale="85" zoomScaleNormal="85" zoomScaleSheetLayoutView="85" workbookViewId="0">
      <selection activeCell="H109" sqref="H109"/>
    </sheetView>
  </sheetViews>
  <sheetFormatPr defaultRowHeight="24.95" customHeight="1" x14ac:dyDescent="0.25"/>
  <cols>
    <col min="1" max="1" width="5" style="614" customWidth="1"/>
    <col min="2" max="2" width="29" style="1003" customWidth="1"/>
    <col min="3" max="3" width="9" style="646" customWidth="1"/>
    <col min="4" max="4" width="8.5703125" style="614" customWidth="1"/>
    <col min="5" max="5" width="12.140625" style="614" customWidth="1"/>
    <col min="6" max="6" width="6.85546875" style="614" customWidth="1"/>
    <col min="7" max="7" width="9.42578125" style="646" customWidth="1"/>
    <col min="8" max="8" width="13.28515625" style="614" customWidth="1"/>
    <col min="9" max="9" width="7.28515625" style="614" customWidth="1"/>
    <col min="10" max="10" width="21.140625" style="854" customWidth="1"/>
    <col min="11" max="11" width="9.140625" style="614" customWidth="1"/>
    <col min="12" max="12" width="9.28515625" style="614" customWidth="1"/>
    <col min="14" max="14" width="13.5703125" customWidth="1"/>
    <col min="15" max="15" width="40.7109375" style="1199" customWidth="1"/>
    <col min="16" max="16" width="36.5703125" style="1198" customWidth="1"/>
    <col min="17" max="17" width="15.5703125" style="614" customWidth="1"/>
    <col min="18" max="18" width="9.140625" style="614"/>
    <col min="19" max="19" width="15.5703125" style="614" customWidth="1"/>
    <col min="20" max="16384" width="9.140625" style="614"/>
  </cols>
  <sheetData>
    <row r="1" spans="1:16" ht="24.95" customHeight="1" x14ac:dyDescent="0.25">
      <c r="A1" s="942" t="s">
        <v>1023</v>
      </c>
      <c r="B1" s="942"/>
      <c r="C1" s="627" t="str">
        <f>Phieutrienkhai!E7</f>
        <v>303kVA – 22/0.4kV Dyn11</v>
      </c>
      <c r="D1" s="627"/>
      <c r="E1" s="627"/>
      <c r="F1" s="627"/>
      <c r="G1" s="627"/>
      <c r="H1" s="1377" t="str">
        <f>Phieutrienkhai!E9</f>
        <v xml:space="preserve">23A 001  </v>
      </c>
      <c r="I1" s="1377"/>
      <c r="J1" s="1377"/>
    </row>
    <row r="2" spans="1:16" ht="24.95" customHeight="1" thickBot="1" x14ac:dyDescent="0.3">
      <c r="A2" s="913"/>
      <c r="B2" s="780"/>
      <c r="C2" s="781"/>
      <c r="D2" s="782"/>
      <c r="E2" s="782"/>
      <c r="F2" s="783"/>
      <c r="G2" s="784"/>
      <c r="H2" s="1378"/>
      <c r="I2" s="1378"/>
      <c r="J2" s="1378"/>
    </row>
    <row r="3" spans="1:16" ht="29.25" customHeight="1" thickTop="1" x14ac:dyDescent="0.25">
      <c r="A3" s="786" t="s">
        <v>934</v>
      </c>
      <c r="B3" s="787" t="s">
        <v>1149</v>
      </c>
      <c r="C3" s="1372" t="s">
        <v>3491</v>
      </c>
      <c r="D3" s="1373"/>
      <c r="E3" s="1374"/>
      <c r="F3" s="788" t="s">
        <v>3492</v>
      </c>
      <c r="G3" s="789" t="s">
        <v>3493</v>
      </c>
      <c r="H3" s="790" t="s">
        <v>3494</v>
      </c>
      <c r="I3" s="790" t="s">
        <v>3495</v>
      </c>
      <c r="J3" s="791" t="s">
        <v>3496</v>
      </c>
      <c r="O3" s="1200" t="s">
        <v>1148</v>
      </c>
      <c r="P3" s="1203" t="s">
        <v>1149</v>
      </c>
    </row>
    <row r="4" spans="1:16" ht="24.95" customHeight="1" x14ac:dyDescent="0.25">
      <c r="A4" s="1368" t="s">
        <v>157</v>
      </c>
      <c r="B4" s="1370" t="s">
        <v>3497</v>
      </c>
      <c r="C4" s="1195" t="s">
        <v>3859</v>
      </c>
      <c r="D4" s="1195"/>
      <c r="E4" s="1195"/>
      <c r="F4" s="1375" t="s">
        <v>943</v>
      </c>
      <c r="G4" s="1379">
        <f>SUM(G6:G13)</f>
        <v>303.57063699120005</v>
      </c>
      <c r="H4" s="1381"/>
      <c r="I4" s="1381"/>
      <c r="J4" s="1383"/>
    </row>
    <row r="5" spans="1:16" ht="24.95" customHeight="1" x14ac:dyDescent="0.25">
      <c r="A5" s="1369"/>
      <c r="B5" s="1371"/>
      <c r="C5" s="1195"/>
      <c r="D5" s="1195"/>
      <c r="E5" s="1195" t="s">
        <v>3937</v>
      </c>
      <c r="F5" s="1376"/>
      <c r="G5" s="1380"/>
      <c r="H5" s="1382"/>
      <c r="I5" s="1382"/>
      <c r="J5" s="1384"/>
    </row>
    <row r="6" spans="1:16" ht="24.95" customHeight="1" x14ac:dyDescent="0.25">
      <c r="A6" s="1174" t="s">
        <v>935</v>
      </c>
      <c r="B6" s="848" t="s">
        <v>3490</v>
      </c>
      <c r="C6" s="1176"/>
      <c r="D6" s="1177"/>
      <c r="E6" s="1178">
        <f>Sheet2!AB73</f>
        <v>120</v>
      </c>
      <c r="F6" s="1173" t="s">
        <v>943</v>
      </c>
      <c r="G6" s="1025">
        <f>Sheet6!AD4</f>
        <v>153.85420940400002</v>
      </c>
      <c r="H6" s="796"/>
      <c r="I6" s="796"/>
      <c r="J6" s="797"/>
      <c r="L6" s="798"/>
      <c r="O6" s="1202"/>
    </row>
    <row r="7" spans="1:16" ht="24.95" customHeight="1" x14ac:dyDescent="0.25">
      <c r="A7" s="1174" t="s">
        <v>936</v>
      </c>
      <c r="B7" s="848" t="s">
        <v>3498</v>
      </c>
      <c r="C7" s="1176"/>
      <c r="D7" s="1177"/>
      <c r="E7" s="1178">
        <f>Sheet2!AB74</f>
        <v>110</v>
      </c>
      <c r="F7" s="1173" t="s">
        <v>943</v>
      </c>
      <c r="G7" s="1025">
        <f>Sheet6!AD5</f>
        <v>47.9141404704</v>
      </c>
      <c r="H7" s="796"/>
      <c r="I7" s="796"/>
      <c r="J7" s="797"/>
      <c r="L7" s="798"/>
      <c r="O7" s="1202"/>
    </row>
    <row r="8" spans="1:16" ht="24.95" customHeight="1" x14ac:dyDescent="0.25">
      <c r="A8" s="1174" t="s">
        <v>937</v>
      </c>
      <c r="B8" s="848" t="s">
        <v>3499</v>
      </c>
      <c r="C8" s="1176"/>
      <c r="D8" s="1177"/>
      <c r="E8" s="1179">
        <f>Sheet2!AB75</f>
        <v>100</v>
      </c>
      <c r="F8" s="1173" t="s">
        <v>943</v>
      </c>
      <c r="G8" s="1025">
        <f>Sheet6!AD6</f>
        <v>40.760687159999996</v>
      </c>
      <c r="H8" s="796"/>
      <c r="I8" s="796"/>
      <c r="J8" s="797"/>
      <c r="L8" s="798"/>
      <c r="O8" s="1202"/>
    </row>
    <row r="9" spans="1:16" ht="24.95" customHeight="1" x14ac:dyDescent="0.25">
      <c r="A9" s="1174" t="s">
        <v>938</v>
      </c>
      <c r="B9" s="848" t="s">
        <v>3500</v>
      </c>
      <c r="C9" s="1176"/>
      <c r="D9" s="1177"/>
      <c r="E9" s="1180">
        <f>Sheet2!AB76</f>
        <v>90</v>
      </c>
      <c r="F9" s="1173" t="s">
        <v>943</v>
      </c>
      <c r="G9" s="1025">
        <f>Sheet6!AD7</f>
        <v>27.793073505599999</v>
      </c>
      <c r="H9" s="799"/>
      <c r="I9" s="800"/>
      <c r="J9" s="801"/>
      <c r="L9" s="798"/>
      <c r="O9" s="1202"/>
    </row>
    <row r="10" spans="1:16" ht="24.95" customHeight="1" x14ac:dyDescent="0.25">
      <c r="A10" s="1174" t="s">
        <v>939</v>
      </c>
      <c r="B10" s="848" t="s">
        <v>3501</v>
      </c>
      <c r="C10" s="1176"/>
      <c r="D10" s="1177"/>
      <c r="E10" s="1180">
        <f>Sheet2!AB77</f>
        <v>60</v>
      </c>
      <c r="F10" s="1173" t="s">
        <v>943</v>
      </c>
      <c r="G10" s="1025">
        <f>Sheet6!AD8</f>
        <v>33.2485264512</v>
      </c>
      <c r="H10" s="799"/>
      <c r="I10" s="799"/>
      <c r="J10" s="801"/>
      <c r="L10" s="798"/>
      <c r="O10" s="1202"/>
    </row>
    <row r="11" spans="1:16" ht="24.95" customHeight="1" x14ac:dyDescent="0.25">
      <c r="A11" s="1174" t="s">
        <v>940</v>
      </c>
      <c r="B11" s="848" t="s">
        <v>3502</v>
      </c>
      <c r="C11" s="1176"/>
      <c r="D11" s="1177"/>
      <c r="E11" s="1180">
        <f>Sheet2!AB78</f>
        <v>0</v>
      </c>
      <c r="F11" s="1173" t="s">
        <v>943</v>
      </c>
      <c r="G11" s="1025">
        <f>Sheet6!AD9</f>
        <v>0</v>
      </c>
      <c r="H11" s="799"/>
      <c r="I11" s="799"/>
      <c r="J11" s="801"/>
      <c r="L11" s="798"/>
      <c r="O11" s="1202"/>
    </row>
    <row r="12" spans="1:16" ht="24.95" customHeight="1" x14ac:dyDescent="0.25">
      <c r="A12" s="975" t="s">
        <v>941</v>
      </c>
      <c r="B12" s="848" t="s">
        <v>3503</v>
      </c>
      <c r="C12" s="1176"/>
      <c r="D12" s="1177"/>
      <c r="E12" s="1180">
        <f>Sheet2!AB79</f>
        <v>0</v>
      </c>
      <c r="F12" s="1173" t="s">
        <v>943</v>
      </c>
      <c r="G12" s="1025">
        <f>Sheet6!AD10</f>
        <v>0</v>
      </c>
      <c r="H12" s="799"/>
      <c r="I12" s="799"/>
      <c r="J12" s="801"/>
      <c r="K12" s="798"/>
      <c r="L12" s="798"/>
      <c r="O12" s="1202"/>
    </row>
    <row r="13" spans="1:16" ht="24.95" customHeight="1" x14ac:dyDescent="0.25">
      <c r="A13" s="975" t="s">
        <v>942</v>
      </c>
      <c r="B13" s="848" t="s">
        <v>3504</v>
      </c>
      <c r="C13" s="1181"/>
      <c r="D13" s="1175"/>
      <c r="E13" s="1180">
        <f>Sheet2!AB80</f>
        <v>0</v>
      </c>
      <c r="F13" s="1173" t="s">
        <v>943</v>
      </c>
      <c r="G13" s="1025">
        <f>Sheet6!AD11</f>
        <v>0</v>
      </c>
      <c r="H13" s="799"/>
      <c r="I13" s="799"/>
      <c r="J13" s="801"/>
      <c r="L13" s="798"/>
      <c r="O13" s="1202"/>
    </row>
    <row r="14" spans="1:16" ht="24.95" customHeight="1" x14ac:dyDescent="0.25">
      <c r="A14" s="975" t="s">
        <v>946</v>
      </c>
      <c r="B14" s="848" t="s">
        <v>3676</v>
      </c>
      <c r="C14" s="1182"/>
      <c r="D14" s="1177"/>
      <c r="E14" s="1180">
        <f>Sheet2!AB81</f>
        <v>0</v>
      </c>
      <c r="F14" s="1173" t="s">
        <v>943</v>
      </c>
      <c r="G14" s="1025">
        <f>Sheet6!AD12</f>
        <v>0</v>
      </c>
      <c r="H14" s="799"/>
      <c r="I14" s="799"/>
      <c r="J14" s="801"/>
      <c r="O14" s="1202"/>
    </row>
    <row r="15" spans="1:16" ht="24.95" customHeight="1" x14ac:dyDescent="0.25">
      <c r="A15" s="975" t="s">
        <v>947</v>
      </c>
      <c r="B15" s="848" t="s">
        <v>3677</v>
      </c>
      <c r="C15" s="1183"/>
      <c r="D15" s="1177"/>
      <c r="E15" s="1180">
        <f>Sheet2!AB82</f>
        <v>0</v>
      </c>
      <c r="F15" s="1173" t="s">
        <v>943</v>
      </c>
      <c r="G15" s="1025">
        <f>Sheet6!AD13</f>
        <v>0</v>
      </c>
      <c r="H15" s="799"/>
      <c r="I15" s="799"/>
      <c r="J15" s="801"/>
      <c r="O15" s="1202"/>
    </row>
    <row r="16" spans="1:16" ht="24.95" customHeight="1" x14ac:dyDescent="0.25">
      <c r="A16" s="803" t="s">
        <v>155</v>
      </c>
      <c r="B16" s="804" t="s">
        <v>3505</v>
      </c>
      <c r="C16" s="805"/>
      <c r="D16" s="806"/>
      <c r="E16" s="795"/>
      <c r="F16" s="807"/>
      <c r="G16" s="615"/>
      <c r="H16" s="799"/>
      <c r="I16" s="799"/>
      <c r="J16" s="801"/>
      <c r="L16" s="1197" t="s">
        <v>4285</v>
      </c>
      <c r="O16" s="1202"/>
    </row>
    <row r="17" spans="1:16" ht="24.95" customHeight="1" x14ac:dyDescent="0.25">
      <c r="A17" s="802" t="s">
        <v>935</v>
      </c>
      <c r="B17" s="808" t="s">
        <v>3506</v>
      </c>
      <c r="C17" s="809" t="str">
        <f>Sheet5!I20</f>
        <v>Cu</v>
      </c>
      <c r="D17" s="810">
        <f>Sheet5!H15</f>
        <v>1.9</v>
      </c>
      <c r="E17" s="811">
        <f>Sheet5!I15</f>
        <v>1.9</v>
      </c>
      <c r="F17" s="793" t="s">
        <v>943</v>
      </c>
      <c r="G17" s="812">
        <f>ROUND(Sheet5!H19,1)</f>
        <v>167.7</v>
      </c>
      <c r="H17" s="799"/>
      <c r="I17" s="799"/>
      <c r="J17" s="801"/>
      <c r="K17" s="614" t="str">
        <f t="shared" ref="K17:L20" si="0">SUBSTITUTE(D17,$L$16,"")</f>
        <v>19</v>
      </c>
      <c r="L17" s="614" t="str">
        <f t="shared" si="0"/>
        <v>19</v>
      </c>
      <c r="M17" t="s">
        <v>4273</v>
      </c>
      <c r="N17" t="s">
        <v>4277</v>
      </c>
      <c r="O17" s="1202" t="str">
        <f>MaVatTu!H1&amp;VLOOKUP(VatTu!M17,MaVatTu!$D$2:$E$100,2,FALSE)&amp;VLOOKUP(N17,MaVatTu!$F$2:$G$100,2,FALSE)&amp;K17&amp;"x"&amp;L17</f>
        <v>YC1T19x19</v>
      </c>
    </row>
    <row r="18" spans="1:16" ht="24.95" customHeight="1" x14ac:dyDescent="0.25">
      <c r="A18" s="802" t="s">
        <v>936</v>
      </c>
      <c r="B18" s="808" t="s">
        <v>3507</v>
      </c>
      <c r="C18" s="809" t="str">
        <f>Sheet5!I20</f>
        <v>Cu</v>
      </c>
      <c r="D18" s="810">
        <f>Sheet5!J15</f>
        <v>0</v>
      </c>
      <c r="E18" s="813">
        <f>Sheet5!K15</f>
        <v>0</v>
      </c>
      <c r="F18" s="793" t="s">
        <v>943</v>
      </c>
      <c r="G18" s="812">
        <f>ROUND(Sheet5!I19,1)</f>
        <v>0</v>
      </c>
      <c r="H18" s="799"/>
      <c r="I18" s="799"/>
      <c r="J18" s="801"/>
      <c r="K18" s="614" t="str">
        <f t="shared" si="0"/>
        <v>0</v>
      </c>
      <c r="L18" s="614" t="str">
        <f t="shared" si="0"/>
        <v>0</v>
      </c>
      <c r="M18" s="1109" t="s">
        <v>4273</v>
      </c>
      <c r="N18" s="1109" t="s">
        <v>4277</v>
      </c>
      <c r="O18" s="1202" t="str">
        <f>MaVatTu!H2&amp;VLOOKUP(VatTu!M18,MaVatTu!$D$2:$E$100,2,FALSE)&amp;VLOOKUP(N18,MaVatTu!$F$2:$G$100,2,FALSE)&amp;K18&amp;"x"&amp;L18</f>
        <v>YC1T0x0</v>
      </c>
    </row>
    <row r="19" spans="1:16" ht="24.95" customHeight="1" x14ac:dyDescent="0.25">
      <c r="A19" s="802" t="s">
        <v>937</v>
      </c>
      <c r="B19" s="808" t="s">
        <v>3508</v>
      </c>
      <c r="C19" s="805" t="str">
        <f>Sheet5!I30</f>
        <v>Cu</v>
      </c>
      <c r="D19" s="810">
        <f>Sheet5!H24</f>
        <v>1.9</v>
      </c>
      <c r="E19" s="810">
        <f>Sheet5!I24</f>
        <v>1.9</v>
      </c>
      <c r="F19" s="793" t="s">
        <v>943</v>
      </c>
      <c r="G19" s="812">
        <f>ROUND(Sheet5!H29,1)</f>
        <v>258.39999999999998</v>
      </c>
      <c r="H19" s="799"/>
      <c r="I19" s="799"/>
      <c r="J19" s="801"/>
      <c r="K19" s="614" t="str">
        <f t="shared" si="0"/>
        <v>19</v>
      </c>
      <c r="L19" s="614" t="str">
        <f>SUBSTITUTE(E19,$L$16,"")</f>
        <v>19</v>
      </c>
      <c r="M19" s="1109" t="s">
        <v>4274</v>
      </c>
      <c r="N19" s="1109" t="s">
        <v>4279</v>
      </c>
      <c r="O19" s="1202" t="str">
        <f>MaVatTu!H3&amp;VLOOKUP(VatTu!M19,MaVatTu!$D$2:$E$100,2,FALSE)&amp;VLOOKUP(N19,MaVatTu!$F$2:$G$100,2,FALSE)&amp;K19&amp;"x"&amp;L19</f>
        <v>YC2M19x19</v>
      </c>
    </row>
    <row r="20" spans="1:16" ht="24.95" customHeight="1" x14ac:dyDescent="0.25">
      <c r="A20" s="802" t="s">
        <v>938</v>
      </c>
      <c r="B20" s="808" t="s">
        <v>3509</v>
      </c>
      <c r="C20" s="805" t="str">
        <f>Sheet5!J30</f>
        <v>cu</v>
      </c>
      <c r="D20" s="810">
        <f>Sheet5!H32</f>
        <v>1.9</v>
      </c>
      <c r="E20" s="810">
        <f>Sheet5!I32</f>
        <v>1.9</v>
      </c>
      <c r="F20" s="793" t="s">
        <v>943</v>
      </c>
      <c r="G20" s="812">
        <f>ROUND(Sheet5!J29,1)</f>
        <v>0</v>
      </c>
      <c r="H20" s="799"/>
      <c r="I20" s="799"/>
      <c r="J20" s="801"/>
      <c r="K20" s="614" t="str">
        <f t="shared" si="0"/>
        <v>19</v>
      </c>
      <c r="L20" s="614" t="str">
        <f t="shared" si="0"/>
        <v>19</v>
      </c>
      <c r="M20" s="1109" t="s">
        <v>4274</v>
      </c>
      <c r="N20" s="1109" t="s">
        <v>4279</v>
      </c>
      <c r="O20" s="1202" t="str">
        <f>MaVatTu!H4&amp;VLOOKUP(VatTu!M20,MaVatTu!$D$2:$E$100,2,FALSE)&amp;VLOOKUP(N20,MaVatTu!$F$2:$G$100,2,FALSE)&amp;K20&amp;"x"&amp;L20</f>
        <v>YC2M19x19</v>
      </c>
    </row>
    <row r="21" spans="1:16" ht="24.95" customHeight="1" x14ac:dyDescent="0.25">
      <c r="A21" s="814" t="s">
        <v>275</v>
      </c>
      <c r="B21" s="815" t="s">
        <v>3510</v>
      </c>
      <c r="C21" s="778"/>
      <c r="D21" s="779"/>
      <c r="E21" s="816"/>
      <c r="F21" s="817"/>
      <c r="G21" s="818"/>
      <c r="H21" s="799" t="s">
        <v>463</v>
      </c>
      <c r="I21" s="799"/>
      <c r="J21" s="801"/>
      <c r="O21" s="1202"/>
    </row>
    <row r="22" spans="1:16" ht="24.95" customHeight="1" x14ac:dyDescent="0.25">
      <c r="A22" s="819" t="s">
        <v>935</v>
      </c>
      <c r="B22" s="820" t="s">
        <v>3511</v>
      </c>
      <c r="C22" s="778"/>
      <c r="D22" s="779"/>
      <c r="E22" s="816"/>
      <c r="F22" s="818" t="s">
        <v>943</v>
      </c>
      <c r="G22" s="851">
        <v>9</v>
      </c>
      <c r="H22" s="799"/>
      <c r="I22" s="799"/>
      <c r="J22" s="801"/>
      <c r="O22" s="1202"/>
    </row>
    <row r="23" spans="1:16" ht="24.95" customHeight="1" x14ac:dyDescent="0.25">
      <c r="A23" s="819" t="s">
        <v>936</v>
      </c>
      <c r="B23" s="820" t="s">
        <v>3856</v>
      </c>
      <c r="C23" s="778"/>
      <c r="D23" s="779"/>
      <c r="E23" s="816"/>
      <c r="F23" s="817" t="s">
        <v>943</v>
      </c>
      <c r="G23" s="851">
        <v>9.3000000000000007</v>
      </c>
      <c r="H23" s="799"/>
      <c r="I23" s="799"/>
      <c r="J23" s="801"/>
      <c r="O23" s="1202"/>
    </row>
    <row r="24" spans="1:16" ht="24.95" customHeight="1" x14ac:dyDescent="0.25">
      <c r="A24" s="819" t="s">
        <v>937</v>
      </c>
      <c r="B24" s="821" t="s">
        <v>3512</v>
      </c>
      <c r="C24" s="1353" t="s">
        <v>1067</v>
      </c>
      <c r="D24" s="1354"/>
      <c r="E24" s="1355"/>
      <c r="F24" s="817" t="s">
        <v>1937</v>
      </c>
      <c r="G24" s="845">
        <f>Sheet5!E33</f>
        <v>700.84643620322231</v>
      </c>
      <c r="H24" s="799"/>
      <c r="I24" s="799"/>
      <c r="J24" s="801"/>
      <c r="O24" s="1202"/>
    </row>
    <row r="25" spans="1:16" ht="24.95" customHeight="1" x14ac:dyDescent="0.25">
      <c r="A25" s="814" t="s">
        <v>99</v>
      </c>
      <c r="B25" s="822" t="s">
        <v>3513</v>
      </c>
      <c r="C25" s="778"/>
      <c r="D25" s="779"/>
      <c r="E25" s="816"/>
      <c r="F25" s="817"/>
      <c r="G25" s="818"/>
      <c r="H25" s="799"/>
      <c r="I25" s="799"/>
      <c r="J25" s="801"/>
      <c r="L25" s="776"/>
      <c r="O25" s="1202"/>
    </row>
    <row r="26" spans="1:16" ht="24.95" customHeight="1" x14ac:dyDescent="0.25">
      <c r="A26" s="802" t="s">
        <v>935</v>
      </c>
      <c r="B26" s="794" t="s">
        <v>3514</v>
      </c>
      <c r="C26" s="805">
        <f>C82</f>
        <v>24</v>
      </c>
      <c r="D26" s="805" t="str">
        <f>D82</f>
        <v>KV</v>
      </c>
      <c r="E26" s="805" t="str">
        <f>E82</f>
        <v>250A</v>
      </c>
      <c r="F26" s="615" t="s">
        <v>1689</v>
      </c>
      <c r="G26" s="615">
        <f>G82</f>
        <v>3</v>
      </c>
      <c r="H26" s="799"/>
      <c r="I26" s="799"/>
      <c r="J26" s="801"/>
      <c r="O26" s="1202"/>
    </row>
    <row r="27" spans="1:16" ht="24.95" customHeight="1" x14ac:dyDescent="0.25">
      <c r="A27" s="802" t="s">
        <v>936</v>
      </c>
      <c r="B27" s="794" t="s">
        <v>3515</v>
      </c>
      <c r="C27" s="805">
        <f>C86</f>
        <v>1</v>
      </c>
      <c r="D27" s="805" t="str">
        <f>D86</f>
        <v>KV</v>
      </c>
      <c r="E27" s="805" t="str">
        <f>E86</f>
        <v>M12-250A</v>
      </c>
      <c r="F27" s="615" t="s">
        <v>1019</v>
      </c>
      <c r="G27" s="615">
        <f>G86</f>
        <v>4</v>
      </c>
      <c r="H27" s="799"/>
      <c r="I27" s="799"/>
      <c r="J27" s="801"/>
      <c r="O27" s="1202"/>
    </row>
    <row r="28" spans="1:16" ht="24.95" customHeight="1" x14ac:dyDescent="0.25">
      <c r="A28" s="819" t="s">
        <v>937</v>
      </c>
      <c r="B28" s="796" t="s">
        <v>3516</v>
      </c>
      <c r="C28" s="1353" t="s">
        <v>3931</v>
      </c>
      <c r="D28" s="1354"/>
      <c r="E28" s="1355"/>
      <c r="F28" s="817" t="s">
        <v>944</v>
      </c>
      <c r="G28" s="851">
        <f>ROUNDUP((Sheet5!B11+10+Sheet5!B12+10)*2/1000,1)</f>
        <v>3.9</v>
      </c>
      <c r="H28" s="799"/>
      <c r="I28" s="799"/>
      <c r="J28" s="801"/>
      <c r="O28" s="1202" t="s">
        <v>3860</v>
      </c>
      <c r="P28" s="1204" t="s">
        <v>3869</v>
      </c>
    </row>
    <row r="29" spans="1:16" ht="24.95" customHeight="1" x14ac:dyDescent="0.25">
      <c r="A29" s="819" t="s">
        <v>938</v>
      </c>
      <c r="B29" s="794" t="s">
        <v>3517</v>
      </c>
      <c r="C29" s="805"/>
      <c r="D29" s="806"/>
      <c r="E29" s="795"/>
      <c r="F29" s="807" t="s">
        <v>1019</v>
      </c>
      <c r="G29" s="615">
        <f>G68</f>
        <v>0</v>
      </c>
      <c r="H29" s="799"/>
      <c r="I29" s="799"/>
      <c r="J29" s="801"/>
      <c r="O29" s="1202" t="s">
        <v>3864</v>
      </c>
      <c r="P29" s="1205" t="s">
        <v>3863</v>
      </c>
    </row>
    <row r="30" spans="1:16" ht="24.95" customHeight="1" x14ac:dyDescent="0.25">
      <c r="A30" s="819" t="s">
        <v>939</v>
      </c>
      <c r="B30" s="794" t="s">
        <v>4372</v>
      </c>
      <c r="C30" s="805"/>
      <c r="D30" s="806"/>
      <c r="E30" s="795"/>
      <c r="F30" s="807" t="s">
        <v>1019</v>
      </c>
      <c r="G30" s="615">
        <f>G29</f>
        <v>0</v>
      </c>
      <c r="H30" s="799"/>
      <c r="I30" s="799"/>
      <c r="J30" s="801"/>
      <c r="O30" s="1202" t="s">
        <v>3862</v>
      </c>
      <c r="P30" s="1205" t="s">
        <v>3861</v>
      </c>
    </row>
    <row r="31" spans="1:16" ht="24.95" customHeight="1" x14ac:dyDescent="0.25">
      <c r="A31" s="819" t="s">
        <v>940</v>
      </c>
      <c r="B31" s="794" t="s">
        <v>3518</v>
      </c>
      <c r="C31" s="805"/>
      <c r="D31" s="806"/>
      <c r="E31" s="795"/>
      <c r="F31" s="807" t="s">
        <v>1019</v>
      </c>
      <c r="G31" s="615">
        <v>1</v>
      </c>
      <c r="H31" s="799"/>
      <c r="I31" s="799"/>
      <c r="J31" s="801"/>
      <c r="O31" s="1202" t="s">
        <v>3866</v>
      </c>
      <c r="P31" s="1205" t="s">
        <v>3865</v>
      </c>
    </row>
    <row r="32" spans="1:16" ht="24.95" customHeight="1" x14ac:dyDescent="0.25">
      <c r="A32" s="819" t="s">
        <v>941</v>
      </c>
      <c r="B32" s="794" t="s">
        <v>3519</v>
      </c>
      <c r="C32" s="1356" t="s">
        <v>1034</v>
      </c>
      <c r="D32" s="1357"/>
      <c r="E32" s="1358"/>
      <c r="F32" s="807" t="s">
        <v>1019</v>
      </c>
      <c r="G32" s="615">
        <v>1</v>
      </c>
      <c r="H32" s="799"/>
      <c r="I32" s="799"/>
      <c r="J32" s="801"/>
      <c r="O32" s="1202" t="s">
        <v>3868</v>
      </c>
      <c r="P32" s="1205" t="s">
        <v>3867</v>
      </c>
    </row>
    <row r="33" spans="1:17" ht="24.95" customHeight="1" x14ac:dyDescent="0.25">
      <c r="A33" s="814" t="s">
        <v>180</v>
      </c>
      <c r="B33" s="815" t="s">
        <v>3520</v>
      </c>
      <c r="C33" s="778"/>
      <c r="D33" s="779"/>
      <c r="E33" s="816"/>
      <c r="F33" s="817"/>
      <c r="G33" s="818"/>
      <c r="I33" s="799"/>
      <c r="J33" s="801"/>
    </row>
    <row r="34" spans="1:17" ht="24.95" customHeight="1" x14ac:dyDescent="0.25">
      <c r="A34" s="819" t="s">
        <v>935</v>
      </c>
      <c r="B34" s="820" t="s">
        <v>3521</v>
      </c>
      <c r="C34" s="778"/>
      <c r="D34" s="779"/>
      <c r="E34" s="816"/>
      <c r="F34" s="793" t="s">
        <v>943</v>
      </c>
      <c r="G34" s="845">
        <v>943</v>
      </c>
      <c r="I34" s="799"/>
      <c r="J34" s="801"/>
    </row>
    <row r="35" spans="1:17" ht="24.95" customHeight="1" x14ac:dyDescent="0.25">
      <c r="A35" s="819" t="s">
        <v>936</v>
      </c>
      <c r="B35" s="820" t="s">
        <v>3522</v>
      </c>
      <c r="C35" s="778"/>
      <c r="D35" s="779"/>
      <c r="E35" s="816"/>
      <c r="F35" s="793" t="s">
        <v>943</v>
      </c>
      <c r="G35" s="971">
        <v>70.5</v>
      </c>
      <c r="H35" s="799"/>
      <c r="I35" s="799"/>
      <c r="J35" s="801"/>
    </row>
    <row r="36" spans="1:17" ht="24.95" customHeight="1" x14ac:dyDescent="0.25">
      <c r="A36" s="819" t="s">
        <v>937</v>
      </c>
      <c r="B36" s="820" t="s">
        <v>3523</v>
      </c>
      <c r="C36" s="778"/>
      <c r="D36" s="779"/>
      <c r="E36" s="969"/>
      <c r="F36" s="793" t="s">
        <v>943</v>
      </c>
      <c r="G36" s="845" t="s">
        <v>463</v>
      </c>
      <c r="H36" s="799"/>
      <c r="I36" s="799"/>
      <c r="J36" s="801"/>
    </row>
    <row r="37" spans="1:17" ht="24.95" customHeight="1" x14ac:dyDescent="0.25">
      <c r="A37" s="814" t="s">
        <v>105</v>
      </c>
      <c r="B37" s="815" t="s">
        <v>3524</v>
      </c>
      <c r="C37" s="778"/>
      <c r="D37" s="779"/>
      <c r="E37" s="816"/>
      <c r="F37" s="817"/>
      <c r="G37" s="845"/>
      <c r="H37" s="799"/>
      <c r="I37" s="799"/>
      <c r="J37" s="801"/>
    </row>
    <row r="38" spans="1:17" ht="24.95" customHeight="1" x14ac:dyDescent="0.25">
      <c r="A38" s="819" t="s">
        <v>935</v>
      </c>
      <c r="B38" s="821" t="s">
        <v>3525</v>
      </c>
      <c r="C38" s="967" t="s">
        <v>1074</v>
      </c>
      <c r="D38" s="839">
        <f>Sheet2!G66</f>
        <v>6</v>
      </c>
      <c r="E38" s="968"/>
      <c r="F38" s="817" t="s">
        <v>943</v>
      </c>
      <c r="G38" s="972">
        <f>28.4*4</f>
        <v>113.6</v>
      </c>
      <c r="H38" s="823"/>
      <c r="I38" s="799"/>
      <c r="J38" s="801"/>
      <c r="O38" s="1202"/>
    </row>
    <row r="39" spans="1:17" ht="24.95" customHeight="1" x14ac:dyDescent="0.25">
      <c r="A39" s="819" t="s">
        <v>936</v>
      </c>
      <c r="B39" s="821" t="s">
        <v>3526</v>
      </c>
      <c r="C39" s="967"/>
      <c r="D39" s="779"/>
      <c r="E39" s="970"/>
      <c r="F39" s="807" t="s">
        <v>1019</v>
      </c>
      <c r="G39" s="1034">
        <f>IF(G68=1,2,0)</f>
        <v>0</v>
      </c>
      <c r="H39" s="824"/>
      <c r="I39" s="799"/>
      <c r="J39" s="801"/>
      <c r="O39" s="1202"/>
    </row>
    <row r="40" spans="1:17" ht="24.95" customHeight="1" x14ac:dyDescent="0.25">
      <c r="A40" s="802" t="s">
        <v>937</v>
      </c>
      <c r="B40" s="794" t="s">
        <v>3527</v>
      </c>
      <c r="C40" s="805" t="s">
        <v>685</v>
      </c>
      <c r="D40" s="806">
        <f>Sheet2!F161</f>
        <v>12</v>
      </c>
      <c r="E40" s="825">
        <f>Sheet2!G161</f>
        <v>196.5</v>
      </c>
      <c r="F40" s="807" t="s">
        <v>1019</v>
      </c>
      <c r="G40" s="615">
        <f>Sheet2!K170</f>
        <v>8</v>
      </c>
      <c r="H40" s="799"/>
      <c r="I40" s="799"/>
      <c r="J40" s="801"/>
      <c r="O40" s="1202"/>
    </row>
    <row r="41" spans="1:17" ht="24.95" customHeight="1" x14ac:dyDescent="0.25">
      <c r="A41" s="802" t="s">
        <v>938</v>
      </c>
      <c r="B41" s="794" t="s">
        <v>1006</v>
      </c>
      <c r="C41" s="805" t="s">
        <v>685</v>
      </c>
      <c r="D41" s="806">
        <f>Sheet2!F160</f>
        <v>12</v>
      </c>
      <c r="E41" s="825">
        <f>Sheet2!G160</f>
        <v>498</v>
      </c>
      <c r="F41" s="807" t="s">
        <v>1019</v>
      </c>
      <c r="G41" s="615">
        <v>4</v>
      </c>
      <c r="H41" s="799"/>
      <c r="I41" s="799"/>
      <c r="J41" s="801"/>
      <c r="O41" s="1202"/>
    </row>
    <row r="42" spans="1:17" ht="24.95" customHeight="1" x14ac:dyDescent="0.25">
      <c r="A42" s="975" t="s">
        <v>939</v>
      </c>
      <c r="B42" s="976" t="s">
        <v>945</v>
      </c>
      <c r="C42" s="977" t="s">
        <v>685</v>
      </c>
      <c r="D42" s="978">
        <v>18</v>
      </c>
      <c r="E42" s="979"/>
      <c r="F42" s="980" t="s">
        <v>1019</v>
      </c>
      <c r="G42" s="849">
        <v>0</v>
      </c>
      <c r="H42" s="799"/>
      <c r="I42" s="799"/>
      <c r="J42" s="801"/>
      <c r="O42" s="1202"/>
    </row>
    <row r="43" spans="1:17" ht="24.95" customHeight="1" x14ac:dyDescent="0.25">
      <c r="A43" s="975" t="s">
        <v>940</v>
      </c>
      <c r="B43" s="848" t="s">
        <v>3528</v>
      </c>
      <c r="C43" s="977" t="s">
        <v>685</v>
      </c>
      <c r="D43" s="978">
        <v>18</v>
      </c>
      <c r="E43" s="979"/>
      <c r="F43" s="980" t="s">
        <v>1019</v>
      </c>
      <c r="G43" s="849">
        <v>0</v>
      </c>
      <c r="H43" s="826"/>
      <c r="I43" s="826"/>
      <c r="J43" s="801"/>
      <c r="O43" s="1202"/>
    </row>
    <row r="44" spans="1:17" ht="24.95" customHeight="1" x14ac:dyDescent="0.25">
      <c r="A44" s="975" t="s">
        <v>941</v>
      </c>
      <c r="B44" s="848" t="s">
        <v>3529</v>
      </c>
      <c r="C44" s="977" t="s">
        <v>685</v>
      </c>
      <c r="D44" s="978">
        <v>18</v>
      </c>
      <c r="E44" s="979"/>
      <c r="F44" s="980" t="s">
        <v>1019</v>
      </c>
      <c r="G44" s="849">
        <v>0</v>
      </c>
      <c r="H44" s="826"/>
      <c r="I44" s="826"/>
      <c r="J44" s="801"/>
      <c r="O44" s="1202"/>
    </row>
    <row r="45" spans="1:17" ht="24.95" customHeight="1" x14ac:dyDescent="0.25">
      <c r="A45" s="975" t="s">
        <v>942</v>
      </c>
      <c r="B45" s="976" t="s">
        <v>945</v>
      </c>
      <c r="C45" s="977" t="s">
        <v>685</v>
      </c>
      <c r="D45" s="978">
        <v>16</v>
      </c>
      <c r="E45" s="979"/>
      <c r="F45" s="980" t="s">
        <v>1019</v>
      </c>
      <c r="G45" s="981">
        <f>'Tinh vat tu'!M41</f>
        <v>0</v>
      </c>
      <c r="H45" s="827"/>
      <c r="I45" s="827"/>
      <c r="J45" s="801"/>
      <c r="O45" s="1202"/>
    </row>
    <row r="46" spans="1:17" ht="24.95" customHeight="1" x14ac:dyDescent="0.25">
      <c r="A46" s="975" t="s">
        <v>946</v>
      </c>
      <c r="B46" s="848" t="s">
        <v>3528</v>
      </c>
      <c r="C46" s="977" t="s">
        <v>685</v>
      </c>
      <c r="D46" s="978">
        <v>16</v>
      </c>
      <c r="E46" s="979"/>
      <c r="F46" s="980" t="s">
        <v>1019</v>
      </c>
      <c r="G46" s="982">
        <f>'Tinh vat tu'!M62</f>
        <v>0</v>
      </c>
      <c r="H46" s="827"/>
      <c r="I46" s="827"/>
      <c r="J46" s="801"/>
      <c r="O46" s="1202"/>
      <c r="Q46" s="798"/>
    </row>
    <row r="47" spans="1:17" ht="24.95" customHeight="1" x14ac:dyDescent="0.25">
      <c r="A47" s="975" t="s">
        <v>947</v>
      </c>
      <c r="B47" s="848" t="s">
        <v>3529</v>
      </c>
      <c r="C47" s="977" t="s">
        <v>685</v>
      </c>
      <c r="D47" s="978">
        <v>16</v>
      </c>
      <c r="E47" s="979"/>
      <c r="F47" s="980" t="s">
        <v>1019</v>
      </c>
      <c r="G47" s="983">
        <f>'Tinh vat tu'!M104</f>
        <v>0</v>
      </c>
      <c r="H47" s="827"/>
      <c r="I47" s="828"/>
      <c r="J47" s="829"/>
      <c r="O47" s="1202"/>
      <c r="Q47" s="798"/>
    </row>
    <row r="48" spans="1:17" ht="24.95" customHeight="1" x14ac:dyDescent="0.25">
      <c r="A48" s="975" t="s">
        <v>948</v>
      </c>
      <c r="B48" s="976" t="s">
        <v>945</v>
      </c>
      <c r="C48" s="977" t="s">
        <v>685</v>
      </c>
      <c r="D48" s="978">
        <v>14</v>
      </c>
      <c r="E48" s="979"/>
      <c r="F48" s="980" t="s">
        <v>1019</v>
      </c>
      <c r="G48" s="979">
        <f>'Tinh vat tu'!M41</f>
        <v>0</v>
      </c>
      <c r="H48" s="827"/>
      <c r="I48" s="830"/>
      <c r="J48" s="829"/>
      <c r="O48" s="1202"/>
      <c r="Q48" s="798"/>
    </row>
    <row r="49" spans="1:19" ht="24.95" customHeight="1" x14ac:dyDescent="0.25">
      <c r="A49" s="975" t="s">
        <v>949</v>
      </c>
      <c r="B49" s="848" t="s">
        <v>3528</v>
      </c>
      <c r="C49" s="977" t="s">
        <v>685</v>
      </c>
      <c r="D49" s="978">
        <v>14</v>
      </c>
      <c r="E49" s="984"/>
      <c r="F49" s="980" t="s">
        <v>1019</v>
      </c>
      <c r="G49" s="982">
        <f>'Tinh vat tu'!L62</f>
        <v>8</v>
      </c>
      <c r="H49" s="827"/>
      <c r="I49" s="827"/>
      <c r="J49" s="829"/>
      <c r="O49" s="1202"/>
      <c r="Q49" s="798"/>
    </row>
    <row r="50" spans="1:19" ht="24.95" customHeight="1" x14ac:dyDescent="0.25">
      <c r="A50" s="975" t="s">
        <v>950</v>
      </c>
      <c r="B50" s="848" t="s">
        <v>3529</v>
      </c>
      <c r="C50" s="977" t="s">
        <v>685</v>
      </c>
      <c r="D50" s="978">
        <v>14</v>
      </c>
      <c r="E50" s="985"/>
      <c r="F50" s="980" t="s">
        <v>1019</v>
      </c>
      <c r="G50" s="983">
        <f>'Tinh vat tu'!L104</f>
        <v>4</v>
      </c>
      <c r="H50" s="827"/>
      <c r="I50" s="827"/>
      <c r="J50" s="829"/>
      <c r="O50" s="1202"/>
      <c r="Q50" s="798"/>
    </row>
    <row r="51" spans="1:19" ht="24.95" customHeight="1" x14ac:dyDescent="0.25">
      <c r="A51" s="975" t="s">
        <v>951</v>
      </c>
      <c r="B51" s="976" t="s">
        <v>945</v>
      </c>
      <c r="C51" s="977" t="s">
        <v>685</v>
      </c>
      <c r="D51" s="978">
        <v>12</v>
      </c>
      <c r="E51" s="985"/>
      <c r="F51" s="980" t="s">
        <v>1019</v>
      </c>
      <c r="G51" s="979">
        <f>'Tinh vat tu'!K41</f>
        <v>0</v>
      </c>
      <c r="H51" s="827"/>
      <c r="I51" s="827"/>
      <c r="J51" s="829"/>
      <c r="O51" s="1202"/>
    </row>
    <row r="52" spans="1:19" ht="24.95" customHeight="1" x14ac:dyDescent="0.25">
      <c r="A52" s="975" t="s">
        <v>952</v>
      </c>
      <c r="B52" s="848" t="s">
        <v>3528</v>
      </c>
      <c r="C52" s="977" t="s">
        <v>685</v>
      </c>
      <c r="D52" s="978">
        <v>12</v>
      </c>
      <c r="E52" s="849"/>
      <c r="F52" s="980" t="s">
        <v>1019</v>
      </c>
      <c r="G52" s="982">
        <f>'Tinh vat tu'!K62</f>
        <v>70</v>
      </c>
      <c r="H52" s="827"/>
      <c r="I52" s="827"/>
      <c r="J52" s="829"/>
      <c r="O52" s="1202"/>
    </row>
    <row r="53" spans="1:19" ht="24.95" customHeight="1" x14ac:dyDescent="0.25">
      <c r="A53" s="975" t="s">
        <v>958</v>
      </c>
      <c r="B53" s="848" t="s">
        <v>3529</v>
      </c>
      <c r="C53" s="977" t="s">
        <v>685</v>
      </c>
      <c r="D53" s="978">
        <v>12</v>
      </c>
      <c r="E53" s="849"/>
      <c r="F53" s="980" t="s">
        <v>1019</v>
      </c>
      <c r="G53" s="983">
        <f>'Tinh vat tu'!K104</f>
        <v>42</v>
      </c>
      <c r="H53" s="827"/>
      <c r="I53" s="827"/>
      <c r="J53" s="829"/>
      <c r="O53" s="1202"/>
    </row>
    <row r="54" spans="1:19" ht="24.95" customHeight="1" x14ac:dyDescent="0.25">
      <c r="A54" s="975" t="s">
        <v>959</v>
      </c>
      <c r="B54" s="976" t="s">
        <v>945</v>
      </c>
      <c r="C54" s="977" t="s">
        <v>685</v>
      </c>
      <c r="D54" s="978">
        <v>10</v>
      </c>
      <c r="E54" s="849"/>
      <c r="F54" s="980" t="s">
        <v>1019</v>
      </c>
      <c r="G54" s="979">
        <f>'Tinh vat tu'!J41</f>
        <v>58</v>
      </c>
      <c r="H54" s="827"/>
      <c r="I54" s="827"/>
      <c r="J54" s="829"/>
      <c r="O54" s="1202"/>
    </row>
    <row r="55" spans="1:19" ht="24.95" customHeight="1" x14ac:dyDescent="0.25">
      <c r="A55" s="975" t="s">
        <v>960</v>
      </c>
      <c r="B55" s="848" t="s">
        <v>3528</v>
      </c>
      <c r="C55" s="977" t="s">
        <v>685</v>
      </c>
      <c r="D55" s="978">
        <v>10</v>
      </c>
      <c r="E55" s="849"/>
      <c r="F55" s="980" t="s">
        <v>1019</v>
      </c>
      <c r="G55" s="982">
        <f>'Tinh vat tu'!J62</f>
        <v>61</v>
      </c>
      <c r="H55" s="827"/>
      <c r="I55" s="827"/>
      <c r="J55" s="829"/>
      <c r="O55" s="1202"/>
    </row>
    <row r="56" spans="1:19" ht="24.95" customHeight="1" x14ac:dyDescent="0.25">
      <c r="A56" s="975" t="s">
        <v>961</v>
      </c>
      <c r="B56" s="848" t="s">
        <v>3529</v>
      </c>
      <c r="C56" s="977" t="s">
        <v>685</v>
      </c>
      <c r="D56" s="978">
        <v>10</v>
      </c>
      <c r="E56" s="849"/>
      <c r="F56" s="980" t="s">
        <v>1019</v>
      </c>
      <c r="G56" s="983">
        <f>'Tinh vat tu'!J104</f>
        <v>63</v>
      </c>
      <c r="H56" s="827"/>
      <c r="I56" s="827"/>
      <c r="J56" s="829"/>
      <c r="O56" s="1202"/>
    </row>
    <row r="57" spans="1:19" ht="24.95" customHeight="1" x14ac:dyDescent="0.25">
      <c r="A57" s="975" t="s">
        <v>962</v>
      </c>
      <c r="B57" s="976" t="s">
        <v>945</v>
      </c>
      <c r="C57" s="977" t="s">
        <v>685</v>
      </c>
      <c r="D57" s="978">
        <v>8</v>
      </c>
      <c r="E57" s="849"/>
      <c r="F57" s="980" t="s">
        <v>1019</v>
      </c>
      <c r="G57" s="979">
        <f>'Tinh vat tu'!I41</f>
        <v>0</v>
      </c>
      <c r="H57" s="827"/>
      <c r="I57" s="827"/>
      <c r="J57" s="829"/>
      <c r="O57" s="1202"/>
    </row>
    <row r="58" spans="1:19" ht="24.95" customHeight="1" x14ac:dyDescent="0.25">
      <c r="A58" s="975" t="s">
        <v>963</v>
      </c>
      <c r="B58" s="848" t="s">
        <v>3528</v>
      </c>
      <c r="C58" s="977" t="s">
        <v>685</v>
      </c>
      <c r="D58" s="978">
        <v>8</v>
      </c>
      <c r="E58" s="849"/>
      <c r="F58" s="980" t="s">
        <v>1019</v>
      </c>
      <c r="G58" s="982">
        <f>'Tinh vat tu'!I62</f>
        <v>0</v>
      </c>
      <c r="H58" s="827"/>
      <c r="I58" s="827"/>
      <c r="J58" s="829"/>
      <c r="O58" s="1202"/>
    </row>
    <row r="59" spans="1:19" ht="24.95" customHeight="1" x14ac:dyDescent="0.25">
      <c r="A59" s="975" t="s">
        <v>964</v>
      </c>
      <c r="B59" s="848" t="s">
        <v>3529</v>
      </c>
      <c r="C59" s="977" t="s">
        <v>685</v>
      </c>
      <c r="D59" s="978">
        <v>8</v>
      </c>
      <c r="E59" s="849"/>
      <c r="F59" s="980" t="s">
        <v>1019</v>
      </c>
      <c r="G59" s="983">
        <f>'Tinh vat tu'!I104</f>
        <v>0</v>
      </c>
      <c r="H59" s="827"/>
      <c r="I59" s="827"/>
      <c r="J59" s="829"/>
      <c r="O59" s="1202"/>
    </row>
    <row r="60" spans="1:19" ht="24.95" customHeight="1" x14ac:dyDescent="0.25">
      <c r="A60" s="975" t="s">
        <v>965</v>
      </c>
      <c r="B60" s="976" t="s">
        <v>945</v>
      </c>
      <c r="C60" s="977" t="s">
        <v>685</v>
      </c>
      <c r="D60" s="978">
        <v>6</v>
      </c>
      <c r="E60" s="849"/>
      <c r="F60" s="980" t="s">
        <v>1019</v>
      </c>
      <c r="G60" s="979">
        <f>'Tinh vat tu'!H41</f>
        <v>0</v>
      </c>
      <c r="H60" s="827"/>
      <c r="I60" s="827"/>
      <c r="J60" s="829"/>
      <c r="O60" s="1202"/>
    </row>
    <row r="61" spans="1:19" ht="24.95" customHeight="1" x14ac:dyDescent="0.25">
      <c r="A61" s="975" t="s">
        <v>966</v>
      </c>
      <c r="B61" s="848" t="s">
        <v>3528</v>
      </c>
      <c r="C61" s="986" t="s">
        <v>685</v>
      </c>
      <c r="D61" s="987">
        <v>6</v>
      </c>
      <c r="E61" s="988"/>
      <c r="F61" s="980" t="s">
        <v>1019</v>
      </c>
      <c r="G61" s="989">
        <f>'Tinh vat tu'!H62</f>
        <v>0</v>
      </c>
      <c r="H61" s="827"/>
      <c r="I61" s="827"/>
      <c r="J61" s="829"/>
      <c r="O61" s="1202"/>
    </row>
    <row r="62" spans="1:19" ht="24.95" customHeight="1" x14ac:dyDescent="0.25">
      <c r="A62" s="975" t="s">
        <v>967</v>
      </c>
      <c r="B62" s="848" t="s">
        <v>3529</v>
      </c>
      <c r="C62" s="977" t="s">
        <v>685</v>
      </c>
      <c r="D62" s="978">
        <v>6</v>
      </c>
      <c r="E62" s="985"/>
      <c r="F62" s="980" t="s">
        <v>1019</v>
      </c>
      <c r="G62" s="989">
        <f>'Tinh vat tu'!H104</f>
        <v>0</v>
      </c>
      <c r="H62" s="827"/>
      <c r="I62" s="827"/>
      <c r="J62" s="829"/>
      <c r="O62" s="1202"/>
    </row>
    <row r="63" spans="1:19" ht="24.95" customHeight="1" thickBot="1" x14ac:dyDescent="0.3">
      <c r="A63" s="975" t="s">
        <v>968</v>
      </c>
      <c r="B63" s="1002" t="s">
        <v>1018</v>
      </c>
      <c r="C63" s="977" t="s">
        <v>685</v>
      </c>
      <c r="D63" s="978">
        <v>6</v>
      </c>
      <c r="E63" s="849"/>
      <c r="F63" s="980" t="s">
        <v>1019</v>
      </c>
      <c r="G63" s="990">
        <f>'Tinh vat tu'!H83</f>
        <v>0</v>
      </c>
      <c r="H63" s="827"/>
      <c r="I63" s="827"/>
      <c r="J63" s="829"/>
    </row>
    <row r="64" spans="1:19" ht="24.95" customHeight="1" thickBot="1" x14ac:dyDescent="0.3">
      <c r="A64" s="975" t="s">
        <v>969</v>
      </c>
      <c r="B64" s="1002" t="s">
        <v>3989</v>
      </c>
      <c r="C64" s="977" t="s">
        <v>685</v>
      </c>
      <c r="D64" s="983">
        <v>10</v>
      </c>
      <c r="E64" s="991"/>
      <c r="F64" s="980" t="s">
        <v>1019</v>
      </c>
      <c r="G64" s="983">
        <f>'Tinh vat tu'!K83</f>
        <v>12</v>
      </c>
      <c r="H64" s="827"/>
      <c r="I64" s="827"/>
      <c r="J64" s="829"/>
      <c r="O64" s="1202"/>
      <c r="Q64" s="999" t="s">
        <v>3665</v>
      </c>
      <c r="S64" s="999" t="s">
        <v>3666</v>
      </c>
    </row>
    <row r="65" spans="1:19" ht="24.95" customHeight="1" x14ac:dyDescent="0.25">
      <c r="A65" s="814" t="s">
        <v>181</v>
      </c>
      <c r="B65" s="822" t="s">
        <v>3530</v>
      </c>
      <c r="C65" s="1032"/>
      <c r="D65" s="779"/>
      <c r="E65" s="831"/>
      <c r="F65" s="817"/>
      <c r="G65" s="818"/>
      <c r="H65" s="827"/>
      <c r="I65" s="799"/>
      <c r="J65" s="801"/>
      <c r="O65" s="1202"/>
      <c r="Q65" s="1000" t="s">
        <v>3667</v>
      </c>
      <c r="S65" s="1000" t="s">
        <v>3705</v>
      </c>
    </row>
    <row r="66" spans="1:19" ht="24.95" customHeight="1" x14ac:dyDescent="0.25">
      <c r="A66" s="819" t="s">
        <v>935</v>
      </c>
      <c r="B66" s="794" t="s">
        <v>3531</v>
      </c>
      <c r="C66" s="1356" t="str">
        <f>IF(OR('Tinh vat tu'!K2=2,'Tinh vat tu'!K2=3),"Loại cho kiểu kín","Loại cho kiểu hở")</f>
        <v>Loại cho kiểu kín</v>
      </c>
      <c r="D66" s="1357"/>
      <c r="E66" s="1358"/>
      <c r="F66" s="807" t="s">
        <v>1019</v>
      </c>
      <c r="G66" s="832">
        <v>1</v>
      </c>
      <c r="H66" s="827"/>
      <c r="I66" s="799"/>
      <c r="J66" s="801"/>
      <c r="Q66" s="1000" t="s">
        <v>3668</v>
      </c>
      <c r="S66" s="1000" t="s">
        <v>3669</v>
      </c>
    </row>
    <row r="67" spans="1:19" ht="24.95" customHeight="1" x14ac:dyDescent="0.25">
      <c r="A67" s="819" t="s">
        <v>936</v>
      </c>
      <c r="B67" s="794" t="s">
        <v>3532</v>
      </c>
      <c r="C67" s="1362" t="s">
        <v>953</v>
      </c>
      <c r="D67" s="1363"/>
      <c r="E67" s="1364"/>
      <c r="F67" s="807" t="s">
        <v>1019</v>
      </c>
      <c r="G67" s="832">
        <v>1</v>
      </c>
      <c r="H67" s="827"/>
      <c r="I67" s="799"/>
      <c r="J67" s="801"/>
      <c r="O67" s="1202"/>
      <c r="Q67" s="614" t="s">
        <v>4342</v>
      </c>
      <c r="S67" s="1000" t="s">
        <v>3905</v>
      </c>
    </row>
    <row r="68" spans="1:19" ht="24.95" customHeight="1" x14ac:dyDescent="0.25">
      <c r="A68" s="819" t="s">
        <v>937</v>
      </c>
      <c r="B68" s="794" t="s">
        <v>999</v>
      </c>
      <c r="C68" s="806">
        <f>IF(OR('Tinh vat tu'!K2=2,'Tinh vat tu'!K2=3),0,Sheet2!H115)</f>
        <v>0</v>
      </c>
      <c r="D68" s="614" t="s">
        <v>1022</v>
      </c>
      <c r="E68" s="834">
        <f>IF(OR('Tinh vat tu'!K2=2,'Tinh vat tu'!K2=3),0,Sheet2!I115)</f>
        <v>0</v>
      </c>
      <c r="F68" s="807" t="s">
        <v>1689</v>
      </c>
      <c r="G68" s="833">
        <f>IF('Tinh vat tu'!K2=1,1,0)</f>
        <v>0</v>
      </c>
      <c r="H68" s="799"/>
      <c r="I68" s="799"/>
      <c r="J68" s="801"/>
      <c r="O68" s="1202"/>
      <c r="Q68" s="1000" t="s">
        <v>3670</v>
      </c>
      <c r="S68" s="614" t="s">
        <v>4343</v>
      </c>
    </row>
    <row r="69" spans="1:19" ht="24.95" customHeight="1" x14ac:dyDescent="0.25">
      <c r="A69" s="819" t="s">
        <v>938</v>
      </c>
      <c r="B69" s="820" t="s">
        <v>3533</v>
      </c>
      <c r="C69" s="778"/>
      <c r="D69" s="835" t="s">
        <v>954</v>
      </c>
      <c r="E69" s="836">
        <v>120</v>
      </c>
      <c r="F69" s="807" t="s">
        <v>1689</v>
      </c>
      <c r="G69" s="837">
        <v>0</v>
      </c>
      <c r="H69" s="799"/>
      <c r="I69" s="799"/>
      <c r="J69" s="801"/>
      <c r="O69" s="1202"/>
      <c r="Q69" s="1000"/>
      <c r="S69" s="1000" t="s">
        <v>3670</v>
      </c>
    </row>
    <row r="70" spans="1:19" ht="24.95" customHeight="1" x14ac:dyDescent="0.25">
      <c r="A70" s="819" t="s">
        <v>939</v>
      </c>
      <c r="B70" s="820" t="s">
        <v>955</v>
      </c>
      <c r="C70" s="1353" t="s">
        <v>3670</v>
      </c>
      <c r="D70" s="1354"/>
      <c r="E70" s="1355"/>
      <c r="F70" s="807" t="s">
        <v>1019</v>
      </c>
      <c r="G70" s="832">
        <f>IF(C70="KHÔNG DÙNG",0,1)</f>
        <v>0</v>
      </c>
      <c r="H70" s="799"/>
      <c r="I70" s="799"/>
      <c r="J70" s="801"/>
      <c r="O70" s="1202"/>
      <c r="Q70" s="1000"/>
      <c r="S70" s="1000"/>
    </row>
    <row r="71" spans="1:19" ht="24.95" customHeight="1" x14ac:dyDescent="0.25">
      <c r="A71" s="819" t="s">
        <v>940</v>
      </c>
      <c r="B71" s="820" t="s">
        <v>3534</v>
      </c>
      <c r="C71" s="1365" t="s">
        <v>3670</v>
      </c>
      <c r="D71" s="1366"/>
      <c r="E71" s="1367"/>
      <c r="F71" s="807" t="s">
        <v>1019</v>
      </c>
      <c r="G71" s="832">
        <f>IF(C71="KHÔNG DÙNG",0,1)</f>
        <v>0</v>
      </c>
      <c r="H71" s="799"/>
      <c r="I71" s="799"/>
      <c r="J71" s="801"/>
      <c r="Q71" s="1000"/>
      <c r="S71" s="1000"/>
    </row>
    <row r="72" spans="1:19" ht="24.95" customHeight="1" thickBot="1" x14ac:dyDescent="0.3">
      <c r="A72" s="819" t="s">
        <v>941</v>
      </c>
      <c r="B72" s="820" t="s">
        <v>3535</v>
      </c>
      <c r="C72" s="838"/>
      <c r="D72" s="839"/>
      <c r="E72" s="816"/>
      <c r="F72" s="807" t="s">
        <v>1689</v>
      </c>
      <c r="G72" s="832">
        <v>0</v>
      </c>
      <c r="H72" s="799"/>
      <c r="I72" s="799"/>
      <c r="J72" s="801"/>
      <c r="O72" s="1202"/>
      <c r="Q72" s="1001"/>
      <c r="S72" s="1001"/>
    </row>
    <row r="73" spans="1:19" ht="24.95" customHeight="1" x14ac:dyDescent="0.25">
      <c r="A73" s="814" t="s">
        <v>151</v>
      </c>
      <c r="B73" s="822" t="s">
        <v>3536</v>
      </c>
      <c r="C73" s="1032"/>
      <c r="D73" s="779"/>
      <c r="E73" s="831"/>
      <c r="F73" s="817"/>
      <c r="G73" s="818"/>
      <c r="H73" s="799"/>
      <c r="I73" s="799"/>
      <c r="J73" s="801"/>
      <c r="O73" s="1202"/>
    </row>
    <row r="74" spans="1:19" ht="24.95" customHeight="1" x14ac:dyDescent="0.25">
      <c r="A74" s="819" t="s">
        <v>935</v>
      </c>
      <c r="B74" s="840" t="s">
        <v>956</v>
      </c>
      <c r="C74" s="1032"/>
      <c r="D74" s="779"/>
      <c r="E74" s="831"/>
      <c r="F74" s="817" t="s">
        <v>943</v>
      </c>
      <c r="G74" s="841">
        <v>0.6</v>
      </c>
      <c r="H74" s="799"/>
      <c r="I74" s="799"/>
      <c r="J74" s="801"/>
      <c r="O74" s="1202"/>
    </row>
    <row r="75" spans="1:19" ht="24.95" customHeight="1" x14ac:dyDescent="0.25">
      <c r="A75" s="819" t="s">
        <v>936</v>
      </c>
      <c r="B75" s="840" t="s">
        <v>957</v>
      </c>
      <c r="C75" s="1032"/>
      <c r="D75" s="779"/>
      <c r="E75" s="831"/>
      <c r="F75" s="817" t="s">
        <v>2085</v>
      </c>
      <c r="G75" s="841">
        <v>2</v>
      </c>
      <c r="H75" s="799"/>
      <c r="I75" s="799"/>
      <c r="J75" s="801"/>
      <c r="O75" s="1202"/>
    </row>
    <row r="76" spans="1:19" ht="24.95" customHeight="1" x14ac:dyDescent="0.25">
      <c r="A76" s="819" t="s">
        <v>937</v>
      </c>
      <c r="B76" s="840" t="s">
        <v>3537</v>
      </c>
      <c r="C76" s="1032"/>
      <c r="D76" s="779"/>
      <c r="E76" s="831"/>
      <c r="F76" s="817" t="s">
        <v>943</v>
      </c>
      <c r="G76" s="841">
        <v>0.39078481130186798</v>
      </c>
      <c r="H76" s="799"/>
      <c r="I76" s="799"/>
      <c r="J76" s="801"/>
      <c r="O76" s="1202"/>
    </row>
    <row r="77" spans="1:19" ht="24.95" customHeight="1" x14ac:dyDescent="0.25">
      <c r="A77" s="819" t="s">
        <v>938</v>
      </c>
      <c r="B77" s="840" t="s">
        <v>3538</v>
      </c>
      <c r="C77" s="1032"/>
      <c r="D77" s="779"/>
      <c r="E77" s="831"/>
      <c r="F77" s="817" t="s">
        <v>3552</v>
      </c>
      <c r="G77" s="841">
        <v>14</v>
      </c>
      <c r="H77" s="799"/>
      <c r="I77" s="799"/>
      <c r="J77" s="801"/>
      <c r="O77" s="1202"/>
    </row>
    <row r="78" spans="1:19" ht="24.95" customHeight="1" x14ac:dyDescent="0.25">
      <c r="A78" s="819" t="s">
        <v>939</v>
      </c>
      <c r="B78" s="840" t="s">
        <v>3539</v>
      </c>
      <c r="C78" s="1032"/>
      <c r="D78" s="779"/>
      <c r="E78" s="831"/>
      <c r="F78" s="817" t="s">
        <v>3552</v>
      </c>
      <c r="G78" s="841">
        <v>5</v>
      </c>
      <c r="H78" s="799"/>
      <c r="I78" s="799"/>
      <c r="J78" s="801"/>
      <c r="O78" s="1202"/>
    </row>
    <row r="79" spans="1:19" ht="24.95" customHeight="1" x14ac:dyDescent="0.25">
      <c r="A79" s="819" t="s">
        <v>940</v>
      </c>
      <c r="B79" s="794" t="s">
        <v>4294</v>
      </c>
      <c r="C79" s="1213"/>
      <c r="D79" s="1214" t="str">
        <f>Sheet3!F291&amp;" kg"</f>
        <v>0 kg</v>
      </c>
      <c r="E79" s="972"/>
      <c r="F79" s="807" t="s">
        <v>1701</v>
      </c>
      <c r="G79" s="971">
        <f>IF(Sheet3!F291=0,0,1)</f>
        <v>0</v>
      </c>
      <c r="H79" s="799"/>
      <c r="I79" s="799"/>
      <c r="J79" s="801"/>
      <c r="O79" s="1202"/>
    </row>
    <row r="80" spans="1:19" ht="30.75" customHeight="1" x14ac:dyDescent="0.25">
      <c r="A80" s="819" t="s">
        <v>941</v>
      </c>
      <c r="B80" s="843" t="s">
        <v>3540</v>
      </c>
      <c r="C80" s="1033"/>
      <c r="D80" s="844"/>
      <c r="E80" s="1033"/>
      <c r="F80" s="807" t="s">
        <v>1019</v>
      </c>
      <c r="G80" s="845"/>
      <c r="H80" s="799"/>
      <c r="I80" s="799"/>
      <c r="J80" s="801"/>
      <c r="K80" s="614">
        <f>Sheet3!F265</f>
        <v>459.375</v>
      </c>
      <c r="L80" s="954">
        <v>25</v>
      </c>
      <c r="O80" s="1202"/>
    </row>
    <row r="81" spans="1:16" ht="24.95" customHeight="1" x14ac:dyDescent="0.25">
      <c r="A81" s="819" t="s">
        <v>942</v>
      </c>
      <c r="B81" s="846" t="s">
        <v>3541</v>
      </c>
      <c r="C81" s="1033"/>
      <c r="D81" s="844"/>
      <c r="E81" s="1033"/>
      <c r="F81" s="807" t="s">
        <v>1019</v>
      </c>
      <c r="G81" s="845"/>
      <c r="H81" s="799"/>
      <c r="I81" s="799"/>
      <c r="J81" s="801"/>
      <c r="L81" s="777"/>
      <c r="O81" s="1202"/>
    </row>
    <row r="82" spans="1:16" ht="29.25" customHeight="1" x14ac:dyDescent="0.25">
      <c r="A82" s="819">
        <v>9</v>
      </c>
      <c r="B82" s="794" t="s">
        <v>3920</v>
      </c>
      <c r="C82" s="1035">
        <f>IF(Sheet5!B18&lt;35,24,30)</f>
        <v>24</v>
      </c>
      <c r="D82" s="847" t="s">
        <v>3858</v>
      </c>
      <c r="E82" s="842" t="s">
        <v>3930</v>
      </c>
      <c r="F82" s="615" t="s">
        <v>1951</v>
      </c>
      <c r="G82" s="615">
        <v>3</v>
      </c>
      <c r="I82" s="799"/>
      <c r="J82" s="801" t="str">
        <f>Sheet3!E264</f>
        <v xml:space="preserve"> Sứ 22 kV CD đường rò 600</v>
      </c>
      <c r="L82" s="777"/>
      <c r="O82" s="1202"/>
    </row>
    <row r="83" spans="1:16" ht="24.95" customHeight="1" x14ac:dyDescent="0.25">
      <c r="A83" s="819" t="s">
        <v>947</v>
      </c>
      <c r="B83" s="794" t="s">
        <v>3542</v>
      </c>
      <c r="C83" s="1035"/>
      <c r="D83" s="806"/>
      <c r="E83" s="842"/>
      <c r="F83" s="807" t="s">
        <v>1019</v>
      </c>
      <c r="G83" s="615">
        <f>G82</f>
        <v>3</v>
      </c>
      <c r="H83" s="799"/>
      <c r="I83" s="799"/>
      <c r="J83" s="801"/>
      <c r="L83" s="777"/>
      <c r="O83" s="1202"/>
    </row>
    <row r="84" spans="1:16" ht="24.95" customHeight="1" x14ac:dyDescent="0.25">
      <c r="A84" s="819" t="s">
        <v>948</v>
      </c>
      <c r="B84" s="794" t="s">
        <v>3543</v>
      </c>
      <c r="C84" s="1035">
        <f>C82</f>
        <v>24</v>
      </c>
      <c r="D84" s="806" t="str">
        <f>D82</f>
        <v>KV</v>
      </c>
      <c r="E84" s="842" t="str">
        <f>E82</f>
        <v>250A</v>
      </c>
      <c r="F84" s="807" t="s">
        <v>1019</v>
      </c>
      <c r="G84" s="615">
        <f>IF(I82="sứ nhựa",0,G83)</f>
        <v>3</v>
      </c>
      <c r="H84" s="799"/>
      <c r="I84" s="799"/>
      <c r="J84" s="801"/>
      <c r="L84" s="777"/>
      <c r="O84" s="1202"/>
    </row>
    <row r="85" spans="1:16" ht="24.95" customHeight="1" x14ac:dyDescent="0.25">
      <c r="A85" s="819" t="s">
        <v>949</v>
      </c>
      <c r="B85" s="794" t="s">
        <v>3544</v>
      </c>
      <c r="C85" s="1035"/>
      <c r="D85" s="806"/>
      <c r="E85" s="1035"/>
      <c r="F85" s="807" t="s">
        <v>1019</v>
      </c>
      <c r="G85" s="615">
        <f>G82*4</f>
        <v>12</v>
      </c>
      <c r="H85" s="799"/>
      <c r="I85" s="799"/>
      <c r="J85" s="801"/>
      <c r="L85" s="777"/>
      <c r="O85" s="1202"/>
    </row>
    <row r="86" spans="1:16" ht="24.95" customHeight="1" x14ac:dyDescent="0.25">
      <c r="A86" s="819" t="s">
        <v>950</v>
      </c>
      <c r="B86" s="794" t="s">
        <v>3545</v>
      </c>
      <c r="C86" s="1035">
        <v>1</v>
      </c>
      <c r="D86" s="806" t="s">
        <v>3858</v>
      </c>
      <c r="E86" s="1035" t="str">
        <f>Sheet2!G28</f>
        <v>M12-250A</v>
      </c>
      <c r="F86" s="807" t="s">
        <v>1689</v>
      </c>
      <c r="G86" s="615">
        <f>4*'Tinh vat tu'!L6</f>
        <v>4</v>
      </c>
      <c r="H86" s="799"/>
      <c r="I86" s="799"/>
      <c r="J86" s="801"/>
      <c r="L86" s="777"/>
      <c r="O86" s="1202"/>
    </row>
    <row r="87" spans="1:16" ht="24.95" customHeight="1" x14ac:dyDescent="0.25">
      <c r="A87" s="1009" t="s">
        <v>951</v>
      </c>
      <c r="B87" s="1008" t="s">
        <v>3546</v>
      </c>
      <c r="C87" s="1035">
        <f>C86</f>
        <v>1</v>
      </c>
      <c r="D87" s="806" t="str">
        <f>D86</f>
        <v>KV</v>
      </c>
      <c r="E87" s="1035" t="str">
        <f>E86</f>
        <v>M12-250A</v>
      </c>
      <c r="F87" s="807" t="s">
        <v>1689</v>
      </c>
      <c r="G87" s="615">
        <f>G86</f>
        <v>4</v>
      </c>
      <c r="H87" s="799"/>
      <c r="I87" s="799"/>
      <c r="J87" s="623" t="str">
        <f>IF(E86="M12-250A","đồng vàng","đồng đỏ")</f>
        <v>đồng vàng</v>
      </c>
      <c r="L87" s="1106"/>
      <c r="O87" s="1202"/>
    </row>
    <row r="88" spans="1:16" ht="24.95" customHeight="1" x14ac:dyDescent="0.25">
      <c r="A88" s="1009" t="s">
        <v>952</v>
      </c>
      <c r="B88" s="1010" t="str">
        <f>"Đầu cốt"&amp;" "&amp;IF(Sheet5!B17&lt;750,"đơn","kép")</f>
        <v>Đầu cốt đơn</v>
      </c>
      <c r="F88" s="807" t="s">
        <v>1019</v>
      </c>
      <c r="G88" s="845">
        <v>0</v>
      </c>
      <c r="H88" s="799"/>
      <c r="I88" s="799"/>
      <c r="J88" s="801"/>
      <c r="O88" s="1202"/>
    </row>
    <row r="89" spans="1:16" ht="24.95" customHeight="1" x14ac:dyDescent="0.25">
      <c r="A89" s="819" t="s">
        <v>958</v>
      </c>
      <c r="B89" s="848" t="s">
        <v>3547</v>
      </c>
      <c r="C89" s="1035">
        <f>IF(C82=24,22,35)</f>
        <v>22</v>
      </c>
      <c r="D89" s="806" t="str">
        <f>D87</f>
        <v>KV</v>
      </c>
      <c r="E89" s="1036"/>
      <c r="F89" s="807" t="s">
        <v>1019</v>
      </c>
      <c r="G89" s="845">
        <v>0</v>
      </c>
      <c r="H89" s="799"/>
      <c r="I89" s="799"/>
      <c r="J89" s="801"/>
    </row>
    <row r="90" spans="1:16" ht="24.95" customHeight="1" x14ac:dyDescent="0.25">
      <c r="A90" s="819" t="s">
        <v>959</v>
      </c>
      <c r="B90" s="846" t="s">
        <v>3647</v>
      </c>
      <c r="C90" s="1032"/>
      <c r="D90" s="779"/>
      <c r="E90" s="1032"/>
      <c r="F90" s="807" t="s">
        <v>1019</v>
      </c>
      <c r="G90" s="845">
        <v>0</v>
      </c>
      <c r="H90" s="799"/>
      <c r="I90" s="799"/>
      <c r="J90" s="801"/>
      <c r="O90" s="1202"/>
    </row>
    <row r="91" spans="1:16" ht="24.95" customHeight="1" x14ac:dyDescent="0.3">
      <c r="A91" s="819" t="s">
        <v>960</v>
      </c>
      <c r="B91" s="840" t="s">
        <v>3548</v>
      </c>
      <c r="C91" s="1032"/>
      <c r="D91" s="779"/>
      <c r="E91" s="1032"/>
      <c r="F91" s="807" t="s">
        <v>1019</v>
      </c>
      <c r="G91" s="845">
        <v>1</v>
      </c>
      <c r="H91" s="799"/>
      <c r="I91" s="799"/>
      <c r="J91" s="801"/>
      <c r="O91" s="1201" t="s">
        <v>3903</v>
      </c>
      <c r="P91" s="1196" t="s">
        <v>3904</v>
      </c>
    </row>
    <row r="92" spans="1:16" ht="24.95" customHeight="1" x14ac:dyDescent="0.25">
      <c r="A92" s="819" t="s">
        <v>961</v>
      </c>
      <c r="B92" s="840" t="s">
        <v>3549</v>
      </c>
      <c r="C92" s="1032"/>
      <c r="D92" s="779"/>
      <c r="E92" s="1032"/>
      <c r="F92" s="807" t="s">
        <v>1019</v>
      </c>
      <c r="G92" s="845">
        <v>2</v>
      </c>
      <c r="H92" s="799"/>
      <c r="I92" s="799"/>
      <c r="J92" s="801"/>
      <c r="O92" s="1199" t="s">
        <v>3897</v>
      </c>
      <c r="P92" s="1206" t="s">
        <v>3898</v>
      </c>
    </row>
    <row r="93" spans="1:16" ht="24.95" customHeight="1" x14ac:dyDescent="0.25">
      <c r="A93" s="819" t="s">
        <v>962</v>
      </c>
      <c r="B93" s="840" t="s">
        <v>3662</v>
      </c>
      <c r="C93" s="1032"/>
      <c r="D93" s="779"/>
      <c r="E93" s="1032"/>
      <c r="F93" s="807" t="s">
        <v>1019</v>
      </c>
      <c r="G93" s="845">
        <v>1</v>
      </c>
      <c r="H93" s="799"/>
      <c r="I93" s="799"/>
      <c r="J93" s="801"/>
      <c r="O93" s="1199" t="s">
        <v>3901</v>
      </c>
      <c r="P93" s="1206" t="s">
        <v>3902</v>
      </c>
    </row>
    <row r="94" spans="1:16" ht="24.95" customHeight="1" x14ac:dyDescent="0.25">
      <c r="A94" s="819" t="s">
        <v>963</v>
      </c>
      <c r="B94" s="1024" t="s">
        <v>4371</v>
      </c>
      <c r="C94" s="1032"/>
      <c r="D94" s="779"/>
      <c r="E94" s="1032"/>
      <c r="F94" s="807" t="s">
        <v>1019</v>
      </c>
      <c r="G94" s="845">
        <v>0</v>
      </c>
      <c r="H94" s="799"/>
      <c r="I94" s="799"/>
      <c r="J94" s="801"/>
      <c r="O94" s="1202" t="s">
        <v>3895</v>
      </c>
      <c r="P94" s="1198" t="s">
        <v>3896</v>
      </c>
    </row>
    <row r="95" spans="1:16" ht="24.95" customHeight="1" x14ac:dyDescent="0.25">
      <c r="A95" s="819" t="s">
        <v>964</v>
      </c>
      <c r="B95" s="992" t="s">
        <v>3660</v>
      </c>
      <c r="C95" s="1032"/>
      <c r="D95" s="779"/>
      <c r="E95" s="1032"/>
      <c r="F95" s="807" t="s">
        <v>1019</v>
      </c>
      <c r="G95" s="845">
        <v>0</v>
      </c>
      <c r="H95" s="799"/>
      <c r="I95" s="799"/>
      <c r="J95" s="801"/>
      <c r="O95" s="1202" t="s">
        <v>3893</v>
      </c>
      <c r="P95" s="1198" t="s">
        <v>3894</v>
      </c>
    </row>
    <row r="96" spans="1:16" ht="24.95" customHeight="1" x14ac:dyDescent="0.25">
      <c r="A96" s="819" t="s">
        <v>965</v>
      </c>
      <c r="B96" s="992" t="s">
        <v>3661</v>
      </c>
      <c r="C96" s="1032"/>
      <c r="D96" s="779"/>
      <c r="E96" s="1032"/>
      <c r="F96" s="807" t="s">
        <v>1019</v>
      </c>
      <c r="G96" s="845">
        <v>0</v>
      </c>
      <c r="H96" s="799"/>
      <c r="I96" s="799"/>
      <c r="J96" s="801"/>
      <c r="O96" s="1199" t="s">
        <v>3899</v>
      </c>
      <c r="P96" s="1206" t="s">
        <v>3900</v>
      </c>
    </row>
    <row r="97" spans="1:16" ht="24.95" customHeight="1" x14ac:dyDescent="0.25">
      <c r="A97" s="819" t="s">
        <v>966</v>
      </c>
      <c r="B97" s="846" t="s">
        <v>3645</v>
      </c>
      <c r="C97" s="1032"/>
      <c r="D97" s="779"/>
      <c r="E97" s="1032"/>
      <c r="F97" s="807" t="s">
        <v>1019</v>
      </c>
      <c r="G97" s="845">
        <v>2</v>
      </c>
      <c r="H97" s="799"/>
      <c r="I97" s="799"/>
      <c r="J97" s="801"/>
      <c r="O97" s="1202"/>
    </row>
    <row r="98" spans="1:16" ht="24.95" customHeight="1" x14ac:dyDescent="0.25">
      <c r="A98" s="819" t="s">
        <v>967</v>
      </c>
      <c r="B98" s="794" t="s">
        <v>3651</v>
      </c>
      <c r="C98" s="973">
        <f>'Sua R'!B10</f>
        <v>30</v>
      </c>
      <c r="D98" s="1035" t="str">
        <f>D99</f>
        <v>x</v>
      </c>
      <c r="E98" s="850">
        <f>'Sua R'!C10</f>
        <v>3</v>
      </c>
      <c r="F98" s="1036" t="s">
        <v>943</v>
      </c>
      <c r="G98" s="841">
        <f>'Tinh vat tu'!P42</f>
        <v>0.7</v>
      </c>
      <c r="H98" s="799"/>
      <c r="I98" s="799"/>
      <c r="J98" s="801"/>
    </row>
    <row r="99" spans="1:16" ht="24.95" customHeight="1" x14ac:dyDescent="0.25">
      <c r="A99" s="819" t="s">
        <v>968</v>
      </c>
      <c r="B99" s="794" t="s">
        <v>3550</v>
      </c>
      <c r="C99" s="973">
        <f>Sheet5!B22</f>
        <v>30</v>
      </c>
      <c r="D99" s="1035" t="s">
        <v>1022</v>
      </c>
      <c r="E99" s="850">
        <f>Sheet5!B23</f>
        <v>3</v>
      </c>
      <c r="F99" s="1036" t="s">
        <v>943</v>
      </c>
      <c r="G99" s="851">
        <f>'Tinh vat tu'!P48*3+'Tinh vat tu'!S48*3</f>
        <v>1.7999999999999998</v>
      </c>
      <c r="H99" s="799"/>
      <c r="I99" s="799"/>
      <c r="J99" s="801"/>
      <c r="O99" s="1202"/>
    </row>
    <row r="100" spans="1:16" ht="24.95" customHeight="1" x14ac:dyDescent="0.25">
      <c r="A100" s="819" t="s">
        <v>969</v>
      </c>
      <c r="B100" s="852" t="s">
        <v>3646</v>
      </c>
      <c r="C100" s="997"/>
      <c r="D100" s="997"/>
      <c r="E100" s="1012"/>
      <c r="F100" s="1036" t="s">
        <v>943</v>
      </c>
      <c r="G100" s="974"/>
      <c r="H100" s="799"/>
      <c r="I100" s="799"/>
      <c r="J100" s="801"/>
      <c r="O100" s="1202"/>
    </row>
    <row r="101" spans="1:16" ht="24.95" customHeight="1" x14ac:dyDescent="0.25">
      <c r="A101" s="819" t="s">
        <v>3401</v>
      </c>
      <c r="B101" s="993" t="s">
        <v>3607</v>
      </c>
      <c r="C101" s="994">
        <v>120</v>
      </c>
      <c r="D101" s="978" t="s">
        <v>1020</v>
      </c>
      <c r="E101" s="985"/>
      <c r="F101" s="1011" t="s">
        <v>943</v>
      </c>
      <c r="G101" s="995">
        <f>'Tinh vat tu'!T75</f>
        <v>3.971184</v>
      </c>
      <c r="H101" s="799"/>
      <c r="I101" s="799"/>
      <c r="J101" s="801"/>
      <c r="O101" s="1202" t="s">
        <v>3870</v>
      </c>
      <c r="P101" s="1198" t="s">
        <v>3871</v>
      </c>
    </row>
    <row r="102" spans="1:16" ht="24.95" customHeight="1" x14ac:dyDescent="0.25">
      <c r="A102" s="819" t="s">
        <v>3402</v>
      </c>
      <c r="B102" s="993" t="s">
        <v>3607</v>
      </c>
      <c r="C102" s="994">
        <v>95</v>
      </c>
      <c r="D102" s="978" t="s">
        <v>1020</v>
      </c>
      <c r="E102" s="849"/>
      <c r="F102" s="980" t="s">
        <v>943</v>
      </c>
      <c r="G102" s="995">
        <f>'Tinh vat tu'!T76</f>
        <v>0.80926699999999996</v>
      </c>
      <c r="H102" s="799"/>
      <c r="I102" s="799"/>
      <c r="J102" s="801"/>
      <c r="O102" s="1202" t="s">
        <v>3878</v>
      </c>
      <c r="P102" s="1198" t="s">
        <v>3879</v>
      </c>
    </row>
    <row r="103" spans="1:16" ht="24.95" customHeight="1" x14ac:dyDescent="0.25">
      <c r="A103" s="819" t="s">
        <v>3403</v>
      </c>
      <c r="B103" s="993" t="s">
        <v>3607</v>
      </c>
      <c r="C103" s="994">
        <v>70</v>
      </c>
      <c r="D103" s="978" t="s">
        <v>1020</v>
      </c>
      <c r="E103" s="849"/>
      <c r="F103" s="980" t="s">
        <v>943</v>
      </c>
      <c r="G103" s="995">
        <f>'Tinh vat tu'!T77</f>
        <v>0.646254</v>
      </c>
      <c r="H103" s="799"/>
      <c r="I103" s="799"/>
      <c r="J103" s="801"/>
      <c r="K103" s="632"/>
      <c r="O103" s="1202" t="s">
        <v>3876</v>
      </c>
      <c r="P103" s="1198" t="s">
        <v>3877</v>
      </c>
    </row>
    <row r="104" spans="1:16" ht="24.95" customHeight="1" x14ac:dyDescent="0.25">
      <c r="A104" s="819" t="s">
        <v>3404</v>
      </c>
      <c r="B104" s="993" t="s">
        <v>3607</v>
      </c>
      <c r="C104" s="994">
        <v>50</v>
      </c>
      <c r="D104" s="978" t="s">
        <v>1020</v>
      </c>
      <c r="E104" s="849"/>
      <c r="F104" s="980" t="s">
        <v>943</v>
      </c>
      <c r="G104" s="995">
        <f>'Tinh vat tu'!T78</f>
        <v>0</v>
      </c>
      <c r="H104" s="799"/>
      <c r="I104" s="799"/>
      <c r="J104" s="801"/>
      <c r="O104" s="1202" t="s">
        <v>3874</v>
      </c>
      <c r="P104" s="1198" t="s">
        <v>3875</v>
      </c>
    </row>
    <row r="105" spans="1:16" ht="24.95" customHeight="1" x14ac:dyDescent="0.25">
      <c r="A105" s="819" t="s">
        <v>3405</v>
      </c>
      <c r="B105" s="993" t="s">
        <v>3607</v>
      </c>
      <c r="C105" s="994">
        <v>35</v>
      </c>
      <c r="D105" s="978" t="s">
        <v>1020</v>
      </c>
      <c r="E105" s="849"/>
      <c r="F105" s="980" t="s">
        <v>943</v>
      </c>
      <c r="G105" s="995">
        <f>'Tinh vat tu'!T79</f>
        <v>0</v>
      </c>
      <c r="H105" s="799"/>
      <c r="I105" s="799"/>
      <c r="J105" s="801"/>
      <c r="L105" s="775"/>
      <c r="O105" s="1202" t="s">
        <v>3872</v>
      </c>
      <c r="P105" s="1198" t="s">
        <v>3873</v>
      </c>
    </row>
    <row r="106" spans="1:16" ht="24.95" customHeight="1" x14ac:dyDescent="0.25">
      <c r="A106" s="819" t="s">
        <v>3406</v>
      </c>
      <c r="B106" s="996" t="s">
        <v>3608</v>
      </c>
      <c r="C106" s="994">
        <v>120</v>
      </c>
      <c r="D106" s="978" t="s">
        <v>1020</v>
      </c>
      <c r="E106" s="849"/>
      <c r="F106" s="980" t="s">
        <v>1019</v>
      </c>
      <c r="G106" s="1025">
        <f>'Tinh vat tu'!T68*2</f>
        <v>20</v>
      </c>
      <c r="H106" s="799"/>
      <c r="I106" s="799"/>
      <c r="J106" s="801"/>
      <c r="O106" s="1199" t="s">
        <v>3888</v>
      </c>
      <c r="P106" s="1198" t="s">
        <v>3889</v>
      </c>
    </row>
    <row r="107" spans="1:16" ht="24.95" customHeight="1" x14ac:dyDescent="0.25">
      <c r="A107" s="819" t="s">
        <v>3606</v>
      </c>
      <c r="B107" s="996" t="s">
        <v>3608</v>
      </c>
      <c r="C107" s="994">
        <v>95</v>
      </c>
      <c r="D107" s="978" t="s">
        <v>1020</v>
      </c>
      <c r="E107" s="849"/>
      <c r="F107" s="980" t="s">
        <v>1019</v>
      </c>
      <c r="G107" s="1025">
        <f>'Tinh vat tu'!T69*2</f>
        <v>6</v>
      </c>
      <c r="H107" s="799"/>
      <c r="I107" s="799"/>
      <c r="J107" s="801"/>
      <c r="L107" s="775"/>
      <c r="O107" s="1199" t="s">
        <v>3886</v>
      </c>
      <c r="P107" s="1198" t="s">
        <v>3887</v>
      </c>
    </row>
    <row r="108" spans="1:16" ht="24.95" customHeight="1" x14ac:dyDescent="0.25">
      <c r="A108" s="819" t="s">
        <v>3613</v>
      </c>
      <c r="B108" s="996" t="s">
        <v>3608</v>
      </c>
      <c r="C108" s="994">
        <v>70</v>
      </c>
      <c r="D108" s="978" t="s">
        <v>1020</v>
      </c>
      <c r="E108" s="849"/>
      <c r="F108" s="980" t="s">
        <v>1019</v>
      </c>
      <c r="G108" s="1025">
        <f>'Tinh vat tu'!T70*2</f>
        <v>6</v>
      </c>
      <c r="H108" s="799"/>
      <c r="I108" s="799"/>
      <c r="J108" s="801"/>
      <c r="O108" s="1199" t="s">
        <v>3884</v>
      </c>
      <c r="P108" s="1198" t="s">
        <v>3885</v>
      </c>
    </row>
    <row r="109" spans="1:16" ht="24.95" customHeight="1" x14ac:dyDescent="0.25">
      <c r="A109" s="819" t="s">
        <v>3648</v>
      </c>
      <c r="B109" s="996" t="s">
        <v>3608</v>
      </c>
      <c r="C109" s="994">
        <v>50</v>
      </c>
      <c r="D109" s="978" t="s">
        <v>1020</v>
      </c>
      <c r="E109" s="849"/>
      <c r="F109" s="980" t="s">
        <v>1019</v>
      </c>
      <c r="G109" s="1025">
        <f>'Tinh vat tu'!T71*2</f>
        <v>0</v>
      </c>
      <c r="H109" s="799"/>
      <c r="I109" s="799"/>
      <c r="J109" s="801"/>
      <c r="O109" s="1199" t="s">
        <v>3882</v>
      </c>
      <c r="P109" s="1198" t="s">
        <v>3883</v>
      </c>
    </row>
    <row r="110" spans="1:16" ht="24.95" customHeight="1" x14ac:dyDescent="0.25">
      <c r="A110" s="819" t="s">
        <v>3649</v>
      </c>
      <c r="B110" s="996" t="s">
        <v>3608</v>
      </c>
      <c r="C110" s="994">
        <v>35</v>
      </c>
      <c r="D110" s="978" t="s">
        <v>1020</v>
      </c>
      <c r="E110" s="849"/>
      <c r="F110" s="980" t="s">
        <v>1019</v>
      </c>
      <c r="G110" s="1025">
        <f>'Tinh vat tu'!T72*2</f>
        <v>0</v>
      </c>
      <c r="H110" s="799"/>
      <c r="I110" s="799"/>
      <c r="J110" s="801"/>
      <c r="O110" s="1199" t="s">
        <v>3880</v>
      </c>
      <c r="P110" s="1198" t="s">
        <v>3881</v>
      </c>
    </row>
    <row r="111" spans="1:16" ht="24.95" customHeight="1" x14ac:dyDescent="0.25">
      <c r="A111" s="819" t="s">
        <v>3650</v>
      </c>
      <c r="B111" s="1019" t="s">
        <v>3551</v>
      </c>
      <c r="C111" s="1067" t="s">
        <v>4373</v>
      </c>
      <c r="D111" s="1068"/>
      <c r="E111" s="1069"/>
      <c r="F111" s="1015" t="s">
        <v>1019</v>
      </c>
      <c r="G111" s="1036">
        <v>1</v>
      </c>
      <c r="H111" s="1020"/>
      <c r="I111" s="1021"/>
      <c r="J111" s="1022"/>
    </row>
    <row r="112" spans="1:16" ht="24.95" customHeight="1" thickBot="1" x14ac:dyDescent="0.3">
      <c r="A112" s="1016"/>
      <c r="B112" s="1017"/>
      <c r="C112" s="1359"/>
      <c r="D112" s="1360"/>
      <c r="E112" s="1361"/>
      <c r="F112" s="1013"/>
      <c r="G112" s="1023"/>
      <c r="H112" s="1013"/>
      <c r="I112" s="1014"/>
      <c r="J112" s="1018"/>
    </row>
    <row r="113" spans="2:14" ht="24.95" customHeight="1" thickTop="1" x14ac:dyDescent="0.25">
      <c r="B113" s="780"/>
      <c r="C113" s="781"/>
      <c r="D113" s="782"/>
      <c r="E113" s="782"/>
      <c r="F113" s="785"/>
      <c r="H113" s="1031"/>
      <c r="I113" s="1031"/>
      <c r="J113" s="1031" t="s">
        <v>4337</v>
      </c>
    </row>
    <row r="114" spans="2:14" ht="24.95" customHeight="1" x14ac:dyDescent="0.25">
      <c r="B114" s="853" t="s">
        <v>3553</v>
      </c>
      <c r="C114" s="913" t="s">
        <v>3554</v>
      </c>
      <c r="D114" s="913"/>
      <c r="E114" s="912" t="s">
        <v>3555</v>
      </c>
      <c r="F114" s="912"/>
      <c r="G114" s="912"/>
      <c r="I114" s="911" t="s">
        <v>3556</v>
      </c>
      <c r="J114" s="911"/>
    </row>
    <row r="122" spans="2:14" ht="24.95" customHeight="1" x14ac:dyDescent="0.25">
      <c r="M122" s="614"/>
      <c r="N122" s="614"/>
    </row>
    <row r="123" spans="2:14" ht="24.95" customHeight="1" x14ac:dyDescent="0.25">
      <c r="M123" s="614"/>
      <c r="N123" s="614"/>
    </row>
    <row r="124" spans="2:14" ht="24.95" customHeight="1" x14ac:dyDescent="0.25">
      <c r="M124" s="614"/>
      <c r="N124" s="614"/>
    </row>
    <row r="125" spans="2:14" ht="24.95" customHeight="1" x14ac:dyDescent="0.25">
      <c r="M125" s="614"/>
      <c r="N125" s="614"/>
    </row>
  </sheetData>
  <mergeCells count="17">
    <mergeCell ref="A4:A5"/>
    <mergeCell ref="B4:B5"/>
    <mergeCell ref="C3:E3"/>
    <mergeCell ref="F4:F5"/>
    <mergeCell ref="H1:J2"/>
    <mergeCell ref="G4:G5"/>
    <mergeCell ref="H4:H5"/>
    <mergeCell ref="I4:I5"/>
    <mergeCell ref="J4:J5"/>
    <mergeCell ref="C28:E28"/>
    <mergeCell ref="C24:E24"/>
    <mergeCell ref="C32:E32"/>
    <mergeCell ref="C112:E112"/>
    <mergeCell ref="C66:E66"/>
    <mergeCell ref="C67:E67"/>
    <mergeCell ref="C70:E70"/>
    <mergeCell ref="C71:E71"/>
  </mergeCells>
  <conditionalFormatting sqref="O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{AE614978-B865-41FA-91F2-1B4B015082EC}</x14:id>
        </ext>
      </extLst>
    </cfRule>
  </conditionalFormatting>
  <dataValidations count="2">
    <dataValidation type="list" allowBlank="1" showInputMessage="1" showErrorMessage="1" sqref="C71">
      <formula1>$S$65:$S$72</formula1>
    </dataValidation>
    <dataValidation type="list" allowBlank="1" showInputMessage="1" showErrorMessage="1" sqref="C70">
      <formula1>$Q$65:$Q$72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71" fitToHeight="2" orientation="portrait" verticalDpi="1200" r:id="rId1"/>
  <headerFooter>
    <oddFooter>&amp;R&amp;"Times New Roman,Regular"&amp;13&amp;P</oddFooter>
  </headerFooter>
  <rowBreaks count="2" manualBreakCount="2">
    <brk id="42" max="9" man="1"/>
    <brk id="84" max="9" man="1"/>
  </rowBreak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614978-B865-41FA-91F2-1B4B015082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MaVatTu!$D$2:$D$100</xm:f>
          </x14:formula1>
          <xm:sqref>M17:M20</xm:sqref>
        </x14:dataValidation>
        <x14:dataValidation type="list" allowBlank="1" showInputMessage="1" showErrorMessage="1">
          <x14:formula1>
            <xm:f>MaVatTu!$F$2:$F$100</xm:f>
          </x14:formula1>
          <xm:sqref>N17:N20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H29"/>
  <sheetViews>
    <sheetView workbookViewId="0">
      <selection activeCell="H4" sqref="H4"/>
    </sheetView>
  </sheetViews>
  <sheetFormatPr defaultRowHeight="15" x14ac:dyDescent="0.25"/>
  <cols>
    <col min="1" max="1" width="2" customWidth="1"/>
    <col min="2" max="2" width="16.140625" customWidth="1"/>
    <col min="3" max="3" width="16" customWidth="1"/>
    <col min="4" max="4" width="21.42578125" customWidth="1"/>
    <col min="5" max="5" width="13.28515625" customWidth="1"/>
    <col min="7" max="7" width="13.28515625" customWidth="1"/>
  </cols>
  <sheetData>
    <row r="1" spans="1:8" x14ac:dyDescent="0.25">
      <c r="B1" s="1385" t="s">
        <v>4091</v>
      </c>
      <c r="C1" s="1386"/>
      <c r="D1" s="1386"/>
      <c r="E1" s="1386"/>
      <c r="F1" s="1386"/>
      <c r="G1" s="1387"/>
      <c r="H1" s="204" t="str">
        <f>$B$1&amp;VLOOKUP(VatTu!C17,MaVatTu!$B$2:$C$7,2,FALSE)</f>
        <v>YC</v>
      </c>
    </row>
    <row r="2" spans="1:8" x14ac:dyDescent="0.25">
      <c r="B2" s="362" t="s">
        <v>4272</v>
      </c>
      <c r="C2" s="362" t="s">
        <v>275</v>
      </c>
      <c r="D2" s="362" t="s">
        <v>4273</v>
      </c>
      <c r="E2" s="362">
        <v>1</v>
      </c>
      <c r="F2" s="362" t="s">
        <v>4277</v>
      </c>
      <c r="G2" s="362" t="s">
        <v>153</v>
      </c>
      <c r="H2" s="204" t="str">
        <f>$B$1&amp;VLOOKUP(VatTu!C18,MaVatTu!$B$2:$C$7,2,FALSE)</f>
        <v>YC</v>
      </c>
    </row>
    <row r="3" spans="1:8" x14ac:dyDescent="0.25">
      <c r="A3" s="1109"/>
      <c r="B3" s="362" t="s">
        <v>4284</v>
      </c>
      <c r="C3" s="362" t="s">
        <v>149</v>
      </c>
      <c r="D3" s="362" t="s">
        <v>4274</v>
      </c>
      <c r="E3" s="362">
        <v>2</v>
      </c>
      <c r="F3" s="362" t="s">
        <v>4278</v>
      </c>
      <c r="G3" s="362" t="s">
        <v>181</v>
      </c>
      <c r="H3" s="204" t="str">
        <f>$B$1&amp;VLOOKUP(VatTu!C19,MaVatTu!$B$2:$C$7,2,FALSE)</f>
        <v>YC</v>
      </c>
    </row>
    <row r="4" spans="1:8" x14ac:dyDescent="0.25">
      <c r="A4" s="1109"/>
      <c r="B4" s="362"/>
      <c r="C4" s="362"/>
      <c r="D4" s="362" t="s">
        <v>4275</v>
      </c>
      <c r="E4" s="362">
        <v>3</v>
      </c>
      <c r="F4" s="362" t="s">
        <v>4279</v>
      </c>
      <c r="G4" s="362" t="s">
        <v>685</v>
      </c>
      <c r="H4" s="204" t="str">
        <f>$B$1&amp;VLOOKUP(VatTu!C20,MaVatTu!$B$2:$C$7,2,FALSE)</f>
        <v>YC</v>
      </c>
    </row>
    <row r="5" spans="1:8" x14ac:dyDescent="0.25">
      <c r="A5" s="1109"/>
      <c r="B5" s="362"/>
      <c r="C5" s="362"/>
      <c r="D5" s="362" t="s">
        <v>4276</v>
      </c>
      <c r="E5" s="362">
        <v>4</v>
      </c>
      <c r="F5" s="362" t="s">
        <v>4281</v>
      </c>
      <c r="G5" s="362" t="s">
        <v>4280</v>
      </c>
    </row>
    <row r="6" spans="1:8" x14ac:dyDescent="0.25">
      <c r="A6" s="1109"/>
      <c r="B6" s="362"/>
      <c r="C6" s="362"/>
      <c r="D6" s="362"/>
      <c r="E6" s="362"/>
      <c r="F6" s="362" t="s">
        <v>4282</v>
      </c>
      <c r="G6" s="362" t="s">
        <v>105</v>
      </c>
    </row>
    <row r="7" spans="1:8" x14ac:dyDescent="0.25">
      <c r="A7" s="1109"/>
      <c r="B7" s="362"/>
      <c r="C7" s="362"/>
      <c r="D7" s="362"/>
      <c r="E7" s="362"/>
      <c r="F7" s="362" t="s">
        <v>4283</v>
      </c>
      <c r="G7" s="362" t="s">
        <v>275</v>
      </c>
    </row>
    <row r="8" spans="1:8" x14ac:dyDescent="0.25">
      <c r="A8" s="1109"/>
    </row>
    <row r="9" spans="1:8" x14ac:dyDescent="0.25">
      <c r="A9" s="1109"/>
    </row>
    <row r="10" spans="1:8" x14ac:dyDescent="0.25">
      <c r="A10" s="1109"/>
    </row>
    <row r="11" spans="1:8" x14ac:dyDescent="0.25">
      <c r="A11" s="1109"/>
    </row>
    <row r="12" spans="1:8" x14ac:dyDescent="0.25">
      <c r="A12" s="1109"/>
    </row>
    <row r="13" spans="1:8" x14ac:dyDescent="0.25">
      <c r="A13" s="1109"/>
      <c r="B13" s="1109"/>
      <c r="C13" s="1109"/>
    </row>
    <row r="14" spans="1:8" x14ac:dyDescent="0.25">
      <c r="A14" s="1109"/>
      <c r="B14" s="1109"/>
      <c r="C14" s="1109"/>
    </row>
    <row r="15" spans="1:8" x14ac:dyDescent="0.25">
      <c r="A15" s="1109"/>
      <c r="B15" s="1109"/>
      <c r="C15" s="1109"/>
    </row>
    <row r="16" spans="1:8" x14ac:dyDescent="0.25">
      <c r="A16" s="1109"/>
      <c r="B16" s="1109"/>
      <c r="C16" s="1109"/>
    </row>
    <row r="17" spans="1:3" x14ac:dyDescent="0.25">
      <c r="A17" s="1109"/>
      <c r="B17" s="1109"/>
      <c r="C17" s="1109"/>
    </row>
    <row r="18" spans="1:3" x14ac:dyDescent="0.25">
      <c r="A18" s="1109"/>
    </row>
    <row r="19" spans="1:3" x14ac:dyDescent="0.25">
      <c r="A19" s="1109"/>
    </row>
    <row r="20" spans="1:3" x14ac:dyDescent="0.25">
      <c r="A20" s="1109"/>
    </row>
    <row r="21" spans="1:3" x14ac:dyDescent="0.25">
      <c r="A21" s="1109"/>
    </row>
    <row r="22" spans="1:3" x14ac:dyDescent="0.25">
      <c r="A22" s="1109"/>
    </row>
    <row r="23" spans="1:3" x14ac:dyDescent="0.25">
      <c r="A23" s="1109"/>
    </row>
    <row r="24" spans="1:3" x14ac:dyDescent="0.25">
      <c r="A24" s="1109"/>
    </row>
    <row r="25" spans="1:3" x14ac:dyDescent="0.25">
      <c r="A25" s="1109"/>
    </row>
    <row r="26" spans="1:3" x14ac:dyDescent="0.25">
      <c r="A26" s="1109"/>
    </row>
    <row r="27" spans="1:3" x14ac:dyDescent="0.25">
      <c r="A27" s="1109"/>
    </row>
    <row r="28" spans="1:3" x14ac:dyDescent="0.25">
      <c r="A28" s="1109"/>
    </row>
    <row r="29" spans="1:3" x14ac:dyDescent="0.25">
      <c r="A29" s="1109"/>
    </row>
  </sheetData>
  <mergeCells count="1">
    <mergeCell ref="B1:G1"/>
  </mergeCells>
  <pageMargins left="0.7" right="0.7" top="0.75" bottom="0.75" header="0.3" footer="0.3"/>
  <pageSetup paperSize="9" orientation="portrait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31"/>
  <sheetViews>
    <sheetView zoomScaleNormal="100" workbookViewId="0">
      <pane ySplit="1" topLeftCell="A14" activePane="bottomLeft" state="frozen"/>
      <selection pane="bottomLeft" activeCell="A17" sqref="A17:M24"/>
    </sheetView>
  </sheetViews>
  <sheetFormatPr defaultRowHeight="15" x14ac:dyDescent="0.25"/>
  <cols>
    <col min="4" max="4" width="10.140625" customWidth="1"/>
    <col min="8" max="8" width="12.85546875" customWidth="1"/>
    <col min="10" max="10" width="9.42578125" customWidth="1"/>
    <col min="12" max="12" width="8.85546875" customWidth="1"/>
    <col min="13" max="13" width="5.5703125" customWidth="1"/>
  </cols>
  <sheetData>
    <row r="1" spans="1:13" ht="27" customHeight="1" x14ac:dyDescent="0.3">
      <c r="A1" s="1427"/>
      <c r="B1" s="1428"/>
      <c r="C1" s="1428"/>
      <c r="D1" s="1429"/>
      <c r="E1" s="1436" t="s">
        <v>1103</v>
      </c>
      <c r="F1" s="1437"/>
      <c r="G1" s="1437"/>
      <c r="H1" s="1437"/>
      <c r="I1" s="1437"/>
      <c r="J1" s="1438"/>
      <c r="K1" s="1445"/>
      <c r="L1" s="1446"/>
      <c r="M1" s="1447"/>
    </row>
    <row r="2" spans="1:13" ht="27" customHeight="1" x14ac:dyDescent="0.3">
      <c r="A2" s="1430"/>
      <c r="B2" s="1431"/>
      <c r="C2" s="1431"/>
      <c r="D2" s="1432"/>
      <c r="E2" s="1439"/>
      <c r="F2" s="1440"/>
      <c r="G2" s="1440"/>
      <c r="H2" s="1440"/>
      <c r="I2" s="1440"/>
      <c r="J2" s="1441"/>
      <c r="K2" s="1448" t="s">
        <v>1121</v>
      </c>
      <c r="L2" s="1449"/>
      <c r="M2" s="1450"/>
    </row>
    <row r="3" spans="1:13" ht="27" customHeight="1" x14ac:dyDescent="0.3">
      <c r="A3" s="1430"/>
      <c r="B3" s="1431"/>
      <c r="C3" s="1431"/>
      <c r="D3" s="1432"/>
      <c r="E3" s="1439"/>
      <c r="F3" s="1440"/>
      <c r="G3" s="1440"/>
      <c r="H3" s="1440"/>
      <c r="I3" s="1440"/>
      <c r="J3" s="1441"/>
      <c r="K3" s="1448" t="s">
        <v>1122</v>
      </c>
      <c r="L3" s="1449"/>
      <c r="M3" s="1450"/>
    </row>
    <row r="4" spans="1:13" ht="27" customHeight="1" x14ac:dyDescent="0.3">
      <c r="A4" s="1430"/>
      <c r="B4" s="1431"/>
      <c r="C4" s="1431"/>
      <c r="D4" s="1432"/>
      <c r="E4" s="1439"/>
      <c r="F4" s="1440"/>
      <c r="G4" s="1440"/>
      <c r="H4" s="1440"/>
      <c r="I4" s="1440"/>
      <c r="J4" s="1441"/>
      <c r="K4" s="1448" t="s">
        <v>1123</v>
      </c>
      <c r="L4" s="1449"/>
      <c r="M4" s="1450"/>
    </row>
    <row r="5" spans="1:13" ht="27" customHeight="1" thickBot="1" x14ac:dyDescent="0.35">
      <c r="A5" s="1433"/>
      <c r="B5" s="1434"/>
      <c r="C5" s="1434"/>
      <c r="D5" s="1435"/>
      <c r="E5" s="1442"/>
      <c r="F5" s="1443"/>
      <c r="G5" s="1443"/>
      <c r="H5" s="1443"/>
      <c r="I5" s="1443"/>
      <c r="J5" s="1444"/>
      <c r="K5" s="1388"/>
      <c r="L5" s="1389"/>
      <c r="M5" s="1390"/>
    </row>
    <row r="6" spans="1:13" ht="102" customHeight="1" thickBot="1" x14ac:dyDescent="0.35">
      <c r="A6" s="751"/>
      <c r="B6" s="751"/>
      <c r="C6" s="751"/>
      <c r="D6" s="751"/>
      <c r="E6" s="751"/>
      <c r="F6" s="751"/>
      <c r="G6" s="751"/>
      <c r="H6" s="751"/>
      <c r="I6" s="751"/>
      <c r="J6" s="751"/>
      <c r="K6" s="751"/>
      <c r="L6" s="751"/>
      <c r="M6" s="751"/>
    </row>
    <row r="7" spans="1:13" ht="35.25" customHeight="1" thickBot="1" x14ac:dyDescent="0.35">
      <c r="A7" s="1421" t="s">
        <v>1117</v>
      </c>
      <c r="B7" s="1422"/>
      <c r="C7" s="1422"/>
      <c r="D7" s="1423"/>
      <c r="E7" s="1424" t="str">
        <f>Phieutrienkhai!E7:M7</f>
        <v>303kVA – 22/0.4kV Dyn11</v>
      </c>
      <c r="F7" s="1425"/>
      <c r="G7" s="1425"/>
      <c r="H7" s="1425"/>
      <c r="I7" s="1425"/>
      <c r="J7" s="1425"/>
      <c r="K7" s="1425"/>
      <c r="L7" s="1425"/>
      <c r="M7" s="1426"/>
    </row>
    <row r="8" spans="1:13" ht="35.25" customHeight="1" thickBot="1" x14ac:dyDescent="0.35">
      <c r="A8" s="1403" t="s">
        <v>1104</v>
      </c>
      <c r="B8" s="1404"/>
      <c r="C8" s="1404"/>
      <c r="D8" s="1405"/>
      <c r="E8" s="1418" t="str">
        <f>Phieutrienkhai!E8:M8</f>
        <v>MBA 303KVA 22/0.4KV (23A 001  )</v>
      </c>
      <c r="F8" s="1419"/>
      <c r="G8" s="1419"/>
      <c r="H8" s="1419"/>
      <c r="I8" s="1419"/>
      <c r="J8" s="1419"/>
      <c r="K8" s="1419"/>
      <c r="L8" s="1419"/>
      <c r="M8" s="1420"/>
    </row>
    <row r="9" spans="1:13" ht="35.25" customHeight="1" thickBot="1" x14ac:dyDescent="0.35">
      <c r="A9" s="1403" t="s">
        <v>1118</v>
      </c>
      <c r="B9" s="1404"/>
      <c r="C9" s="1404"/>
      <c r="D9" s="1405"/>
      <c r="E9" s="1418" t="str">
        <f>Phieutrienkhai!E9:M9</f>
        <v xml:space="preserve">23A 001  </v>
      </c>
      <c r="F9" s="1419"/>
      <c r="G9" s="1419"/>
      <c r="H9" s="1419"/>
      <c r="I9" s="1419"/>
      <c r="J9" s="1419"/>
      <c r="K9" s="1419"/>
      <c r="L9" s="1419"/>
      <c r="M9" s="1420"/>
    </row>
    <row r="10" spans="1:13" ht="35.25" customHeight="1" thickBot="1" x14ac:dyDescent="0.35">
      <c r="A10" s="1403" t="s">
        <v>1105</v>
      </c>
      <c r="B10" s="1404"/>
      <c r="C10" s="1404"/>
      <c r="D10" s="1405"/>
      <c r="E10" s="1418">
        <f>Phieutrienkhai!E10:M10</f>
        <v>1</v>
      </c>
      <c r="F10" s="1419"/>
      <c r="G10" s="1419"/>
      <c r="H10" s="1419"/>
      <c r="I10" s="1419"/>
      <c r="J10" s="1419"/>
      <c r="K10" s="1419"/>
      <c r="L10" s="1419"/>
      <c r="M10" s="1420"/>
    </row>
    <row r="11" spans="1:13" ht="35.25" customHeight="1" thickBot="1" x14ac:dyDescent="0.35">
      <c r="A11" s="1403" t="s">
        <v>1106</v>
      </c>
      <c r="B11" s="1404"/>
      <c r="C11" s="1404"/>
      <c r="D11" s="1405"/>
      <c r="E11" s="1418" t="str">
        <f>HDKT!E26</f>
        <v>RAL 7033 (HAVEC)</v>
      </c>
      <c r="F11" s="1419"/>
      <c r="G11" s="1419"/>
      <c r="H11" s="1419"/>
      <c r="I11" s="1419"/>
      <c r="J11" s="1419"/>
      <c r="K11" s="1419"/>
      <c r="L11" s="1419"/>
      <c r="M11" s="1420"/>
    </row>
    <row r="12" spans="1:13" ht="35.25" customHeight="1" thickBot="1" x14ac:dyDescent="0.35">
      <c r="A12" s="1403" t="s">
        <v>1107</v>
      </c>
      <c r="B12" s="1404"/>
      <c r="C12" s="1404"/>
      <c r="D12" s="1405"/>
      <c r="E12" s="1418" t="s">
        <v>1131</v>
      </c>
      <c r="F12" s="1419"/>
      <c r="G12" s="1419"/>
      <c r="H12" s="1419"/>
      <c r="I12" s="1419"/>
      <c r="J12" s="1419"/>
      <c r="K12" s="1419"/>
      <c r="L12" s="1419"/>
      <c r="M12" s="1420"/>
    </row>
    <row r="13" spans="1:13" ht="35.25" customHeight="1" thickBot="1" x14ac:dyDescent="0.35">
      <c r="A13" s="1403" t="s">
        <v>1108</v>
      </c>
      <c r="B13" s="1404"/>
      <c r="C13" s="1404"/>
      <c r="D13" s="1405"/>
      <c r="E13" s="1406">
        <f ca="1">NOW()</f>
        <v>45418.916845601852</v>
      </c>
      <c r="F13" s="1407"/>
      <c r="G13" s="1407"/>
      <c r="H13" s="1407"/>
      <c r="I13" s="1407"/>
      <c r="J13" s="1407"/>
      <c r="K13" s="1407"/>
      <c r="L13" s="1407"/>
      <c r="M13" s="1408"/>
    </row>
    <row r="14" spans="1:13" ht="35.25" customHeight="1" thickBot="1" x14ac:dyDescent="0.3">
      <c r="A14" s="1409" t="s">
        <v>1109</v>
      </c>
      <c r="B14" s="1410"/>
      <c r="C14" s="1410"/>
      <c r="D14" s="1411"/>
      <c r="E14" s="1415" t="s">
        <v>1132</v>
      </c>
      <c r="F14" s="1416"/>
      <c r="G14" s="1416"/>
      <c r="H14" s="1416"/>
      <c r="I14" s="1416"/>
      <c r="J14" s="1416"/>
      <c r="K14" s="1416"/>
      <c r="L14" s="1416"/>
      <c r="M14" s="1417"/>
    </row>
    <row r="15" spans="1:13" ht="35.25" customHeight="1" thickBot="1" x14ac:dyDescent="0.3">
      <c r="A15" s="1412"/>
      <c r="B15" s="1413"/>
      <c r="C15" s="1413"/>
      <c r="D15" s="1414"/>
      <c r="E15" s="1418" t="s">
        <v>1133</v>
      </c>
      <c r="F15" s="1419"/>
      <c r="G15" s="1419"/>
      <c r="H15" s="1419"/>
      <c r="I15" s="1419"/>
      <c r="J15" s="1419"/>
      <c r="K15" s="1419"/>
      <c r="L15" s="1419"/>
      <c r="M15" s="1420"/>
    </row>
    <row r="16" spans="1:13" ht="35.25" customHeight="1" x14ac:dyDescent="0.25">
      <c r="A16" s="1397" t="s">
        <v>1130</v>
      </c>
      <c r="B16" s="1398"/>
      <c r="C16" s="1398"/>
      <c r="D16" s="1398"/>
      <c r="E16" s="1398"/>
      <c r="F16" s="1398"/>
      <c r="G16" s="1398"/>
      <c r="H16" s="1398"/>
      <c r="I16" s="1398"/>
      <c r="J16" s="1398"/>
      <c r="K16" s="1398"/>
      <c r="L16" s="1398"/>
      <c r="M16" s="1399"/>
    </row>
    <row r="17" spans="1:13" ht="15" customHeight="1" x14ac:dyDescent="0.25">
      <c r="A17" s="1397" t="s">
        <v>3557</v>
      </c>
      <c r="B17" s="1398"/>
      <c r="C17" s="1398"/>
      <c r="D17" s="1398"/>
      <c r="E17" s="1398"/>
      <c r="F17" s="1398"/>
      <c r="G17" s="1398"/>
      <c r="H17" s="1398"/>
      <c r="I17" s="1398"/>
      <c r="J17" s="1398"/>
      <c r="K17" s="1398"/>
      <c r="L17" s="1398"/>
      <c r="M17" s="1399"/>
    </row>
    <row r="18" spans="1:13" ht="15" customHeight="1" x14ac:dyDescent="0.25">
      <c r="A18" s="1397"/>
      <c r="B18" s="1398"/>
      <c r="C18" s="1398"/>
      <c r="D18" s="1398"/>
      <c r="E18" s="1398"/>
      <c r="F18" s="1398"/>
      <c r="G18" s="1398"/>
      <c r="H18" s="1398"/>
      <c r="I18" s="1398"/>
      <c r="J18" s="1398"/>
      <c r="K18" s="1398"/>
      <c r="L18" s="1398"/>
      <c r="M18" s="1399"/>
    </row>
    <row r="19" spans="1:13" ht="15" customHeight="1" x14ac:dyDescent="0.25">
      <c r="A19" s="1397"/>
      <c r="B19" s="1398"/>
      <c r="C19" s="1398"/>
      <c r="D19" s="1398"/>
      <c r="E19" s="1398"/>
      <c r="F19" s="1398"/>
      <c r="G19" s="1398"/>
      <c r="H19" s="1398"/>
      <c r="I19" s="1398"/>
      <c r="J19" s="1398"/>
      <c r="K19" s="1398"/>
      <c r="L19" s="1398"/>
      <c r="M19" s="1399"/>
    </row>
    <row r="20" spans="1:13" ht="15" customHeight="1" x14ac:dyDescent="0.25">
      <c r="A20" s="1397"/>
      <c r="B20" s="1398"/>
      <c r="C20" s="1398"/>
      <c r="D20" s="1398"/>
      <c r="E20" s="1398"/>
      <c r="F20" s="1398"/>
      <c r="G20" s="1398"/>
      <c r="H20" s="1398"/>
      <c r="I20" s="1398"/>
      <c r="J20" s="1398"/>
      <c r="K20" s="1398"/>
      <c r="L20" s="1398"/>
      <c r="M20" s="1399"/>
    </row>
    <row r="21" spans="1:13" ht="15" customHeight="1" x14ac:dyDescent="0.25">
      <c r="A21" s="1397"/>
      <c r="B21" s="1398"/>
      <c r="C21" s="1398"/>
      <c r="D21" s="1398"/>
      <c r="E21" s="1398"/>
      <c r="F21" s="1398"/>
      <c r="G21" s="1398"/>
      <c r="H21" s="1398"/>
      <c r="I21" s="1398"/>
      <c r="J21" s="1398"/>
      <c r="K21" s="1398"/>
      <c r="L21" s="1398"/>
      <c r="M21" s="1399"/>
    </row>
    <row r="22" spans="1:13" ht="15" customHeight="1" x14ac:dyDescent="0.25">
      <c r="A22" s="1397"/>
      <c r="B22" s="1398"/>
      <c r="C22" s="1398"/>
      <c r="D22" s="1398"/>
      <c r="E22" s="1398"/>
      <c r="F22" s="1398"/>
      <c r="G22" s="1398"/>
      <c r="H22" s="1398"/>
      <c r="I22" s="1398"/>
      <c r="J22" s="1398"/>
      <c r="K22" s="1398"/>
      <c r="L22" s="1398"/>
      <c r="M22" s="1399"/>
    </row>
    <row r="23" spans="1:13" ht="15" customHeight="1" x14ac:dyDescent="0.25">
      <c r="A23" s="1397"/>
      <c r="B23" s="1398"/>
      <c r="C23" s="1398"/>
      <c r="D23" s="1398"/>
      <c r="E23" s="1398"/>
      <c r="F23" s="1398"/>
      <c r="G23" s="1398"/>
      <c r="H23" s="1398"/>
      <c r="I23" s="1398"/>
      <c r="J23" s="1398"/>
      <c r="K23" s="1398"/>
      <c r="L23" s="1398"/>
      <c r="M23" s="1399"/>
    </row>
    <row r="24" spans="1:13" ht="15.75" customHeight="1" thickBot="1" x14ac:dyDescent="0.3">
      <c r="A24" s="1400"/>
      <c r="B24" s="1401"/>
      <c r="C24" s="1401"/>
      <c r="D24" s="1401"/>
      <c r="E24" s="1401"/>
      <c r="F24" s="1401"/>
      <c r="G24" s="1401"/>
      <c r="H24" s="1401"/>
      <c r="I24" s="1401"/>
      <c r="J24" s="1401"/>
      <c r="K24" s="1401"/>
      <c r="L24" s="1401"/>
      <c r="M24" s="1402"/>
    </row>
    <row r="25" spans="1:13" ht="20.25" x14ac:dyDescent="0.3">
      <c r="A25" s="1391" t="s">
        <v>1111</v>
      </c>
      <c r="B25" s="1392"/>
      <c r="C25" s="1392"/>
      <c r="D25" s="1392"/>
      <c r="E25" s="1391"/>
      <c r="F25" s="1392"/>
      <c r="G25" s="1392"/>
      <c r="H25" s="1393"/>
      <c r="I25" s="1392" t="s">
        <v>1113</v>
      </c>
      <c r="J25" s="1392"/>
      <c r="K25" s="1392"/>
      <c r="L25" s="1392"/>
      <c r="M25" s="1393"/>
    </row>
    <row r="26" spans="1:13" x14ac:dyDescent="0.25">
      <c r="A26" s="1394"/>
      <c r="B26" s="1395"/>
      <c r="C26" s="1395"/>
      <c r="D26" s="1395"/>
      <c r="E26" s="1394"/>
      <c r="F26" s="1395"/>
      <c r="G26" s="1395"/>
      <c r="H26" s="1396"/>
      <c r="I26" s="1395"/>
      <c r="J26" s="1395"/>
      <c r="K26" s="1395"/>
      <c r="L26" s="1395"/>
      <c r="M26" s="1396"/>
    </row>
    <row r="27" spans="1:13" x14ac:dyDescent="0.25">
      <c r="A27" s="1394"/>
      <c r="B27" s="1395"/>
      <c r="C27" s="1395"/>
      <c r="D27" s="1395"/>
      <c r="E27" s="1394"/>
      <c r="F27" s="1395"/>
      <c r="G27" s="1395"/>
      <c r="H27" s="1396"/>
      <c r="I27" s="1395"/>
      <c r="J27" s="1395"/>
      <c r="K27" s="1395"/>
      <c r="L27" s="1395"/>
      <c r="M27" s="1396"/>
    </row>
    <row r="28" spans="1:13" x14ac:dyDescent="0.25">
      <c r="A28" s="1394"/>
      <c r="B28" s="1395"/>
      <c r="C28" s="1395"/>
      <c r="D28" s="1395"/>
      <c r="E28" s="1394"/>
      <c r="F28" s="1395"/>
      <c r="G28" s="1395"/>
      <c r="H28" s="1396"/>
      <c r="I28" s="1395"/>
      <c r="J28" s="1395"/>
      <c r="K28" s="1395"/>
      <c r="L28" s="1395"/>
      <c r="M28" s="1396"/>
    </row>
    <row r="29" spans="1:13" x14ac:dyDescent="0.25">
      <c r="A29" s="1394"/>
      <c r="B29" s="1395"/>
      <c r="C29" s="1395"/>
      <c r="D29" s="1395"/>
      <c r="E29" s="1394"/>
      <c r="F29" s="1395"/>
      <c r="G29" s="1395"/>
      <c r="H29" s="1396"/>
      <c r="I29" s="1395"/>
      <c r="J29" s="1395"/>
      <c r="K29" s="1395"/>
      <c r="L29" s="1395"/>
      <c r="M29" s="1396"/>
    </row>
    <row r="30" spans="1:13" x14ac:dyDescent="0.25">
      <c r="A30" s="1394"/>
      <c r="B30" s="1395"/>
      <c r="C30" s="1395"/>
      <c r="D30" s="1395"/>
      <c r="E30" s="1394"/>
      <c r="F30" s="1395"/>
      <c r="G30" s="1395"/>
      <c r="H30" s="1396"/>
      <c r="I30" s="1395"/>
      <c r="J30" s="1395"/>
      <c r="K30" s="1395"/>
      <c r="L30" s="1395"/>
      <c r="M30" s="1396"/>
    </row>
    <row r="31" spans="1:13" ht="19.5" thickBot="1" x14ac:dyDescent="0.35">
      <c r="A31" s="1388" t="s">
        <v>1112</v>
      </c>
      <c r="B31" s="1389"/>
      <c r="C31" s="1389"/>
      <c r="D31" s="1389"/>
      <c r="E31" s="1388"/>
      <c r="F31" s="1389"/>
      <c r="G31" s="1389"/>
      <c r="H31" s="1390"/>
      <c r="I31" s="1389" t="s">
        <v>1114</v>
      </c>
      <c r="J31" s="1389"/>
      <c r="K31" s="1389"/>
      <c r="L31" s="1389"/>
      <c r="M31" s="1390"/>
    </row>
  </sheetData>
  <mergeCells count="35">
    <mergeCell ref="A1:D5"/>
    <mergeCell ref="E1:J5"/>
    <mergeCell ref="K1:M1"/>
    <mergeCell ref="K2:M2"/>
    <mergeCell ref="K3:M3"/>
    <mergeCell ref="K4:M4"/>
    <mergeCell ref="K5:M5"/>
    <mergeCell ref="A7:D7"/>
    <mergeCell ref="E7:M7"/>
    <mergeCell ref="A8:D8"/>
    <mergeCell ref="E8:M8"/>
    <mergeCell ref="A9:D9"/>
    <mergeCell ref="E9:M9"/>
    <mergeCell ref="A10:D10"/>
    <mergeCell ref="E10:M10"/>
    <mergeCell ref="A11:D11"/>
    <mergeCell ref="E11:M11"/>
    <mergeCell ref="A12:D12"/>
    <mergeCell ref="E12:M12"/>
    <mergeCell ref="A16:M16"/>
    <mergeCell ref="A17:M24"/>
    <mergeCell ref="A13:D13"/>
    <mergeCell ref="E13:M13"/>
    <mergeCell ref="A14:D15"/>
    <mergeCell ref="E14:M14"/>
    <mergeCell ref="E15:M15"/>
    <mergeCell ref="A31:D31"/>
    <mergeCell ref="E31:H31"/>
    <mergeCell ref="I31:M31"/>
    <mergeCell ref="A25:D25"/>
    <mergeCell ref="E25:H25"/>
    <mergeCell ref="I25:M25"/>
    <mergeCell ref="A26:D30"/>
    <mergeCell ref="E26:H30"/>
    <mergeCell ref="I26:M30"/>
  </mergeCells>
  <printOptions horizontalCentered="1"/>
  <pageMargins left="0.73" right="0.52" top="0.9" bottom="0.48" header="0.17" footer="0.24"/>
  <pageSetup paperSize="9" scale="71" orientation="portrait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41"/>
  <sheetViews>
    <sheetView zoomScaleNormal="100" workbookViewId="0">
      <pane ySplit="1" topLeftCell="A2" activePane="bottomLeft" state="frozen"/>
      <selection pane="bottomLeft" activeCell="D41" sqref="A1:D41"/>
    </sheetView>
  </sheetViews>
  <sheetFormatPr defaultRowHeight="15" x14ac:dyDescent="0.25"/>
  <cols>
    <col min="1" max="1" width="5.28515625" style="614" customWidth="1"/>
    <col min="2" max="4" width="32" style="614" customWidth="1"/>
    <col min="5" max="16384" width="9.140625" style="614"/>
  </cols>
  <sheetData>
    <row r="1" spans="1:20" x14ac:dyDescent="0.25">
      <c r="A1" s="1454"/>
      <c r="B1" s="1454"/>
      <c r="C1" s="1452" t="s">
        <v>4047</v>
      </c>
      <c r="D1" s="1453" t="s">
        <v>4100</v>
      </c>
    </row>
    <row r="2" spans="1:20" ht="20.25" x14ac:dyDescent="0.3">
      <c r="A2" s="1454"/>
      <c r="B2" s="1454"/>
      <c r="C2" s="1452"/>
      <c r="D2" s="1453"/>
      <c r="E2" s="1172"/>
    </row>
    <row r="3" spans="1:20" ht="20.25" customHeight="1" x14ac:dyDescent="0.25">
      <c r="A3" s="1454"/>
      <c r="B3" s="1454"/>
      <c r="C3" s="1452"/>
      <c r="D3" s="1453"/>
    </row>
    <row r="4" spans="1:20" ht="36" customHeight="1" x14ac:dyDescent="0.3">
      <c r="A4" s="1114"/>
      <c r="B4" s="1163" t="str">
        <f>[4]HDKT!A7</f>
        <v>(Số order)</v>
      </c>
      <c r="C4" s="1115" t="str">
        <f>HDKT!D7</f>
        <v xml:space="preserve">23A 001  </v>
      </c>
      <c r="D4" s="1114"/>
    </row>
    <row r="5" spans="1:20" ht="18.95" customHeight="1" x14ac:dyDescent="0.3">
      <c r="A5" s="1114"/>
      <c r="B5" s="1163" t="str">
        <f>[4]HDKT!A8</f>
        <v>(Thông số sản phẩm)</v>
      </c>
      <c r="C5" s="1115" t="str">
        <f>HDKT!D8</f>
        <v>MBA 303kVA – 22/0.4kV Dyn11</v>
      </c>
      <c r="D5" s="1114"/>
    </row>
    <row r="6" spans="1:20" ht="18.95" customHeight="1" x14ac:dyDescent="0.3">
      <c r="A6" s="1162"/>
      <c r="B6" s="1163" t="s">
        <v>4095</v>
      </c>
      <c r="C6" s="1115" t="str">
        <f>HDKT!E12</f>
        <v>MBA 303KVA 22/0.4KV (23A 001  )</v>
      </c>
      <c r="D6" s="1162"/>
    </row>
    <row r="7" spans="1:20" ht="18.95" customHeight="1" x14ac:dyDescent="0.3">
      <c r="A7" s="1114"/>
      <c r="B7" s="1163" t="s">
        <v>4064</v>
      </c>
      <c r="C7" s="1115" t="str">
        <f>HDKT!G6</f>
        <v>1TH3030V01O-01</v>
      </c>
      <c r="D7" s="1114"/>
    </row>
    <row r="8" spans="1:20" ht="18.95" customHeight="1" x14ac:dyDescent="0.3">
      <c r="A8" s="1114"/>
      <c r="B8" s="1451" t="s">
        <v>4094</v>
      </c>
      <c r="C8" s="1451"/>
      <c r="D8" s="1451"/>
    </row>
    <row r="9" spans="1:20" ht="18.95" customHeight="1" x14ac:dyDescent="0.3">
      <c r="A9" s="1162"/>
      <c r="B9" s="1115" t="s">
        <v>4093</v>
      </c>
      <c r="C9" s="1115"/>
      <c r="D9" s="1115"/>
      <c r="L9" s="614" t="s">
        <v>4301</v>
      </c>
      <c r="Q9" s="614" t="s">
        <v>4022</v>
      </c>
    </row>
    <row r="10" spans="1:20" ht="18.95" customHeight="1" x14ac:dyDescent="0.25"/>
    <row r="11" spans="1:20" s="1117" customFormat="1" ht="18.95" customHeight="1" x14ac:dyDescent="0.25">
      <c r="A11" s="1121" t="s">
        <v>934</v>
      </c>
      <c r="B11" s="1121" t="s">
        <v>4048</v>
      </c>
      <c r="C11" s="1121" t="s">
        <v>4062</v>
      </c>
      <c r="D11" s="1127" t="s">
        <v>3496</v>
      </c>
      <c r="I11" s="1117" t="s">
        <v>999</v>
      </c>
      <c r="L11" s="1119">
        <v>1</v>
      </c>
      <c r="M11" s="1123" t="s">
        <v>4049</v>
      </c>
      <c r="N11" s="1119" t="s">
        <v>4063</v>
      </c>
      <c r="O11" s="1128"/>
      <c r="Q11" s="1119">
        <v>1</v>
      </c>
      <c r="R11" s="1123" t="s">
        <v>4049</v>
      </c>
      <c r="S11" s="1119" t="s">
        <v>4063</v>
      </c>
      <c r="T11" s="1128"/>
    </row>
    <row r="12" spans="1:20" s="1117" customFormat="1" ht="18.95" customHeight="1" x14ac:dyDescent="0.25">
      <c r="A12" s="1119">
        <v>1</v>
      </c>
      <c r="B12" s="1123" t="s">
        <v>4049</v>
      </c>
      <c r="C12" s="1119" t="s">
        <v>4063</v>
      </c>
      <c r="D12" s="1128"/>
      <c r="L12" s="1122">
        <v>2</v>
      </c>
      <c r="M12" s="1123" t="s">
        <v>4050</v>
      </c>
      <c r="N12" s="1119" t="s">
        <v>4063</v>
      </c>
      <c r="O12" s="1128"/>
      <c r="Q12" s="1122">
        <v>2</v>
      </c>
      <c r="R12" s="1123" t="s">
        <v>4050</v>
      </c>
      <c r="S12" s="1119" t="s">
        <v>4063</v>
      </c>
      <c r="T12" s="1128"/>
    </row>
    <row r="13" spans="1:20" s="1117" customFormat="1" ht="18.95" customHeight="1" x14ac:dyDescent="0.25">
      <c r="A13" s="1122">
        <v>2</v>
      </c>
      <c r="B13" s="1123" t="s">
        <v>4050</v>
      </c>
      <c r="C13" s="1119" t="s">
        <v>4063</v>
      </c>
      <c r="D13" s="1128"/>
      <c r="L13" s="1119">
        <v>3</v>
      </c>
      <c r="M13" s="1123" t="s">
        <v>4051</v>
      </c>
      <c r="N13" s="1119" t="s">
        <v>4063</v>
      </c>
      <c r="O13" s="1128"/>
      <c r="Q13" s="1119">
        <v>3</v>
      </c>
      <c r="R13" s="1123" t="s">
        <v>4051</v>
      </c>
      <c r="S13" s="1119" t="s">
        <v>4063</v>
      </c>
      <c r="T13" s="1128"/>
    </row>
    <row r="14" spans="1:20" s="1117" customFormat="1" ht="18.95" customHeight="1" x14ac:dyDescent="0.25">
      <c r="A14" s="1119">
        <v>3</v>
      </c>
      <c r="B14" s="1123" t="s">
        <v>4051</v>
      </c>
      <c r="C14" s="1119" t="s">
        <v>4063</v>
      </c>
      <c r="D14" s="1128"/>
      <c r="L14" s="1122">
        <v>4</v>
      </c>
      <c r="M14" s="1123" t="s">
        <v>4052</v>
      </c>
      <c r="N14" s="1119" t="s">
        <v>4063</v>
      </c>
      <c r="O14" s="1128"/>
      <c r="Q14" s="1122">
        <v>4</v>
      </c>
      <c r="R14" s="1123" t="s">
        <v>4052</v>
      </c>
      <c r="S14" s="1119" t="s">
        <v>4063</v>
      </c>
      <c r="T14" s="1128"/>
    </row>
    <row r="15" spans="1:20" s="1117" customFormat="1" ht="18.95" customHeight="1" x14ac:dyDescent="0.25">
      <c r="A15" s="1122">
        <v>4</v>
      </c>
      <c r="B15" s="1123" t="s">
        <v>4052</v>
      </c>
      <c r="C15" s="1119" t="s">
        <v>4063</v>
      </c>
      <c r="D15" s="1128"/>
      <c r="L15" s="1119">
        <v>5</v>
      </c>
      <c r="M15" s="1123" t="s">
        <v>4053</v>
      </c>
      <c r="N15" s="1119" t="s">
        <v>4063</v>
      </c>
      <c r="O15" s="1128"/>
      <c r="Q15" s="1119">
        <v>5</v>
      </c>
      <c r="R15" s="1123" t="s">
        <v>4053</v>
      </c>
      <c r="S15" s="1119" t="s">
        <v>4063</v>
      </c>
      <c r="T15" s="1128"/>
    </row>
    <row r="16" spans="1:20" s="1117" customFormat="1" ht="18.95" customHeight="1" x14ac:dyDescent="0.25">
      <c r="A16" s="1122">
        <v>5</v>
      </c>
      <c r="B16" s="1123" t="s">
        <v>4053</v>
      </c>
      <c r="C16" s="1119" t="s">
        <v>4063</v>
      </c>
      <c r="D16" s="1128"/>
      <c r="L16" s="1122">
        <v>6</v>
      </c>
      <c r="M16" s="1124" t="s">
        <v>1011</v>
      </c>
      <c r="N16" s="1119" t="s">
        <v>4063</v>
      </c>
      <c r="O16" s="1128"/>
      <c r="Q16" s="1122">
        <v>6</v>
      </c>
      <c r="R16" s="1124" t="s">
        <v>1011</v>
      </c>
      <c r="S16" s="1119" t="s">
        <v>4063</v>
      </c>
      <c r="T16" s="1128"/>
    </row>
    <row r="17" spans="1:20" s="1117" customFormat="1" ht="18.95" customHeight="1" x14ac:dyDescent="0.25">
      <c r="A17" s="1122">
        <v>6</v>
      </c>
      <c r="B17" s="1124" t="s">
        <v>1011</v>
      </c>
      <c r="C17" s="1119" t="s">
        <v>4063</v>
      </c>
      <c r="D17" s="1128"/>
      <c r="L17" s="1119">
        <v>7</v>
      </c>
      <c r="M17" s="1123" t="s">
        <v>3953</v>
      </c>
      <c r="N17" s="1119" t="s">
        <v>4063</v>
      </c>
      <c r="O17" s="1123"/>
      <c r="Q17" s="1119">
        <v>7</v>
      </c>
      <c r="R17" s="1123" t="s">
        <v>3953</v>
      </c>
      <c r="S17" s="1119" t="s">
        <v>4063</v>
      </c>
      <c r="T17" s="1123"/>
    </row>
    <row r="18" spans="1:20" s="1117" customFormat="1" ht="18.95" customHeight="1" x14ac:dyDescent="0.25">
      <c r="A18" s="1122">
        <v>7</v>
      </c>
      <c r="B18" s="1123" t="s">
        <v>3953</v>
      </c>
      <c r="C18" s="1119" t="s">
        <v>4063</v>
      </c>
      <c r="D18" s="1123"/>
      <c r="L18" s="1122">
        <v>8</v>
      </c>
      <c r="M18" s="1123" t="s">
        <v>3951</v>
      </c>
      <c r="N18" s="1119" t="s">
        <v>4063</v>
      </c>
      <c r="O18" s="1123"/>
      <c r="Q18" s="1122">
        <v>8</v>
      </c>
      <c r="R18" s="1123" t="s">
        <v>3951</v>
      </c>
      <c r="S18" s="1119" t="s">
        <v>4063</v>
      </c>
      <c r="T18" s="1123"/>
    </row>
    <row r="19" spans="1:20" s="1117" customFormat="1" ht="18.95" customHeight="1" x14ac:dyDescent="0.25">
      <c r="A19" s="1122">
        <v>8</v>
      </c>
      <c r="B19" s="1123" t="s">
        <v>3951</v>
      </c>
      <c r="C19" s="1119" t="s">
        <v>4063</v>
      </c>
      <c r="D19" s="1123"/>
      <c r="L19" s="1119">
        <v>9</v>
      </c>
      <c r="M19" s="1123" t="s">
        <v>4054</v>
      </c>
      <c r="N19" s="1119" t="s">
        <v>4079</v>
      </c>
      <c r="O19" s="1119"/>
      <c r="Q19" s="1119">
        <v>9</v>
      </c>
      <c r="R19" s="1123" t="s">
        <v>4054</v>
      </c>
      <c r="S19" s="1119" t="s">
        <v>4079</v>
      </c>
      <c r="T19" s="1119"/>
    </row>
    <row r="20" spans="1:20" s="1117" customFormat="1" ht="18.95" customHeight="1" x14ac:dyDescent="0.25">
      <c r="A20" s="1122">
        <v>9</v>
      </c>
      <c r="B20" s="1123" t="s">
        <v>4054</v>
      </c>
      <c r="C20" s="1119" t="s">
        <v>4079</v>
      </c>
      <c r="D20" s="1119"/>
      <c r="L20" s="1122">
        <v>10</v>
      </c>
      <c r="M20" s="1120" t="s">
        <v>4056</v>
      </c>
      <c r="N20" s="1119" t="s">
        <v>4079</v>
      </c>
      <c r="O20" s="1119"/>
      <c r="Q20" s="1122">
        <v>10</v>
      </c>
      <c r="R20" s="1120" t="s">
        <v>4056</v>
      </c>
      <c r="S20" s="1119" t="s">
        <v>4079</v>
      </c>
      <c r="T20" s="1119"/>
    </row>
    <row r="21" spans="1:20" s="1117" customFormat="1" ht="18.95" customHeight="1" x14ac:dyDescent="0.25">
      <c r="A21" s="1122">
        <v>10</v>
      </c>
      <c r="B21" s="1120" t="s">
        <v>4056</v>
      </c>
      <c r="C21" s="1119" t="s">
        <v>4079</v>
      </c>
      <c r="D21" s="1119"/>
      <c r="L21" s="1119">
        <v>11</v>
      </c>
      <c r="M21" s="1123" t="s">
        <v>4295</v>
      </c>
      <c r="N21" s="1119" t="s">
        <v>4055</v>
      </c>
      <c r="O21" s="1119"/>
      <c r="Q21" s="1119">
        <v>11</v>
      </c>
      <c r="R21" s="1123" t="s">
        <v>4295</v>
      </c>
      <c r="S21" s="1119" t="s">
        <v>4055</v>
      </c>
      <c r="T21" s="1119"/>
    </row>
    <row r="22" spans="1:20" s="1117" customFormat="1" ht="18.95" customHeight="1" x14ac:dyDescent="0.25">
      <c r="A22" s="1122">
        <v>11</v>
      </c>
      <c r="B22" s="1123" t="s">
        <v>630</v>
      </c>
      <c r="C22" s="1119" t="s">
        <v>4055</v>
      </c>
      <c r="D22" s="1119"/>
      <c r="L22" s="1122">
        <v>12</v>
      </c>
      <c r="M22" s="1123" t="s">
        <v>4296</v>
      </c>
      <c r="N22" s="1119" t="s">
        <v>4055</v>
      </c>
      <c r="O22" s="1119"/>
      <c r="Q22" s="1122">
        <v>12</v>
      </c>
      <c r="R22" s="1123" t="s">
        <v>4296</v>
      </c>
      <c r="S22" s="1119" t="s">
        <v>4055</v>
      </c>
      <c r="T22" s="1119"/>
    </row>
    <row r="23" spans="1:20" s="1117" customFormat="1" ht="18.95" customHeight="1" x14ac:dyDescent="0.25">
      <c r="A23" s="1122">
        <v>12</v>
      </c>
      <c r="B23" s="1123" t="s">
        <v>4123</v>
      </c>
      <c r="C23" s="1119" t="s">
        <v>4055</v>
      </c>
      <c r="D23" s="1119"/>
      <c r="L23" s="1119">
        <v>13</v>
      </c>
      <c r="M23" s="1123" t="s">
        <v>4297</v>
      </c>
      <c r="N23" s="1119" t="s">
        <v>4055</v>
      </c>
      <c r="O23" s="1119"/>
      <c r="Q23" s="1119">
        <v>13</v>
      </c>
      <c r="R23" s="1123" t="s">
        <v>4297</v>
      </c>
      <c r="S23" s="1119" t="s">
        <v>4055</v>
      </c>
      <c r="T23" s="1119"/>
    </row>
    <row r="24" spans="1:20" s="1117" customFormat="1" ht="18.95" customHeight="1" x14ac:dyDescent="0.25">
      <c r="A24" s="1122">
        <v>13</v>
      </c>
      <c r="B24" s="1123" t="s">
        <v>4124</v>
      </c>
      <c r="C24" s="1119" t="s">
        <v>4055</v>
      </c>
      <c r="D24" s="1119"/>
      <c r="L24" s="1119">
        <v>14</v>
      </c>
      <c r="M24" s="1123" t="s">
        <v>4298</v>
      </c>
      <c r="N24" s="1119" t="s">
        <v>4055</v>
      </c>
      <c r="O24" s="1119"/>
      <c r="Q24" s="1119">
        <v>14</v>
      </c>
      <c r="R24" s="1123" t="s">
        <v>4298</v>
      </c>
      <c r="S24" s="1119" t="s">
        <v>4055</v>
      </c>
      <c r="T24" s="1119"/>
    </row>
    <row r="25" spans="1:20" s="1117" customFormat="1" ht="18.95" customHeight="1" x14ac:dyDescent="0.25">
      <c r="A25" s="1122">
        <v>14</v>
      </c>
      <c r="B25" s="1124" t="s">
        <v>3922</v>
      </c>
      <c r="C25" s="1119" t="s">
        <v>4057</v>
      </c>
      <c r="D25" s="1119"/>
      <c r="L25" s="1119">
        <v>15</v>
      </c>
      <c r="M25" s="1123" t="s">
        <v>4299</v>
      </c>
      <c r="N25" s="1119" t="s">
        <v>4055</v>
      </c>
      <c r="O25" s="1119"/>
      <c r="Q25" s="1119">
        <v>15</v>
      </c>
      <c r="R25" s="1123" t="s">
        <v>4299</v>
      </c>
      <c r="S25" s="1119" t="s">
        <v>4055</v>
      </c>
      <c r="T25" s="1119"/>
    </row>
    <row r="26" spans="1:20" s="1117" customFormat="1" ht="18.95" customHeight="1" x14ac:dyDescent="0.25">
      <c r="A26" s="1122">
        <v>15</v>
      </c>
      <c r="B26" s="1123" t="s">
        <v>4058</v>
      </c>
      <c r="C26" s="1119" t="s">
        <v>4057</v>
      </c>
      <c r="D26" s="1119"/>
      <c r="L26" s="1119">
        <v>16</v>
      </c>
      <c r="M26" s="1123" t="s">
        <v>4300</v>
      </c>
      <c r="N26" s="1119" t="s">
        <v>4055</v>
      </c>
      <c r="O26" s="1119"/>
      <c r="Q26" s="1119">
        <v>16</v>
      </c>
      <c r="R26" s="1124" t="s">
        <v>3922</v>
      </c>
      <c r="S26" s="1119" t="s">
        <v>4057</v>
      </c>
      <c r="T26" s="1119"/>
    </row>
    <row r="27" spans="1:20" s="1117" customFormat="1" ht="18.95" customHeight="1" x14ac:dyDescent="0.25">
      <c r="A27" s="1122">
        <v>16</v>
      </c>
      <c r="B27" s="1124" t="s">
        <v>4059</v>
      </c>
      <c r="C27" s="1119" t="s">
        <v>4060</v>
      </c>
      <c r="D27" s="1119"/>
      <c r="L27" s="1119">
        <v>17</v>
      </c>
      <c r="M27" s="1124" t="s">
        <v>3922</v>
      </c>
      <c r="N27" s="1119" t="s">
        <v>4057</v>
      </c>
      <c r="O27" s="1119"/>
      <c r="Q27" s="1119">
        <v>17</v>
      </c>
      <c r="R27" s="1124" t="s">
        <v>4059</v>
      </c>
      <c r="S27" s="1119" t="s">
        <v>4060</v>
      </c>
      <c r="T27" s="1119"/>
    </row>
    <row r="28" spans="1:20" s="1117" customFormat="1" ht="18.95" customHeight="1" x14ac:dyDescent="0.25">
      <c r="A28" s="1122">
        <v>17</v>
      </c>
      <c r="B28" s="1123" t="s">
        <v>4061</v>
      </c>
      <c r="C28" s="1119" t="s">
        <v>4060</v>
      </c>
      <c r="D28" s="1119"/>
      <c r="L28" s="1119">
        <v>18</v>
      </c>
      <c r="M28" s="1124" t="s">
        <v>4059</v>
      </c>
      <c r="N28" s="1119" t="s">
        <v>4060</v>
      </c>
      <c r="O28" s="1119"/>
      <c r="Q28" s="1119">
        <v>18</v>
      </c>
      <c r="R28" s="1123" t="s">
        <v>4061</v>
      </c>
      <c r="S28" s="1119" t="s">
        <v>4060</v>
      </c>
      <c r="T28" s="1119"/>
    </row>
    <row r="29" spans="1:20" s="1117" customFormat="1" ht="18.95" customHeight="1" x14ac:dyDescent="0.25">
      <c r="A29" s="1122">
        <v>18</v>
      </c>
      <c r="B29" s="1123" t="s">
        <v>335</v>
      </c>
      <c r="C29" s="1119" t="s">
        <v>4060</v>
      </c>
      <c r="D29" s="1119"/>
      <c r="L29" s="1119">
        <v>19</v>
      </c>
      <c r="M29" s="1123" t="s">
        <v>4061</v>
      </c>
      <c r="N29" s="1119" t="s">
        <v>4060</v>
      </c>
      <c r="O29" s="1119"/>
      <c r="Q29" s="1119">
        <v>19</v>
      </c>
      <c r="R29" s="1123" t="s">
        <v>335</v>
      </c>
      <c r="S29" s="1119" t="s">
        <v>4060</v>
      </c>
      <c r="T29" s="1119"/>
    </row>
    <row r="30" spans="1:20" s="1117" customFormat="1" ht="18.95" customHeight="1" x14ac:dyDescent="0.25">
      <c r="A30" s="1122">
        <v>19</v>
      </c>
      <c r="B30" s="1123" t="s">
        <v>3604</v>
      </c>
      <c r="C30" s="1119" t="s">
        <v>4060</v>
      </c>
      <c r="D30" s="1119"/>
      <c r="L30" s="1119">
        <v>20</v>
      </c>
      <c r="M30" s="1123" t="s">
        <v>335</v>
      </c>
      <c r="N30" s="1119" t="s">
        <v>4060</v>
      </c>
      <c r="O30" s="1119"/>
      <c r="Q30" s="1119">
        <v>20</v>
      </c>
      <c r="R30" s="1123" t="s">
        <v>988</v>
      </c>
      <c r="S30" s="1119" t="s">
        <v>4060</v>
      </c>
      <c r="T30" s="1119"/>
    </row>
    <row r="31" spans="1:20" s="1117" customFormat="1" ht="18.95" customHeight="1" x14ac:dyDescent="0.25">
      <c r="L31" s="1119">
        <v>21</v>
      </c>
      <c r="M31" s="1123" t="s">
        <v>988</v>
      </c>
      <c r="N31" s="1119" t="s">
        <v>4060</v>
      </c>
      <c r="O31" s="1119"/>
    </row>
    <row r="32" spans="1:20" s="1117" customFormat="1" ht="18.95" customHeight="1" x14ac:dyDescent="0.25">
      <c r="B32" s="1125">
        <f ca="1">NOW()</f>
        <v>45418.916845486114</v>
      </c>
      <c r="D32" s="1129" t="s">
        <v>4338</v>
      </c>
    </row>
    <row r="33" spans="1:4" s="1117" customFormat="1" ht="18.95" customHeight="1" x14ac:dyDescent="0.25">
      <c r="B33" s="1126" t="s">
        <v>4017</v>
      </c>
      <c r="D33" s="1129" t="s">
        <v>1111</v>
      </c>
    </row>
    <row r="34" spans="1:4" x14ac:dyDescent="0.25">
      <c r="A34" s="1116"/>
    </row>
    <row r="35" spans="1:4" x14ac:dyDescent="0.25">
      <c r="A35" s="1116"/>
    </row>
    <row r="36" spans="1:4" x14ac:dyDescent="0.25">
      <c r="A36" s="1113"/>
      <c r="B36" s="1113"/>
      <c r="D36" s="1113"/>
    </row>
    <row r="37" spans="1:4" x14ac:dyDescent="0.25">
      <c r="A37" s="1113"/>
      <c r="B37" s="1113"/>
      <c r="D37" s="1113"/>
    </row>
    <row r="41" spans="1:4" ht="18.75" x14ac:dyDescent="0.3">
      <c r="B41" s="1207" t="s">
        <v>1112</v>
      </c>
      <c r="C41" s="1207"/>
      <c r="D41" s="1207" t="s">
        <v>1114</v>
      </c>
    </row>
  </sheetData>
  <mergeCells count="4">
    <mergeCell ref="B8:D8"/>
    <mergeCell ref="C1:C3"/>
    <mergeCell ref="D1:D3"/>
    <mergeCell ref="A1:B3"/>
  </mergeCells>
  <dataValidations count="1">
    <dataValidation allowBlank="1" showInputMessage="1" showErrorMessage="1" sqref="C27:C30 C20:C24 N28:N31 N19:N26 S27:S30 S19:S25"/>
  </dataValidations>
  <pageMargins left="0.7" right="0.7" top="0.75" bottom="0.75" header="0.3" footer="0.3"/>
  <pageSetup paperSize="9" scale="86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54"/>
  <sheetViews>
    <sheetView topLeftCell="B8" zoomScale="85" zoomScaleNormal="85" zoomScaleSheetLayoutView="70" workbookViewId="0">
      <selection activeCell="E29" sqref="E29"/>
    </sheetView>
  </sheetViews>
  <sheetFormatPr defaultRowHeight="15" x14ac:dyDescent="0.25"/>
  <cols>
    <col min="1" max="1" width="5.28515625" style="614" customWidth="1"/>
    <col min="2" max="2" width="31.42578125" style="614" customWidth="1"/>
    <col min="3" max="3" width="36.5703125" style="614" customWidth="1"/>
    <col min="4" max="5" width="14.28515625" style="614" customWidth="1"/>
    <col min="6" max="6" width="19.7109375" style="614" customWidth="1"/>
    <col min="7" max="9" width="9.140625" style="614"/>
    <col min="10" max="10" width="14.140625" style="1165" customWidth="1"/>
    <col min="11" max="12" width="14.28515625" style="1165" customWidth="1"/>
    <col min="13" max="13" width="10.140625" style="1165" customWidth="1"/>
    <col min="14" max="14" width="10.42578125" style="614" customWidth="1"/>
    <col min="15" max="16384" width="9.140625" style="614"/>
  </cols>
  <sheetData>
    <row r="1" spans="1:13" x14ac:dyDescent="0.25">
      <c r="A1" s="1454"/>
      <c r="B1" s="1454"/>
      <c r="C1" s="1456" t="s">
        <v>3991</v>
      </c>
      <c r="D1" s="1456"/>
      <c r="E1" s="1262" t="s">
        <v>4099</v>
      </c>
      <c r="F1" s="1262"/>
    </row>
    <row r="2" spans="1:13" ht="36" customHeight="1" x14ac:dyDescent="0.25">
      <c r="A2" s="1454"/>
      <c r="B2" s="1454"/>
      <c r="C2" s="1456"/>
      <c r="D2" s="1456"/>
      <c r="E2" s="1262"/>
      <c r="F2" s="1262"/>
    </row>
    <row r="3" spans="1:13" ht="22.5" customHeight="1" x14ac:dyDescent="0.25">
      <c r="A3" s="1454"/>
      <c r="B3" s="1454"/>
      <c r="C3" s="1456"/>
      <c r="D3" s="1456"/>
      <c r="E3" s="1262"/>
      <c r="F3" s="1262"/>
      <c r="J3" s="1166"/>
      <c r="K3" s="1166"/>
      <c r="L3" s="1166"/>
      <c r="M3" s="1166"/>
    </row>
    <row r="5" spans="1:13" s="1117" customFormat="1" ht="18" customHeight="1" x14ac:dyDescent="0.3">
      <c r="A5" s="1142" t="s">
        <v>3992</v>
      </c>
      <c r="B5" s="751"/>
      <c r="C5" s="751" t="s">
        <v>1114</v>
      </c>
      <c r="D5" s="751"/>
      <c r="E5" s="751"/>
      <c r="F5" s="751"/>
      <c r="J5" s="1169"/>
      <c r="K5" s="1169"/>
      <c r="L5" s="1169"/>
      <c r="M5" s="1169"/>
    </row>
    <row r="6" spans="1:13" s="1117" customFormat="1" ht="18" customHeight="1" x14ac:dyDescent="0.3">
      <c r="A6" s="1142" t="s">
        <v>3993</v>
      </c>
      <c r="B6" s="751"/>
      <c r="C6" s="751" t="s">
        <v>1112</v>
      </c>
      <c r="D6" s="751"/>
      <c r="E6" s="751"/>
      <c r="F6" s="751"/>
      <c r="J6" s="1169"/>
      <c r="K6" s="1169"/>
      <c r="L6" s="1169"/>
      <c r="M6" s="1169"/>
    </row>
    <row r="7" spans="1:13" s="1117" customFormat="1" ht="18" customHeight="1" x14ac:dyDescent="0.3">
      <c r="A7" s="1142" t="s">
        <v>3994</v>
      </c>
      <c r="B7" s="751"/>
      <c r="C7" s="751" t="s">
        <v>3995</v>
      </c>
      <c r="D7" s="751"/>
      <c r="E7" s="751"/>
      <c r="F7" s="751"/>
      <c r="J7" s="1169"/>
      <c r="K7" s="1169"/>
      <c r="L7" s="1169"/>
      <c r="M7" s="1169"/>
    </row>
    <row r="8" spans="1:13" s="1117" customFormat="1" ht="18" customHeight="1" x14ac:dyDescent="0.3">
      <c r="A8" s="1142" t="s">
        <v>3996</v>
      </c>
      <c r="B8" s="751"/>
      <c r="C8" s="751"/>
      <c r="D8" s="751"/>
      <c r="E8" s="751"/>
      <c r="F8" s="751"/>
      <c r="J8" s="1169"/>
      <c r="K8" s="1169"/>
      <c r="L8" s="1169"/>
      <c r="M8" s="1169"/>
    </row>
    <row r="9" spans="1:13" s="1117" customFormat="1" ht="18.75" x14ac:dyDescent="0.25">
      <c r="A9" s="1458" t="s">
        <v>934</v>
      </c>
      <c r="B9" s="1460" t="s">
        <v>3997</v>
      </c>
      <c r="C9" s="1461"/>
      <c r="D9" s="1462" t="s">
        <v>1111</v>
      </c>
      <c r="E9" s="1463"/>
      <c r="F9" s="1458" t="s">
        <v>3496</v>
      </c>
      <c r="H9" s="1118"/>
      <c r="J9" s="1169"/>
      <c r="K9" s="1169"/>
      <c r="L9" s="1169"/>
      <c r="M9" s="1169"/>
    </row>
    <row r="10" spans="1:13" s="1117" customFormat="1" ht="18.75" x14ac:dyDescent="0.25">
      <c r="A10" s="1459"/>
      <c r="B10" s="1143" t="s">
        <v>668</v>
      </c>
      <c r="C10" s="1144" t="s">
        <v>3998</v>
      </c>
      <c r="D10" s="1144" t="s">
        <v>3999</v>
      </c>
      <c r="E10" s="1144" t="s">
        <v>4000</v>
      </c>
      <c r="F10" s="1459"/>
      <c r="H10" s="1118"/>
      <c r="J10" s="1169"/>
      <c r="K10" s="1169"/>
      <c r="L10" s="1169"/>
      <c r="M10" s="1169"/>
    </row>
    <row r="11" spans="1:13" s="1117" customFormat="1" ht="20.100000000000001" customHeight="1" x14ac:dyDescent="0.25">
      <c r="A11" s="1139">
        <v>1</v>
      </c>
      <c r="B11" s="1145" t="s">
        <v>4001</v>
      </c>
      <c r="C11" s="1144" t="str">
        <f>HDKT!D7</f>
        <v xml:space="preserve">23A 001  </v>
      </c>
      <c r="D11" s="1168"/>
      <c r="E11" s="1164"/>
      <c r="F11" s="1144"/>
      <c r="J11" s="1169"/>
      <c r="K11" s="1169"/>
      <c r="L11" s="1169"/>
      <c r="M11" s="1169"/>
    </row>
    <row r="12" spans="1:13" s="1117" customFormat="1" ht="20.100000000000001" customHeight="1" x14ac:dyDescent="0.25">
      <c r="A12" s="1146">
        <v>2</v>
      </c>
      <c r="B12" s="1145" t="s">
        <v>3559</v>
      </c>
      <c r="C12" s="1140">
        <f>Phieutrienkhai!Q20</f>
        <v>303</v>
      </c>
      <c r="D12" s="1168"/>
      <c r="E12" s="1164"/>
      <c r="F12" s="1139"/>
      <c r="J12" s="1169"/>
      <c r="K12" s="1169"/>
      <c r="L12" s="1169"/>
      <c r="M12" s="1169"/>
    </row>
    <row r="13" spans="1:13" s="1117" customFormat="1" ht="20.100000000000001" customHeight="1" x14ac:dyDescent="0.25">
      <c r="A13" s="1139">
        <v>3</v>
      </c>
      <c r="B13" s="1145" t="s">
        <v>4018</v>
      </c>
      <c r="C13" s="1139" t="str">
        <f>Phieutrienkhai!Q22&amp;"/"&amp;Phieutrienkhai!Q23</f>
        <v>22/0.4</v>
      </c>
      <c r="D13" s="1168"/>
      <c r="E13" s="1164"/>
      <c r="F13" s="1139"/>
      <c r="J13" s="1169"/>
      <c r="K13" s="1169"/>
      <c r="L13" s="1169"/>
      <c r="M13" s="1169"/>
    </row>
    <row r="14" spans="1:13" s="1117" customFormat="1" ht="20.100000000000001" customHeight="1" x14ac:dyDescent="0.25">
      <c r="A14" s="1146">
        <v>4</v>
      </c>
      <c r="B14" s="1145" t="s">
        <v>3765</v>
      </c>
      <c r="C14" s="1139" t="str">
        <f>Phieutrienkhai!Q18</f>
        <v>3 pha</v>
      </c>
      <c r="D14" s="1168"/>
      <c r="E14" s="1164"/>
      <c r="F14" s="1139"/>
      <c r="J14" s="1169"/>
      <c r="K14" s="1169"/>
      <c r="L14" s="1169"/>
      <c r="M14" s="1169"/>
    </row>
    <row r="15" spans="1:13" s="1117" customFormat="1" ht="20.100000000000001" customHeight="1" x14ac:dyDescent="0.25">
      <c r="A15" s="1139">
        <v>5</v>
      </c>
      <c r="B15" s="1145" t="s">
        <v>4002</v>
      </c>
      <c r="C15" s="1139" t="str">
        <f>Phieutrienkhai!Q24</f>
        <v>Dyn11</v>
      </c>
      <c r="D15" s="1168"/>
      <c r="E15" s="1164"/>
      <c r="F15" s="1139"/>
      <c r="J15" s="1169"/>
      <c r="K15" s="1169"/>
      <c r="L15" s="1169"/>
      <c r="M15" s="1169"/>
    </row>
    <row r="16" spans="1:13" s="1117" customFormat="1" ht="20.100000000000001" customHeight="1" x14ac:dyDescent="0.25">
      <c r="A16" s="1146">
        <v>6</v>
      </c>
      <c r="B16" s="1145" t="s">
        <v>4019</v>
      </c>
      <c r="C16" s="1139">
        <v>50</v>
      </c>
      <c r="D16" s="1168"/>
      <c r="E16" s="1164"/>
      <c r="F16" s="1139"/>
      <c r="J16" s="1169"/>
      <c r="K16" s="1169"/>
      <c r="L16" s="1169"/>
      <c r="M16" s="1169"/>
    </row>
    <row r="17" spans="1:16" s="1117" customFormat="1" ht="20.100000000000001" customHeight="1" x14ac:dyDescent="0.25">
      <c r="A17" s="1139">
        <v>7</v>
      </c>
      <c r="B17" s="1145" t="s">
        <v>3849</v>
      </c>
      <c r="C17" s="1139" t="str">
        <f>Phieutrienkhai!Q19</f>
        <v>Ngâm dầu- kiểu kín</v>
      </c>
      <c r="D17" s="1168"/>
      <c r="E17" s="1164"/>
      <c r="F17" s="1139"/>
      <c r="J17" s="1169"/>
      <c r="K17" s="1169"/>
      <c r="L17" s="1169"/>
      <c r="M17" s="1169"/>
    </row>
    <row r="18" spans="1:16" s="1117" customFormat="1" ht="20.100000000000001" customHeight="1" x14ac:dyDescent="0.25">
      <c r="A18" s="1146">
        <v>8</v>
      </c>
      <c r="B18" s="1145" t="s">
        <v>1014</v>
      </c>
      <c r="C18" s="1139" t="str">
        <f>HDKT!E24</f>
        <v xml:space="preserve"> Sứ 22 kV CD đường rò 600</v>
      </c>
      <c r="D18" s="1164"/>
      <c r="E18" s="1164"/>
      <c r="F18" s="1139"/>
      <c r="J18" s="1169"/>
      <c r="K18" s="1169"/>
      <c r="L18" s="1169"/>
      <c r="M18" s="1169"/>
    </row>
    <row r="19" spans="1:16" s="1117" customFormat="1" ht="20.100000000000001" customHeight="1" x14ac:dyDescent="0.25">
      <c r="A19" s="1139">
        <v>9</v>
      </c>
      <c r="B19" s="1145" t="s">
        <v>3778</v>
      </c>
      <c r="C19" s="1139" t="str">
        <f>Phieutrienkhai!Q25</f>
        <v>NEMA</v>
      </c>
      <c r="D19" s="1164"/>
      <c r="E19" s="1164"/>
      <c r="F19" s="1139"/>
      <c r="J19" s="1169" t="s">
        <v>4086</v>
      </c>
      <c r="K19" s="1169" t="s">
        <v>4083</v>
      </c>
      <c r="L19" s="1169" t="s">
        <v>4084</v>
      </c>
      <c r="M19" s="1169"/>
    </row>
    <row r="20" spans="1:16" s="1117" customFormat="1" ht="20.100000000000001" customHeight="1" x14ac:dyDescent="0.25">
      <c r="A20" s="1146">
        <v>10</v>
      </c>
      <c r="B20" s="1145" t="s">
        <v>4003</v>
      </c>
      <c r="C20" s="1139" t="str">
        <f>K21&amp;J19&amp;L21&amp;"("&amp;M21&amp;"%"&amp;")"</f>
        <v>2820/4500(-37.33%)</v>
      </c>
      <c r="D20" s="1164"/>
      <c r="E20" s="1164"/>
      <c r="F20" s="1139" t="str">
        <f>M24</f>
        <v>đạt HSNL</v>
      </c>
      <c r="J20" s="1169" t="s">
        <v>4081</v>
      </c>
      <c r="K20" s="1169">
        <v>24970</v>
      </c>
      <c r="L20" s="1170">
        <v>29500</v>
      </c>
      <c r="M20" s="1169">
        <f>-ROUND((1-K20/L20)*100,2)</f>
        <v>-15.36</v>
      </c>
      <c r="N20" s="1117">
        <f>IF(P20=TRUE,M20,"")</f>
        <v>-15.36</v>
      </c>
      <c r="P20" s="1117" t="b">
        <f>ISNUMBER(K20)</f>
        <v>1</v>
      </c>
    </row>
    <row r="21" spans="1:16" s="1117" customFormat="1" ht="20.100000000000001" customHeight="1" x14ac:dyDescent="0.25">
      <c r="A21" s="1139">
        <v>11</v>
      </c>
      <c r="B21" s="1145" t="s">
        <v>4004</v>
      </c>
      <c r="C21" s="1139" t="str">
        <f>K20&amp;J19&amp;L20&amp;"("&amp;N20&amp;"%"&amp;")"</f>
        <v>24970/29500(-15.36%)</v>
      </c>
      <c r="D21" s="1164"/>
      <c r="E21" s="1164"/>
      <c r="F21" s="1139" t="str">
        <f>M24</f>
        <v>đạt HSNL</v>
      </c>
      <c r="J21" s="1169" t="s">
        <v>4082</v>
      </c>
      <c r="K21" s="1169">
        <v>2820</v>
      </c>
      <c r="L21" s="1169">
        <v>4500</v>
      </c>
      <c r="M21" s="1169">
        <f>-ROUND((1-K21/L21)*100,2)</f>
        <v>-37.33</v>
      </c>
      <c r="N21" s="1117">
        <f>IF(P21=TRUE,M21,"")</f>
        <v>-37.33</v>
      </c>
      <c r="P21" s="1117" t="b">
        <f>ISNUMBER(K21)</f>
        <v>1</v>
      </c>
    </row>
    <row r="22" spans="1:16" s="1117" customFormat="1" ht="20.100000000000001" customHeight="1" x14ac:dyDescent="0.25">
      <c r="A22" s="1146">
        <v>12</v>
      </c>
      <c r="B22" s="1145" t="s">
        <v>4005</v>
      </c>
      <c r="C22" s="1139" t="str">
        <f>K22&amp;J19&amp;L22&amp;"("&amp;M22&amp;"%"&amp;")"</f>
        <v>5.16/4(29%)</v>
      </c>
      <c r="D22" s="1164"/>
      <c r="E22" s="1164"/>
      <c r="F22" s="1139"/>
      <c r="J22" s="1169" t="s">
        <v>4085</v>
      </c>
      <c r="K22" s="1169">
        <v>5.16</v>
      </c>
      <c r="L22" s="1169">
        <v>4</v>
      </c>
      <c r="M22" s="1169">
        <f>-ROUND((1-K22/L22)*100,2)</f>
        <v>29</v>
      </c>
      <c r="N22" s="1117">
        <f>IF(P22=TRUE,M22,"")</f>
        <v>29</v>
      </c>
      <c r="P22" s="1117" t="b">
        <f>ISNUMBER(K22)</f>
        <v>1</v>
      </c>
    </row>
    <row r="23" spans="1:16" s="1117" customFormat="1" ht="37.5" x14ac:dyDescent="0.25">
      <c r="A23" s="1146">
        <v>13</v>
      </c>
      <c r="B23" s="1147" t="s">
        <v>4305</v>
      </c>
      <c r="C23" s="1212" t="str">
        <f>ROUND(K24,3)&amp;"/"&amp;ROUND(L24,3)</f>
        <v>94.356/92.731</v>
      </c>
      <c r="D23" s="1212"/>
      <c r="E23" s="1212"/>
      <c r="F23" s="1212"/>
      <c r="J23" s="1169"/>
      <c r="K23" s="1169"/>
      <c r="L23" s="1169"/>
      <c r="M23" s="1169"/>
    </row>
    <row r="24" spans="1:16" s="1117" customFormat="1" ht="37.5" x14ac:dyDescent="0.25">
      <c r="A24" s="1146">
        <v>14</v>
      </c>
      <c r="B24" s="1147" t="s">
        <v>4089</v>
      </c>
      <c r="C24" s="1139" t="str">
        <f>K32&amp;"-"&amp;K33&amp;J19&amp;L32&amp;"-"&amp;L33</f>
        <v>57.8-64.26/55-60</v>
      </c>
      <c r="D24" s="1164"/>
      <c r="E24" s="1164"/>
      <c r="F24" s="1139"/>
      <c r="J24" s="1169" t="s">
        <v>4080</v>
      </c>
      <c r="K24" s="1169">
        <f>0.5*C12/(0.5*C12+0.25*K20/1000+K21/1000)*100</f>
        <v>94.355780459322688</v>
      </c>
      <c r="L24" s="1169">
        <f>0.5*C12/(0.5*C12+0.25*L20/1000+L21/1000)*100</f>
        <v>92.73144605967866</v>
      </c>
      <c r="M24" s="1169" t="str">
        <f>IF(K24=0,"",IF(K24&gt;=L24,"đạt HSNL","không đạt HSNL"))</f>
        <v>đạt HSNL</v>
      </c>
    </row>
    <row r="25" spans="1:16" s="1117" customFormat="1" ht="37.5" x14ac:dyDescent="0.25">
      <c r="A25" s="1146">
        <v>15</v>
      </c>
      <c r="B25" s="1147" t="s">
        <v>4326</v>
      </c>
      <c r="C25" s="1215"/>
      <c r="D25" s="1215"/>
      <c r="E25" s="1215"/>
      <c r="F25" s="1215"/>
      <c r="J25" s="1169"/>
      <c r="K25" s="1169"/>
      <c r="L25" s="1169"/>
      <c r="M25" s="1169"/>
    </row>
    <row r="26" spans="1:16" s="1117" customFormat="1" ht="18.75" x14ac:dyDescent="0.25">
      <c r="A26" s="1146" t="s">
        <v>3683</v>
      </c>
      <c r="B26" s="1147" t="s">
        <v>1073</v>
      </c>
      <c r="C26" s="1215" t="str">
        <f>IF(L26=0,K26,K26&amp;$J$19&amp;L26&amp;"("&amp;M26&amp;"%"&amp;")")</f>
        <v>1570/1580(0.63%)</v>
      </c>
      <c r="D26" s="1215"/>
      <c r="E26" s="1215"/>
      <c r="F26" s="1215"/>
      <c r="J26" s="1147" t="s">
        <v>1073</v>
      </c>
      <c r="K26" s="1120">
        <v>1570</v>
      </c>
      <c r="L26" s="1120">
        <v>1580</v>
      </c>
      <c r="M26" s="1169">
        <f>ROUND((1-K26/L26)*100,2)</f>
        <v>0.63</v>
      </c>
    </row>
    <row r="27" spans="1:16" s="1117" customFormat="1" ht="18.75" x14ac:dyDescent="0.25">
      <c r="A27" s="1146" t="s">
        <v>3683</v>
      </c>
      <c r="B27" s="1147" t="s">
        <v>1071</v>
      </c>
      <c r="C27" s="1215" t="str">
        <f t="shared" ref="C27:C29" si="0">IF(L27=0,K27,K27&amp;$J$19&amp;L27&amp;"("&amp;M27&amp;"%"&amp;")")</f>
        <v>990/990(0%)</v>
      </c>
      <c r="D27" s="1215"/>
      <c r="E27" s="1215"/>
      <c r="F27" s="1215"/>
      <c r="J27" s="1147" t="s">
        <v>1071</v>
      </c>
      <c r="K27" s="1120">
        <v>990</v>
      </c>
      <c r="L27" s="1120">
        <v>990</v>
      </c>
      <c r="M27" s="1169">
        <f t="shared" ref="M27:M29" si="1">ROUND((1-K27/L27)*100,2)</f>
        <v>0</v>
      </c>
    </row>
    <row r="28" spans="1:16" s="1117" customFormat="1" ht="18.75" x14ac:dyDescent="0.25">
      <c r="A28" s="1146" t="s">
        <v>3683</v>
      </c>
      <c r="B28" s="1147" t="s">
        <v>4327</v>
      </c>
      <c r="C28" s="1215" t="str">
        <f t="shared" si="0"/>
        <v>1319/1290(-2.25%)</v>
      </c>
      <c r="D28" s="1215"/>
      <c r="E28" s="1215"/>
      <c r="F28" s="1215"/>
      <c r="J28" s="1147" t="s">
        <v>4327</v>
      </c>
      <c r="K28" s="1120">
        <v>1319</v>
      </c>
      <c r="L28" s="1120">
        <v>1290</v>
      </c>
      <c r="M28" s="1169">
        <f t="shared" si="1"/>
        <v>-2.25</v>
      </c>
    </row>
    <row r="29" spans="1:16" s="1117" customFormat="1" ht="18.75" x14ac:dyDescent="0.25">
      <c r="A29" s="1146" t="s">
        <v>3683</v>
      </c>
      <c r="B29" s="1147" t="s">
        <v>4328</v>
      </c>
      <c r="C29" s="1215" t="str">
        <f t="shared" si="0"/>
        <v>670/670(0%)</v>
      </c>
      <c r="D29" s="1215"/>
      <c r="E29" s="1215"/>
      <c r="F29" s="1215"/>
      <c r="J29" s="1147" t="s">
        <v>4328</v>
      </c>
      <c r="K29" s="1120">
        <v>670</v>
      </c>
      <c r="L29" s="1120">
        <v>670</v>
      </c>
      <c r="M29" s="1169">
        <f t="shared" si="1"/>
        <v>0</v>
      </c>
    </row>
    <row r="30" spans="1:16" s="1117" customFormat="1" ht="18.75" x14ac:dyDescent="0.25">
      <c r="A30" s="1146">
        <v>15</v>
      </c>
      <c r="B30" s="1147" t="s">
        <v>3751</v>
      </c>
      <c r="C30" s="1212" t="str">
        <f>HDKT!E26</f>
        <v>RAL 7033 (HAVEC)</v>
      </c>
      <c r="D30" s="1212"/>
      <c r="E30" s="1212"/>
      <c r="F30" s="1212"/>
      <c r="J30" s="1169"/>
      <c r="K30" s="1169"/>
      <c r="L30" s="1169"/>
      <c r="M30" s="1169"/>
    </row>
    <row r="31" spans="1:16" s="1117" customFormat="1" ht="20.100000000000001" customHeight="1" x14ac:dyDescent="0.25">
      <c r="A31" s="1146">
        <v>16</v>
      </c>
      <c r="B31" s="1145" t="s">
        <v>3750</v>
      </c>
      <c r="C31" s="1139" t="str">
        <f>HDKT!E25</f>
        <v>UNITRANS</v>
      </c>
      <c r="D31" s="1164"/>
      <c r="E31" s="1164"/>
      <c r="F31" s="1139"/>
      <c r="J31" s="1169" t="s">
        <v>4087</v>
      </c>
      <c r="K31" s="1169"/>
      <c r="L31" s="1169"/>
      <c r="M31" s="1169"/>
    </row>
    <row r="32" spans="1:16" s="1117" customFormat="1" ht="20.100000000000001" customHeight="1" x14ac:dyDescent="0.25">
      <c r="A32" s="1146">
        <v>17</v>
      </c>
      <c r="B32" s="1145" t="s">
        <v>3535</v>
      </c>
      <c r="C32" s="1140" t="s">
        <v>3670</v>
      </c>
      <c r="D32" s="1164"/>
      <c r="E32" s="1164"/>
      <c r="F32" s="1139"/>
      <c r="J32" s="1169" t="s">
        <v>2553</v>
      </c>
      <c r="K32" s="1169">
        <v>57.8</v>
      </c>
      <c r="L32" s="1169">
        <v>55</v>
      </c>
      <c r="M32" s="1169"/>
    </row>
    <row r="33" spans="1:13" s="1117" customFormat="1" ht="20.100000000000001" customHeight="1" x14ac:dyDescent="0.25">
      <c r="A33" s="1146">
        <v>18</v>
      </c>
      <c r="B33" s="1147" t="s">
        <v>4006</v>
      </c>
      <c r="C33" s="1140" t="s">
        <v>3670</v>
      </c>
      <c r="D33" s="1164"/>
      <c r="E33" s="1164"/>
      <c r="F33" s="1139"/>
      <c r="J33" s="1169" t="s">
        <v>4088</v>
      </c>
      <c r="K33" s="1169">
        <v>64.260000000000005</v>
      </c>
      <c r="L33" s="1169">
        <v>60</v>
      </c>
      <c r="M33" s="1169"/>
    </row>
    <row r="34" spans="1:13" s="1117" customFormat="1" ht="20.100000000000001" customHeight="1" x14ac:dyDescent="0.25">
      <c r="A34" s="1146">
        <v>19</v>
      </c>
      <c r="B34" s="1147" t="s">
        <v>4008</v>
      </c>
      <c r="C34" s="1140" t="str">
        <f>HDKT!E28</f>
        <v>KHÔNG DÙNG</v>
      </c>
      <c r="D34" s="1164"/>
      <c r="E34" s="1164"/>
      <c r="F34" s="1139"/>
      <c r="J34" s="1169"/>
      <c r="K34" s="1169"/>
      <c r="L34" s="1169"/>
      <c r="M34" s="1169"/>
    </row>
    <row r="35" spans="1:13" s="1117" customFormat="1" ht="20.100000000000001" customHeight="1" x14ac:dyDescent="0.25">
      <c r="A35" s="1146">
        <v>20</v>
      </c>
      <c r="B35" s="1145" t="s">
        <v>4009</v>
      </c>
      <c r="C35" s="1161" t="str">
        <f>HDKT!E29</f>
        <v>KHÔNG DÙNG</v>
      </c>
      <c r="D35" s="1164"/>
      <c r="E35" s="1164"/>
      <c r="F35" s="1139"/>
      <c r="J35" s="1169"/>
      <c r="K35" s="1169"/>
      <c r="L35" s="1169"/>
      <c r="M35" s="1169"/>
    </row>
    <row r="36" spans="1:13" s="1117" customFormat="1" ht="20.100000000000001" customHeight="1" x14ac:dyDescent="0.25">
      <c r="A36" s="1146">
        <v>21</v>
      </c>
      <c r="B36" s="1145" t="s">
        <v>4010</v>
      </c>
      <c r="C36" s="1139" t="s">
        <v>4007</v>
      </c>
      <c r="D36" s="1164"/>
      <c r="E36" s="1164"/>
      <c r="F36" s="1139"/>
      <c r="J36" s="1169"/>
      <c r="K36" s="1169"/>
      <c r="L36" s="1169"/>
      <c r="M36" s="1169"/>
    </row>
    <row r="37" spans="1:13" s="1117" customFormat="1" ht="20.100000000000001" customHeight="1" x14ac:dyDescent="0.25">
      <c r="A37" s="1146">
        <v>22</v>
      </c>
      <c r="B37" s="1145" t="s">
        <v>4011</v>
      </c>
      <c r="C37" s="1148" t="str">
        <f>Sheet5!I20</f>
        <v>Cu</v>
      </c>
      <c r="D37" s="1164"/>
      <c r="E37" s="1164"/>
      <c r="F37" s="1139"/>
      <c r="J37" s="1169"/>
      <c r="K37" s="1169"/>
      <c r="L37" s="1169"/>
      <c r="M37" s="1169"/>
    </row>
    <row r="38" spans="1:13" s="1117" customFormat="1" ht="20.100000000000001" customHeight="1" x14ac:dyDescent="0.25">
      <c r="A38" s="1146">
        <v>23</v>
      </c>
      <c r="B38" s="1145" t="s">
        <v>4012</v>
      </c>
      <c r="C38" s="1148" t="str">
        <f>Sheet5!I30</f>
        <v>Cu</v>
      </c>
      <c r="D38" s="1164"/>
      <c r="E38" s="1164"/>
      <c r="F38" s="1139"/>
      <c r="J38" s="1169"/>
      <c r="K38" s="1169"/>
      <c r="L38" s="1169"/>
      <c r="M38" s="1169"/>
    </row>
    <row r="39" spans="1:13" s="1117" customFormat="1" ht="20.100000000000001" customHeight="1" x14ac:dyDescent="0.25">
      <c r="A39" s="1146">
        <v>24</v>
      </c>
      <c r="B39" s="1145" t="s">
        <v>4013</v>
      </c>
      <c r="C39" s="1139" t="str">
        <f>HDKT!G6</f>
        <v>1TH3030V01O-01</v>
      </c>
      <c r="D39" s="1164"/>
      <c r="E39" s="1164"/>
      <c r="F39" s="1139"/>
      <c r="J39" s="1169"/>
      <c r="K39" s="1169"/>
      <c r="L39" s="1169"/>
      <c r="M39" s="1169"/>
    </row>
    <row r="40" spans="1:13" s="1117" customFormat="1" ht="20.100000000000001" customHeight="1" x14ac:dyDescent="0.25">
      <c r="A40" s="1146">
        <v>25</v>
      </c>
      <c r="B40" s="1149" t="s">
        <v>4014</v>
      </c>
      <c r="C40" s="1139"/>
      <c r="D40" s="1150"/>
      <c r="E40" s="1150"/>
      <c r="F40" s="1150"/>
      <c r="J40" s="1169"/>
      <c r="K40" s="1169"/>
      <c r="L40" s="1169"/>
      <c r="M40" s="1169"/>
    </row>
    <row r="41" spans="1:13" s="1117" customFormat="1" ht="20.100000000000001" customHeight="1" x14ac:dyDescent="0.25">
      <c r="A41" s="1146">
        <v>26</v>
      </c>
      <c r="B41" s="1141" t="s">
        <v>4015</v>
      </c>
      <c r="C41" s="1151"/>
      <c r="D41" s="1150"/>
      <c r="E41" s="1150"/>
      <c r="F41" s="1139"/>
      <c r="J41" s="1169"/>
      <c r="K41" s="1169"/>
      <c r="L41" s="1169"/>
      <c r="M41" s="1169"/>
    </row>
    <row r="42" spans="1:13" s="1117" customFormat="1" ht="20.100000000000001" customHeight="1" x14ac:dyDescent="0.25">
      <c r="A42" s="1152"/>
      <c r="B42" s="1141"/>
      <c r="C42" s="1151"/>
      <c r="D42" s="1164"/>
      <c r="E42" s="1164"/>
      <c r="F42" s="1139"/>
      <c r="J42" s="1169"/>
      <c r="K42" s="1169"/>
      <c r="L42" s="1169"/>
      <c r="M42" s="1169"/>
    </row>
    <row r="43" spans="1:13" s="1117" customFormat="1" ht="20.100000000000001" customHeight="1" x14ac:dyDescent="0.25">
      <c r="A43" s="1153"/>
      <c r="B43" s="1154"/>
      <c r="C43" s="1151"/>
      <c r="D43" s="1164"/>
      <c r="E43" s="1164"/>
      <c r="F43" s="1139"/>
      <c r="J43" s="1169"/>
      <c r="K43" s="1169"/>
      <c r="L43" s="1169"/>
      <c r="M43" s="1169"/>
    </row>
    <row r="44" spans="1:13" s="1117" customFormat="1" ht="18" customHeight="1" x14ac:dyDescent="0.3">
      <c r="A44" s="751"/>
      <c r="B44" s="751"/>
      <c r="C44" s="751"/>
      <c r="D44" s="751"/>
      <c r="E44" s="751"/>
      <c r="F44" s="751"/>
      <c r="J44" s="1169"/>
      <c r="K44" s="1169"/>
      <c r="L44" s="1169"/>
      <c r="M44" s="1169"/>
    </row>
    <row r="45" spans="1:13" s="1117" customFormat="1" ht="18" customHeight="1" x14ac:dyDescent="0.3">
      <c r="A45" s="1455" t="s">
        <v>4121</v>
      </c>
      <c r="B45" s="1455"/>
      <c r="C45" s="1155">
        <f ca="1">NOW()</f>
        <v>45418.916845486114</v>
      </c>
      <c r="D45" s="1455" t="s">
        <v>4121</v>
      </c>
      <c r="E45" s="1455"/>
      <c r="F45" s="1455"/>
      <c r="J45" s="1169"/>
      <c r="K45" s="1169"/>
      <c r="L45" s="1169"/>
      <c r="M45" s="1169"/>
    </row>
    <row r="46" spans="1:13" s="1117" customFormat="1" ht="18" customHeight="1" x14ac:dyDescent="0.3">
      <c r="A46" s="1455" t="s">
        <v>4016</v>
      </c>
      <c r="B46" s="1455"/>
      <c r="C46" s="1156" t="s">
        <v>4017</v>
      </c>
      <c r="D46" s="1457" t="s">
        <v>1111</v>
      </c>
      <c r="E46" s="1457"/>
      <c r="F46" s="1457"/>
      <c r="J46" s="1169"/>
      <c r="K46" s="1169"/>
      <c r="L46" s="1169"/>
      <c r="M46" s="1169"/>
    </row>
    <row r="47" spans="1:13" x14ac:dyDescent="0.25">
      <c r="A47" s="1107"/>
      <c r="B47" s="1107"/>
      <c r="D47" s="1107"/>
      <c r="E47" s="1107"/>
      <c r="F47" s="1107"/>
    </row>
    <row r="48" spans="1:13" x14ac:dyDescent="0.25">
      <c r="A48" s="1107"/>
      <c r="B48" s="1107"/>
      <c r="D48" s="1107"/>
      <c r="E48" s="1107"/>
      <c r="F48" s="1107"/>
    </row>
    <row r="54" spans="1:6" ht="18.75" x14ac:dyDescent="0.3">
      <c r="A54" s="1455" t="s">
        <v>1114</v>
      </c>
      <c r="B54" s="1455"/>
      <c r="C54" s="1207" t="s">
        <v>1112</v>
      </c>
      <c r="D54" s="1455" t="s">
        <v>1114</v>
      </c>
      <c r="E54" s="1455"/>
      <c r="F54" s="1455"/>
    </row>
  </sheetData>
  <mergeCells count="13">
    <mergeCell ref="D54:F54"/>
    <mergeCell ref="A54:B54"/>
    <mergeCell ref="A1:B3"/>
    <mergeCell ref="C1:D3"/>
    <mergeCell ref="E1:F3"/>
    <mergeCell ref="A46:B46"/>
    <mergeCell ref="D46:F46"/>
    <mergeCell ref="A9:A10"/>
    <mergeCell ref="B9:C9"/>
    <mergeCell ref="D9:E9"/>
    <mergeCell ref="F9:F10"/>
    <mergeCell ref="A45:B45"/>
    <mergeCell ref="D45:F45"/>
  </mergeCells>
  <dataValidations disablePrompts="1" count="1">
    <dataValidation allowBlank="1" showInputMessage="1" showErrorMessage="1" sqref="C13:C19 C31:C38"/>
  </dataValidations>
  <pageMargins left="0.7" right="0.7" top="0.75" bottom="0.75" header="0.3" footer="0.3"/>
  <pageSetup paperSize="9" scale="71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I50"/>
  <sheetViews>
    <sheetView zoomScaleNormal="100" workbookViewId="0">
      <pane ySplit="1" topLeftCell="A2" activePane="bottomLeft" state="frozen"/>
      <selection pane="bottomLeft" activeCell="E10" sqref="E10"/>
    </sheetView>
  </sheetViews>
  <sheetFormatPr defaultColWidth="8.85546875" defaultRowHeight="15" x14ac:dyDescent="0.25"/>
  <cols>
    <col min="1" max="1" width="5.28515625" style="614" customWidth="1"/>
    <col min="2" max="2" width="8.85546875" style="614"/>
    <col min="3" max="3" width="8.7109375" style="614" customWidth="1"/>
    <col min="4" max="4" width="5" style="614" customWidth="1"/>
    <col min="5" max="5" width="31.28515625" style="614" customWidth="1"/>
    <col min="6" max="6" width="10" style="614" customWidth="1"/>
    <col min="7" max="7" width="9.28515625" style="614" customWidth="1"/>
    <col min="8" max="8" width="32.85546875" style="614" customWidth="1"/>
    <col min="9" max="14" width="8.85546875" style="614"/>
    <col min="15" max="15" width="29.7109375" style="614" customWidth="1"/>
    <col min="16" max="16" width="10.140625" style="646" customWidth="1"/>
    <col min="17" max="17" width="8.85546875" style="614"/>
    <col min="18" max="18" width="17" style="646" customWidth="1"/>
    <col min="19" max="19" width="8.85546875" style="646"/>
    <col min="20" max="21" width="7.140625" style="646" customWidth="1"/>
    <col min="22" max="22" width="14" style="646" customWidth="1"/>
    <col min="23" max="23" width="8.85546875" style="646"/>
    <col min="24" max="24" width="1.5703125" style="646" customWidth="1"/>
    <col min="25" max="25" width="29.7109375" style="646" customWidth="1"/>
    <col min="26" max="26" width="9.28515625" style="646" customWidth="1"/>
    <col min="27" max="27" width="2.7109375" style="646" customWidth="1"/>
    <col min="28" max="28" width="13.85546875" style="646" customWidth="1"/>
    <col min="29" max="29" width="8.85546875" style="646"/>
    <col min="30" max="30" width="2.85546875" style="646" customWidth="1"/>
    <col min="31" max="31" width="8.85546875" style="646" customWidth="1"/>
    <col min="32" max="32" width="8.85546875" style="646"/>
    <col min="33" max="33" width="2.7109375" style="646" customWidth="1"/>
    <col min="34" max="34" width="17.7109375" style="646" customWidth="1"/>
    <col min="35" max="35" width="8.85546875" style="646"/>
    <col min="36" max="16384" width="8.85546875" style="614"/>
  </cols>
  <sheetData>
    <row r="1" spans="1:26" ht="28.15" customHeight="1" x14ac:dyDescent="0.25">
      <c r="A1" s="1464"/>
      <c r="B1" s="1464"/>
    </row>
    <row r="2" spans="1:26" ht="18.75" x14ac:dyDescent="0.3">
      <c r="A2" s="1465" t="s">
        <v>3734</v>
      </c>
      <c r="B2" s="1465"/>
      <c r="C2" s="1465"/>
      <c r="D2" s="1465"/>
      <c r="E2" s="1465"/>
      <c r="F2" s="1465"/>
      <c r="G2" s="1465"/>
      <c r="H2" s="1465"/>
      <c r="R2" s="1091"/>
    </row>
    <row r="4" spans="1:26" x14ac:dyDescent="0.25">
      <c r="A4" s="614" t="s">
        <v>3735</v>
      </c>
      <c r="C4" s="614" t="s">
        <v>1112</v>
      </c>
      <c r="G4" s="1039" t="s">
        <v>3736</v>
      </c>
      <c r="H4" s="1092">
        <f ca="1">NOW()</f>
        <v>45418.916845486114</v>
      </c>
    </row>
    <row r="5" spans="1:26" x14ac:dyDescent="0.25">
      <c r="A5" s="614" t="s">
        <v>3737</v>
      </c>
      <c r="C5" s="614" t="s">
        <v>3738</v>
      </c>
      <c r="G5" s="1466" t="s">
        <v>3739</v>
      </c>
      <c r="H5" s="1467"/>
    </row>
    <row r="6" spans="1:26" x14ac:dyDescent="0.25">
      <c r="A6" s="792" t="s">
        <v>3740</v>
      </c>
      <c r="G6" s="1466" t="str">
        <f>Phieutrienkhai!Q15</f>
        <v>1TH3030V01O-01</v>
      </c>
      <c r="H6" s="1467"/>
      <c r="K6" s="545"/>
      <c r="L6" s="545"/>
      <c r="M6" s="545"/>
      <c r="N6" s="545"/>
      <c r="O6" s="545"/>
      <c r="P6" s="555"/>
      <c r="Q6" s="545"/>
      <c r="R6" s="555"/>
      <c r="S6" s="555"/>
      <c r="T6" s="555"/>
      <c r="U6" s="555"/>
      <c r="V6" s="555"/>
      <c r="W6" s="555"/>
      <c r="X6" s="555"/>
      <c r="Y6" s="555"/>
      <c r="Z6" s="555"/>
    </row>
    <row r="7" spans="1:26" ht="19.899999999999999" customHeight="1" x14ac:dyDescent="0.25">
      <c r="A7" s="1051" t="s">
        <v>3741</v>
      </c>
      <c r="B7" s="1052"/>
      <c r="C7" s="1052"/>
      <c r="D7" s="1052" t="str">
        <f>Phieutrienkhai!E9</f>
        <v xml:space="preserve">23A 001  </v>
      </c>
      <c r="E7" s="1052"/>
      <c r="G7" s="1039" t="s">
        <v>3742</v>
      </c>
      <c r="H7" s="1039" t="str">
        <f>Phieutrienkhai!Q18&amp;","&amp;Phieutrienkhai!Q19</f>
        <v>3 pha,Ngâm dầu- kiểu kín</v>
      </c>
      <c r="K7" s="545"/>
      <c r="L7" s="545"/>
      <c r="M7" s="545"/>
      <c r="N7" s="545"/>
      <c r="O7" s="545"/>
      <c r="P7" s="555"/>
      <c r="Q7" s="545"/>
      <c r="R7" s="555"/>
      <c r="S7" s="555"/>
      <c r="T7" s="555"/>
      <c r="U7" s="555"/>
      <c r="V7" s="555"/>
      <c r="W7" s="555"/>
      <c r="X7" s="555"/>
      <c r="Y7" s="555"/>
      <c r="Z7" s="555"/>
    </row>
    <row r="8" spans="1:26" ht="19.899999999999999" customHeight="1" x14ac:dyDescent="0.25">
      <c r="A8" s="1051" t="s">
        <v>3743</v>
      </c>
      <c r="B8" s="1052"/>
      <c r="C8" s="1052"/>
      <c r="D8" s="1052" t="str">
        <f>"MBA "&amp;Phieutrienkhai!E7</f>
        <v>MBA 303kVA – 22/0.4kV Dyn11</v>
      </c>
      <c r="E8" s="1052"/>
      <c r="F8" s="1052"/>
      <c r="G8" s="1039" t="s">
        <v>4097</v>
      </c>
      <c r="H8" s="1039" t="s">
        <v>4098</v>
      </c>
      <c r="K8" s="545"/>
      <c r="L8" s="545"/>
      <c r="M8" s="545"/>
      <c r="N8" s="545"/>
      <c r="O8" s="545"/>
      <c r="P8" s="555"/>
      <c r="Q8" s="1093"/>
      <c r="R8" s="555"/>
      <c r="S8" s="555"/>
      <c r="X8" s="555"/>
      <c r="Y8" s="555" t="s">
        <v>3776</v>
      </c>
      <c r="Z8" s="555"/>
    </row>
    <row r="9" spans="1:26" ht="17.45" customHeight="1" x14ac:dyDescent="0.25">
      <c r="A9" s="1051" t="s">
        <v>3851</v>
      </c>
      <c r="B9" s="1052"/>
      <c r="C9" s="1052"/>
      <c r="D9" s="1094">
        <f>Phieutrienkhai!E10</f>
        <v>1</v>
      </c>
      <c r="E9" s="1052"/>
      <c r="F9" s="1052"/>
      <c r="G9" s="1052"/>
      <c r="H9" s="1052"/>
      <c r="K9" s="545"/>
      <c r="L9" s="545"/>
      <c r="M9" s="545"/>
      <c r="N9" s="545"/>
      <c r="O9" s="545"/>
      <c r="P9" s="555"/>
      <c r="Q9" s="545"/>
      <c r="R9" s="555"/>
      <c r="S9" s="555"/>
      <c r="X9" s="555"/>
      <c r="Y9" s="555" t="s">
        <v>3776</v>
      </c>
      <c r="Z9" s="555"/>
    </row>
    <row r="10" spans="1:26" x14ac:dyDescent="0.25">
      <c r="A10" s="1095" t="s">
        <v>3852</v>
      </c>
      <c r="B10" s="1053"/>
      <c r="C10" s="1053"/>
      <c r="D10" s="1096" t="str">
        <f>Phieutrienkhai!E12</f>
        <v>12/2/2023</v>
      </c>
      <c r="E10" s="1053"/>
      <c r="F10" s="632"/>
      <c r="G10" s="632"/>
      <c r="H10" s="632"/>
      <c r="K10" s="545"/>
      <c r="L10" s="545"/>
      <c r="M10" s="545"/>
      <c r="N10" s="545"/>
      <c r="O10" s="545"/>
      <c r="P10" s="555"/>
      <c r="Q10" s="545"/>
      <c r="R10" s="555"/>
      <c r="S10" s="555"/>
      <c r="X10" s="555"/>
      <c r="Y10" s="555"/>
      <c r="Z10" s="555"/>
    </row>
    <row r="11" spans="1:26" x14ac:dyDescent="0.25">
      <c r="A11" s="792" t="s">
        <v>3744</v>
      </c>
      <c r="K11" s="545"/>
      <c r="L11" s="545"/>
      <c r="M11" s="545"/>
      <c r="N11" s="545"/>
      <c r="O11" s="545"/>
      <c r="P11" s="555"/>
      <c r="Q11" s="545"/>
      <c r="R11" s="555"/>
      <c r="S11" s="555"/>
      <c r="X11" s="555"/>
      <c r="Y11" s="555" t="s">
        <v>3776</v>
      </c>
      <c r="Z11" s="555"/>
    </row>
    <row r="12" spans="1:26" x14ac:dyDescent="0.25">
      <c r="A12" s="614" t="s">
        <v>3745</v>
      </c>
      <c r="E12" s="1052" t="str">
        <f>Phieutrienkhai!E8</f>
        <v>MBA 303KVA 22/0.4KV (23A 001  )</v>
      </c>
      <c r="K12" s="545"/>
      <c r="L12" s="545"/>
      <c r="M12" s="545"/>
      <c r="N12" s="545"/>
      <c r="O12" s="545"/>
      <c r="P12" s="555"/>
      <c r="Q12" s="545"/>
      <c r="R12" s="555"/>
      <c r="S12" s="555"/>
      <c r="X12" s="555"/>
      <c r="Y12" s="555" t="s">
        <v>3776</v>
      </c>
      <c r="Z12" s="555"/>
    </row>
    <row r="13" spans="1:26" ht="18" customHeight="1" x14ac:dyDescent="0.25">
      <c r="E13" s="1066" t="str">
        <f>"Bản vẽ MBA "&amp;Sheet5!B17&amp;"KVA quyển 1"</f>
        <v>Bản vẽ MBA 303KVA quyển 1</v>
      </c>
      <c r="K13" s="545"/>
      <c r="L13" s="545"/>
      <c r="M13" s="545"/>
      <c r="N13" s="545"/>
      <c r="O13" s="545" t="s">
        <v>4346</v>
      </c>
      <c r="P13" s="555"/>
      <c r="Q13" s="545"/>
      <c r="R13" s="555"/>
      <c r="S13" s="555"/>
      <c r="X13" s="555"/>
      <c r="Y13" s="555" t="s">
        <v>3776</v>
      </c>
      <c r="Z13" s="555"/>
    </row>
    <row r="14" spans="1:26" ht="18" customHeight="1" x14ac:dyDescent="0.25">
      <c r="A14" s="792" t="s">
        <v>3746</v>
      </c>
      <c r="K14" s="545"/>
      <c r="L14" s="545"/>
      <c r="M14" s="545"/>
      <c r="N14" s="545"/>
      <c r="O14" s="1052" t="s">
        <v>4344</v>
      </c>
      <c r="P14" s="1052"/>
      <c r="Q14" s="1053" t="s">
        <v>4345</v>
      </c>
      <c r="X14" s="555"/>
      <c r="Y14" s="555" t="s">
        <v>3776</v>
      </c>
      <c r="Z14" s="555"/>
    </row>
    <row r="15" spans="1:26" ht="18" customHeight="1" x14ac:dyDescent="0.25">
      <c r="A15" s="1052"/>
      <c r="B15" s="1052"/>
      <c r="C15" s="1052"/>
      <c r="D15" s="1052"/>
      <c r="E15" s="1052"/>
      <c r="F15" s="1052"/>
      <c r="G15" s="1052"/>
      <c r="H15" s="1052"/>
      <c r="K15" s="545"/>
      <c r="L15" s="545"/>
      <c r="M15" s="545"/>
      <c r="N15" s="545"/>
      <c r="O15" s="1053"/>
      <c r="P15" s="1053"/>
      <c r="Q15" s="1053" t="s">
        <v>4352</v>
      </c>
      <c r="X15" s="555"/>
      <c r="Y15" s="555" t="s">
        <v>3776</v>
      </c>
      <c r="Z15" s="555"/>
    </row>
    <row r="16" spans="1:26" ht="18" customHeight="1" x14ac:dyDescent="0.25">
      <c r="A16" s="1053"/>
      <c r="B16" s="1053"/>
      <c r="C16" s="1053"/>
      <c r="D16" s="1053"/>
      <c r="E16" s="1053"/>
      <c r="F16" s="1053"/>
      <c r="G16" s="1053"/>
      <c r="H16" s="1053"/>
      <c r="K16" s="545"/>
      <c r="L16" s="545"/>
      <c r="M16" s="545"/>
      <c r="N16" s="545"/>
      <c r="O16" s="1053"/>
      <c r="P16" s="1053"/>
      <c r="Q16" s="1053" t="s">
        <v>4353</v>
      </c>
      <c r="X16" s="555"/>
      <c r="Y16" s="555" t="s">
        <v>3776</v>
      </c>
      <c r="Z16" s="555"/>
    </row>
    <row r="17" spans="1:26" ht="18" customHeight="1" x14ac:dyDescent="0.25">
      <c r="A17" s="1053"/>
      <c r="B17" s="1053"/>
      <c r="C17" s="1053"/>
      <c r="D17" s="1053"/>
      <c r="E17" s="1053"/>
      <c r="F17" s="1053"/>
      <c r="G17" s="1053"/>
      <c r="H17" s="1053"/>
      <c r="K17" s="545"/>
      <c r="L17" s="545"/>
      <c r="M17" s="545"/>
      <c r="N17" s="545"/>
      <c r="O17" s="545"/>
      <c r="P17" s="555"/>
      <c r="Q17" s="545"/>
      <c r="X17" s="555"/>
      <c r="Y17" s="555" t="s">
        <v>3776</v>
      </c>
      <c r="Z17" s="555"/>
    </row>
    <row r="18" spans="1:26" ht="18" customHeight="1" x14ac:dyDescent="0.25">
      <c r="A18" s="1053"/>
      <c r="B18" s="1053"/>
      <c r="C18" s="1053"/>
      <c r="D18" s="1053"/>
      <c r="E18" s="1053"/>
      <c r="F18" s="1053"/>
      <c r="G18" s="1053"/>
      <c r="H18" s="1053"/>
      <c r="K18" s="545"/>
      <c r="L18" s="545"/>
      <c r="Q18" s="545"/>
      <c r="X18" s="555"/>
      <c r="Y18" s="555" t="s">
        <v>3776</v>
      </c>
    </row>
    <row r="19" spans="1:26" ht="18" customHeight="1" x14ac:dyDescent="0.25">
      <c r="A19" s="792" t="s">
        <v>3747</v>
      </c>
      <c r="K19" s="545"/>
      <c r="L19" s="545"/>
      <c r="Q19" s="545"/>
      <c r="X19" s="555"/>
      <c r="Y19" s="555" t="s">
        <v>3776</v>
      </c>
    </row>
    <row r="20" spans="1:26" ht="18" customHeight="1" x14ac:dyDescent="0.25">
      <c r="A20" s="1054" t="s">
        <v>3748</v>
      </c>
      <c r="B20" s="1476" t="s">
        <v>1083</v>
      </c>
      <c r="C20" s="1477"/>
      <c r="D20" s="1478"/>
      <c r="E20" s="1055" t="s">
        <v>1072</v>
      </c>
      <c r="F20" s="1054" t="s">
        <v>3749</v>
      </c>
      <c r="G20" s="1054" t="s">
        <v>161</v>
      </c>
      <c r="H20" s="1054" t="s">
        <v>1148</v>
      </c>
      <c r="K20" s="545"/>
      <c r="L20" s="545"/>
      <c r="Q20" s="545"/>
      <c r="X20" s="555"/>
      <c r="Y20" s="555" t="s">
        <v>3776</v>
      </c>
    </row>
    <row r="21" spans="1:26" ht="18" customHeight="1" x14ac:dyDescent="0.25">
      <c r="A21" s="1468">
        <v>1</v>
      </c>
      <c r="B21" s="1470" t="s">
        <v>3551</v>
      </c>
      <c r="C21" s="1471"/>
      <c r="D21" s="1472"/>
      <c r="E21" s="1070" t="str">
        <f>VatTu!C111</f>
        <v>WST II4 30/35 6x5S</v>
      </c>
      <c r="F21" s="1057" t="s">
        <v>1019</v>
      </c>
      <c r="G21" s="1059">
        <f>VatTu!G111</f>
        <v>1</v>
      </c>
      <c r="H21" s="1054"/>
      <c r="K21" s="545"/>
      <c r="L21" s="545"/>
      <c r="Q21" s="545"/>
    </row>
    <row r="22" spans="1:26" ht="18" customHeight="1" x14ac:dyDescent="0.25">
      <c r="A22" s="1469"/>
      <c r="B22" s="1473"/>
      <c r="C22" s="1474"/>
      <c r="D22" s="1475"/>
      <c r="E22" s="1056" t="str">
        <f>IF(VatTu!C112=0,"",VatTu!C112)</f>
        <v/>
      </c>
      <c r="F22" s="1057" t="s">
        <v>1019</v>
      </c>
      <c r="G22" s="1059">
        <f>VatTu!G112</f>
        <v>0</v>
      </c>
      <c r="H22" s="1054"/>
      <c r="K22" s="545"/>
      <c r="L22" s="545"/>
      <c r="Q22" s="545"/>
    </row>
    <row r="23" spans="1:26" ht="18" customHeight="1" x14ac:dyDescent="0.25">
      <c r="A23" s="1057">
        <v>2</v>
      </c>
      <c r="B23" s="1483" t="s">
        <v>995</v>
      </c>
      <c r="C23" s="1484"/>
      <c r="D23" s="1485"/>
      <c r="E23" s="1070" t="str">
        <f>VatTu!E86&amp;" "&amp;VatTu!J87</f>
        <v>M12-250A đồng vàng</v>
      </c>
      <c r="F23" s="1057" t="s">
        <v>1689</v>
      </c>
      <c r="G23" s="1059">
        <f>VatTu!G86</f>
        <v>4</v>
      </c>
      <c r="H23" s="1057"/>
      <c r="K23" s="545"/>
      <c r="L23" s="545"/>
      <c r="Q23" s="545"/>
    </row>
    <row r="24" spans="1:26" ht="18" customHeight="1" x14ac:dyDescent="0.25">
      <c r="A24" s="1057">
        <v>3</v>
      </c>
      <c r="B24" s="1483" t="s">
        <v>993</v>
      </c>
      <c r="C24" s="1484"/>
      <c r="D24" s="1485"/>
      <c r="E24" s="1090" t="str">
        <f>VatTu!J82</f>
        <v xml:space="preserve"> Sứ 22 kV CD đường rò 600</v>
      </c>
      <c r="F24" s="1057" t="s">
        <v>1689</v>
      </c>
      <c r="G24" s="1059">
        <f>VatTu!G82</f>
        <v>3</v>
      </c>
      <c r="H24" s="1057"/>
      <c r="K24" s="545"/>
      <c r="L24" s="545"/>
      <c r="M24" s="545"/>
      <c r="Q24" s="545"/>
    </row>
    <row r="25" spans="1:26" ht="18" customHeight="1" x14ac:dyDescent="0.25">
      <c r="A25" s="1057">
        <v>4</v>
      </c>
      <c r="B25" s="1483" t="s">
        <v>3750</v>
      </c>
      <c r="C25" s="1484"/>
      <c r="D25" s="1485"/>
      <c r="E25" s="1090" t="s">
        <v>4287</v>
      </c>
      <c r="F25" s="1057" t="s">
        <v>1032</v>
      </c>
      <c r="G25" s="1059">
        <f>VatTu!G24</f>
        <v>700.84643620322231</v>
      </c>
      <c r="H25" s="1057"/>
      <c r="K25" s="545"/>
      <c r="L25" s="545"/>
      <c r="M25" s="545"/>
      <c r="Q25" s="545"/>
    </row>
    <row r="26" spans="1:26" x14ac:dyDescent="0.25">
      <c r="A26" s="1057">
        <v>5</v>
      </c>
      <c r="B26" s="1483" t="s">
        <v>3751</v>
      </c>
      <c r="C26" s="1484"/>
      <c r="D26" s="1485"/>
      <c r="E26" s="1090" t="s">
        <v>3752</v>
      </c>
      <c r="F26" s="1057"/>
      <c r="G26" s="1057"/>
      <c r="H26" s="1057"/>
      <c r="K26" s="545"/>
      <c r="L26" s="545"/>
      <c r="M26" s="545"/>
      <c r="N26" s="545"/>
      <c r="Q26" s="545"/>
    </row>
    <row r="27" spans="1:26" ht="18" customHeight="1" x14ac:dyDescent="0.25">
      <c r="A27" s="1057">
        <v>6</v>
      </c>
      <c r="B27" s="1483" t="s">
        <v>3532</v>
      </c>
      <c r="C27" s="1484"/>
      <c r="D27" s="1485"/>
      <c r="E27" s="1070" t="str">
        <f>VatTu!C67</f>
        <v>0,35AT</v>
      </c>
      <c r="F27" s="1057" t="s">
        <v>1019</v>
      </c>
      <c r="G27" s="1059">
        <f>VatTu!G67</f>
        <v>1</v>
      </c>
      <c r="H27" s="1057"/>
      <c r="K27" s="545"/>
      <c r="L27" s="545"/>
      <c r="M27" s="545"/>
      <c r="N27" s="545"/>
      <c r="Q27" s="545"/>
    </row>
    <row r="28" spans="1:26" s="646" customFormat="1" ht="18" customHeight="1" x14ac:dyDescent="0.25">
      <c r="A28" s="1090">
        <v>7</v>
      </c>
      <c r="B28" s="1483" t="s">
        <v>3753</v>
      </c>
      <c r="C28" s="1484"/>
      <c r="D28" s="1485"/>
      <c r="E28" s="1071" t="str">
        <f>VatTu!C71</f>
        <v>KHÔNG DÙNG</v>
      </c>
      <c r="F28" s="1057" t="s">
        <v>1019</v>
      </c>
      <c r="G28" s="1059">
        <f>VatTu!G71</f>
        <v>0</v>
      </c>
      <c r="H28" s="1090"/>
      <c r="K28" s="545"/>
      <c r="L28" s="545"/>
      <c r="M28" s="545"/>
      <c r="N28" s="545"/>
      <c r="O28" s="614"/>
      <c r="Q28" s="545"/>
    </row>
    <row r="29" spans="1:26" ht="18" customHeight="1" x14ac:dyDescent="0.25">
      <c r="A29" s="1057">
        <v>8</v>
      </c>
      <c r="B29" s="1486" t="s">
        <v>3754</v>
      </c>
      <c r="C29" s="1487"/>
      <c r="D29" s="1488"/>
      <c r="E29" s="1070" t="str">
        <f>VatTu!C70</f>
        <v>KHÔNG DÙNG</v>
      </c>
      <c r="F29" s="1057" t="s">
        <v>1019</v>
      </c>
      <c r="G29" s="1059">
        <f>VatTu!G70</f>
        <v>0</v>
      </c>
      <c r="H29" s="1057"/>
      <c r="K29" s="545"/>
      <c r="L29" s="545"/>
      <c r="M29" s="545"/>
      <c r="N29" s="545"/>
      <c r="Q29" s="545"/>
    </row>
    <row r="30" spans="1:26" ht="18" customHeight="1" x14ac:dyDescent="0.25">
      <c r="A30" s="1057">
        <v>9</v>
      </c>
      <c r="B30" s="1486" t="s">
        <v>3531</v>
      </c>
      <c r="C30" s="1487"/>
      <c r="D30" s="1488"/>
      <c r="E30" s="1070" t="str">
        <f>VatTu!C66</f>
        <v>Loại cho kiểu kín</v>
      </c>
      <c r="F30" s="1057" t="s">
        <v>1019</v>
      </c>
      <c r="G30" s="1059">
        <f>VatTu!G66</f>
        <v>1</v>
      </c>
      <c r="H30" s="1057"/>
      <c r="K30" s="545"/>
      <c r="L30" s="545"/>
      <c r="M30" s="545"/>
      <c r="N30" s="545"/>
      <c r="Q30" s="545"/>
    </row>
    <row r="31" spans="1:26" ht="18" customHeight="1" x14ac:dyDescent="0.25">
      <c r="A31" s="1057">
        <v>10</v>
      </c>
      <c r="B31" s="1486" t="s">
        <v>4294</v>
      </c>
      <c r="C31" s="1487"/>
      <c r="D31" s="1488"/>
      <c r="E31" s="1070" t="str">
        <f>VatTu!D79</f>
        <v>0 kg</v>
      </c>
      <c r="F31" s="1057" t="s">
        <v>1019</v>
      </c>
      <c r="G31" s="1057">
        <f>VatTu!G79</f>
        <v>0</v>
      </c>
      <c r="H31" s="1057"/>
      <c r="K31" s="545"/>
      <c r="L31" s="545"/>
      <c r="M31" s="545"/>
      <c r="N31" s="545"/>
      <c r="Q31" s="545"/>
    </row>
    <row r="32" spans="1:26" ht="18" customHeight="1" x14ac:dyDescent="0.25">
      <c r="A32" s="1039"/>
      <c r="B32" s="1489"/>
      <c r="C32" s="1490"/>
      <c r="D32" s="1491"/>
      <c r="E32" s="1039"/>
      <c r="F32" s="1039"/>
      <c r="G32" s="1039"/>
      <c r="H32" s="1039"/>
      <c r="K32" s="545"/>
      <c r="L32" s="545"/>
      <c r="M32" s="545"/>
      <c r="N32" s="545"/>
      <c r="Q32" s="545"/>
    </row>
    <row r="33" spans="1:17" ht="18" customHeight="1" x14ac:dyDescent="0.25">
      <c r="A33" s="1039"/>
      <c r="B33" s="1466"/>
      <c r="C33" s="1482"/>
      <c r="D33" s="1467"/>
      <c r="E33" s="1039"/>
      <c r="F33" s="1039"/>
      <c r="G33" s="1039"/>
      <c r="H33" s="1039"/>
      <c r="K33" s="545"/>
      <c r="L33" s="545"/>
      <c r="M33" s="545"/>
      <c r="N33" s="545"/>
      <c r="O33" s="545"/>
      <c r="P33" s="555"/>
      <c r="Q33" s="545"/>
    </row>
    <row r="34" spans="1:17" ht="18" customHeight="1" x14ac:dyDescent="0.25">
      <c r="A34" s="1479" t="s">
        <v>3755</v>
      </c>
      <c r="B34" s="1480"/>
      <c r="C34" s="1480"/>
      <c r="D34" s="1480"/>
      <c r="E34" s="1481"/>
      <c r="F34" s="1479" t="s">
        <v>3756</v>
      </c>
      <c r="G34" s="1480"/>
      <c r="H34" s="1481"/>
      <c r="K34" s="545"/>
      <c r="L34" s="545"/>
      <c r="M34" s="545"/>
      <c r="N34" s="545"/>
      <c r="O34" s="545"/>
      <c r="P34" s="555"/>
      <c r="Q34" s="545"/>
    </row>
    <row r="35" spans="1:17" ht="18" customHeight="1" x14ac:dyDescent="0.25">
      <c r="A35" s="1466"/>
      <c r="B35" s="1482"/>
      <c r="C35" s="1482"/>
      <c r="D35" s="1482"/>
      <c r="E35" s="1467"/>
      <c r="F35" s="1466" t="s">
        <v>4336</v>
      </c>
      <c r="G35" s="1482"/>
      <c r="H35" s="1467"/>
      <c r="K35" s="545"/>
      <c r="L35" s="545"/>
      <c r="M35" s="545"/>
      <c r="N35" s="545"/>
      <c r="O35" s="545"/>
      <c r="P35" s="555"/>
      <c r="Q35" s="545"/>
    </row>
    <row r="36" spans="1:17" ht="18" customHeight="1" x14ac:dyDescent="0.25">
      <c r="A36" s="1466"/>
      <c r="B36" s="1482"/>
      <c r="C36" s="1482"/>
      <c r="D36" s="1482"/>
      <c r="E36" s="1467"/>
      <c r="F36" s="1466" t="s">
        <v>4122</v>
      </c>
      <c r="G36" s="1482"/>
      <c r="H36" s="1467"/>
      <c r="K36" s="545"/>
      <c r="L36" s="545"/>
      <c r="M36" s="545"/>
      <c r="N36" s="545"/>
      <c r="O36" s="545"/>
      <c r="P36" s="555"/>
      <c r="Q36" s="545"/>
    </row>
    <row r="37" spans="1:17" ht="18" customHeight="1" x14ac:dyDescent="0.25">
      <c r="A37" s="1466"/>
      <c r="B37" s="1482"/>
      <c r="C37" s="1482"/>
      <c r="D37" s="1482"/>
      <c r="E37" s="1467"/>
      <c r="F37" s="1466"/>
      <c r="G37" s="1482"/>
      <c r="H37" s="1467"/>
    </row>
    <row r="38" spans="1:17" ht="18" customHeight="1" x14ac:dyDescent="0.25">
      <c r="A38" s="1466"/>
      <c r="B38" s="1482"/>
      <c r="C38" s="1482"/>
      <c r="D38" s="1482"/>
      <c r="E38" s="1467"/>
      <c r="F38" s="1466"/>
      <c r="G38" s="1482"/>
      <c r="H38" s="1467"/>
    </row>
    <row r="39" spans="1:17" ht="18" customHeight="1" x14ac:dyDescent="0.25">
      <c r="A39" s="1060"/>
      <c r="B39" s="1060"/>
      <c r="C39" s="1060"/>
      <c r="D39" s="1060"/>
      <c r="E39" s="1060"/>
      <c r="F39" s="1060"/>
      <c r="G39" s="1060"/>
      <c r="H39" s="1060"/>
    </row>
    <row r="40" spans="1:17" x14ac:dyDescent="0.25">
      <c r="A40" s="1492" t="s">
        <v>3757</v>
      </c>
      <c r="B40" s="1492"/>
      <c r="C40" s="1492"/>
      <c r="D40" s="1492"/>
      <c r="F40" s="1492" t="s">
        <v>3758</v>
      </c>
      <c r="G40" s="1492"/>
      <c r="H40" s="1492"/>
    </row>
    <row r="41" spans="1:17" x14ac:dyDescent="0.25">
      <c r="A41" s="1492" t="s">
        <v>3759</v>
      </c>
      <c r="B41" s="1492"/>
      <c r="C41" s="1492"/>
      <c r="D41" s="1492"/>
      <c r="F41" s="1492" t="s">
        <v>3759</v>
      </c>
      <c r="G41" s="1492"/>
      <c r="H41" s="1492"/>
    </row>
    <row r="50" spans="1:8" ht="18.75" x14ac:dyDescent="0.3">
      <c r="A50" s="1455" t="s">
        <v>1112</v>
      </c>
      <c r="B50" s="1455"/>
      <c r="C50" s="1455"/>
      <c r="D50" s="1455"/>
      <c r="E50" s="751"/>
      <c r="F50" s="1455" t="s">
        <v>1114</v>
      </c>
      <c r="G50" s="1455"/>
      <c r="H50" s="1455"/>
    </row>
  </sheetData>
  <mergeCells count="34">
    <mergeCell ref="A40:D40"/>
    <mergeCell ref="A41:D41"/>
    <mergeCell ref="F40:H40"/>
    <mergeCell ref="F41:H41"/>
    <mergeCell ref="F50:H50"/>
    <mergeCell ref="A50:D50"/>
    <mergeCell ref="A37:E37"/>
    <mergeCell ref="F37:H37"/>
    <mergeCell ref="A38:E38"/>
    <mergeCell ref="F38:H38"/>
    <mergeCell ref="A36:E36"/>
    <mergeCell ref="F36:H36"/>
    <mergeCell ref="B23:D23"/>
    <mergeCell ref="B24:D24"/>
    <mergeCell ref="B25:D25"/>
    <mergeCell ref="B26:D26"/>
    <mergeCell ref="B27:D27"/>
    <mergeCell ref="A34:E34"/>
    <mergeCell ref="F34:H34"/>
    <mergeCell ref="A35:E35"/>
    <mergeCell ref="F35:H35"/>
    <mergeCell ref="B28:D28"/>
    <mergeCell ref="B29:D29"/>
    <mergeCell ref="B30:D30"/>
    <mergeCell ref="B31:D31"/>
    <mergeCell ref="B32:D32"/>
    <mergeCell ref="B33:D33"/>
    <mergeCell ref="A1:B1"/>
    <mergeCell ref="A2:H2"/>
    <mergeCell ref="G5:H5"/>
    <mergeCell ref="G6:H6"/>
    <mergeCell ref="A21:A22"/>
    <mergeCell ref="B21:D22"/>
    <mergeCell ref="B20:D20"/>
  </mergeCells>
  <pageMargins left="0.7" right="0.7" top="0.75" bottom="0.75" header="0.3" footer="0.3"/>
  <pageSetup paperSize="9" scale="78" orientation="portrait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W38"/>
  <sheetViews>
    <sheetView topLeftCell="H1" zoomScaleNormal="100" workbookViewId="0">
      <pane ySplit="1" topLeftCell="A5" activePane="bottomLeft" state="frozen"/>
      <selection activeCell="H1" sqref="H1"/>
      <selection pane="bottomLeft" activeCell="T14" sqref="T14"/>
    </sheetView>
  </sheetViews>
  <sheetFormatPr defaultRowHeight="15" x14ac:dyDescent="0.25"/>
  <cols>
    <col min="1" max="1" width="9.85546875" style="545" customWidth="1"/>
    <col min="2" max="2" width="9.140625" style="545"/>
    <col min="3" max="3" width="6.5703125" style="545" customWidth="1"/>
    <col min="4" max="4" width="7.28515625" style="545" customWidth="1"/>
    <col min="5" max="6" width="9.140625" style="545"/>
    <col min="7" max="7" width="11.42578125" style="545" customWidth="1"/>
    <col min="8" max="9" width="9.140625" style="545"/>
    <col min="10" max="10" width="11.5703125" style="545" customWidth="1"/>
    <col min="11" max="11" width="9.140625" style="545"/>
    <col min="12" max="12" width="8.7109375" style="545" customWidth="1"/>
    <col min="13" max="13" width="18.5703125" style="545" customWidth="1"/>
    <col min="14" max="15" width="9.140625" style="545"/>
    <col min="16" max="16" width="50.140625" style="545" customWidth="1"/>
    <col min="17" max="17" width="18.140625" style="545" customWidth="1"/>
    <col min="18" max="18" width="18.140625" style="545" bestFit="1" customWidth="1"/>
    <col min="19" max="19" width="9.140625" style="545"/>
    <col min="20" max="20" width="11" style="545" customWidth="1"/>
    <col min="21" max="16384" width="9.140625" style="545"/>
  </cols>
  <sheetData>
    <row r="1" spans="1:23" ht="45.75" customHeight="1" x14ac:dyDescent="0.3">
      <c r="A1" s="1391"/>
      <c r="B1" s="1392"/>
      <c r="C1" s="1392"/>
      <c r="D1" s="1393"/>
      <c r="E1" s="1499" t="s">
        <v>1124</v>
      </c>
      <c r="F1" s="1500"/>
      <c r="G1" s="1500"/>
      <c r="H1" s="1500"/>
      <c r="I1" s="1500"/>
      <c r="J1" s="1501"/>
      <c r="K1" s="1391"/>
      <c r="L1" s="1392"/>
      <c r="M1" s="1393"/>
    </row>
    <row r="2" spans="1:23" ht="20.25" x14ac:dyDescent="0.3">
      <c r="A2" s="1394"/>
      <c r="B2" s="1395"/>
      <c r="C2" s="1395"/>
      <c r="D2" s="1396"/>
      <c r="E2" s="1502"/>
      <c r="F2" s="1503"/>
      <c r="G2" s="1503"/>
      <c r="H2" s="1503"/>
      <c r="I2" s="1503"/>
      <c r="J2" s="1504"/>
      <c r="K2" s="1448" t="s">
        <v>1121</v>
      </c>
      <c r="L2" s="1449"/>
      <c r="M2" s="1450"/>
    </row>
    <row r="3" spans="1:23" ht="20.25" x14ac:dyDescent="0.3">
      <c r="A3" s="1394"/>
      <c r="B3" s="1395"/>
      <c r="C3" s="1395"/>
      <c r="D3" s="1396"/>
      <c r="E3" s="1502"/>
      <c r="F3" s="1503"/>
      <c r="G3" s="1503"/>
      <c r="H3" s="1503"/>
      <c r="I3" s="1503"/>
      <c r="J3" s="1504"/>
      <c r="K3" s="1448" t="s">
        <v>1122</v>
      </c>
      <c r="L3" s="1449"/>
      <c r="M3" s="1450"/>
    </row>
    <row r="4" spans="1:23" ht="20.25" x14ac:dyDescent="0.3">
      <c r="A4" s="1394"/>
      <c r="B4" s="1395"/>
      <c r="C4" s="1395"/>
      <c r="D4" s="1396"/>
      <c r="E4" s="1502"/>
      <c r="F4" s="1503"/>
      <c r="G4" s="1503"/>
      <c r="H4" s="1503"/>
      <c r="I4" s="1503"/>
      <c r="J4" s="1504"/>
      <c r="K4" s="1448" t="s">
        <v>1123</v>
      </c>
      <c r="L4" s="1449"/>
      <c r="M4" s="1450"/>
    </row>
    <row r="5" spans="1:23" ht="21" thickBot="1" x14ac:dyDescent="0.35">
      <c r="A5" s="1493"/>
      <c r="B5" s="1494"/>
      <c r="C5" s="1494"/>
      <c r="D5" s="1495"/>
      <c r="E5" s="1505"/>
      <c r="F5" s="1506"/>
      <c r="G5" s="1506"/>
      <c r="H5" s="1506"/>
      <c r="I5" s="1506"/>
      <c r="J5" s="1507"/>
      <c r="K5" s="1493"/>
      <c r="L5" s="1494"/>
      <c r="M5" s="1495"/>
      <c r="P5" s="1109" t="str">
        <f>"MBA "&amp;Q20&amp;"KVA"&amp;" "&amp;P10&amp;"/"&amp;Q10&amp;"KV "&amp;U23&amp;"("&amp;E9&amp;")"</f>
        <v>MBA 303KVA 22/0.4KV (23A 001  )</v>
      </c>
    </row>
    <row r="6" spans="1:23" ht="21" thickBot="1" x14ac:dyDescent="0.35">
      <c r="A6" s="762"/>
      <c r="B6" s="759"/>
      <c r="C6" s="759"/>
      <c r="D6" s="759"/>
      <c r="E6" s="759"/>
      <c r="F6" s="759"/>
      <c r="G6" s="759"/>
      <c r="H6" s="759"/>
      <c r="I6" s="759"/>
      <c r="J6" s="759"/>
      <c r="K6" s="759"/>
      <c r="L6" s="759"/>
      <c r="M6" s="763"/>
    </row>
    <row r="7" spans="1:23" ht="21" thickBot="1" x14ac:dyDescent="0.35">
      <c r="A7" s="1496" t="s">
        <v>1117</v>
      </c>
      <c r="B7" s="1497"/>
      <c r="C7" s="1497"/>
      <c r="D7" s="1498"/>
      <c r="E7" s="1061" t="str">
        <f>Sheet5!B17&amp;"kVA"&amp;" – "&amp;P10&amp;"/"&amp;Q10&amp;"kV"&amp;" "&amp;R10</f>
        <v>303kVA – 22/0.4kV Dyn11</v>
      </c>
      <c r="F7" s="1062"/>
      <c r="G7" s="1062"/>
      <c r="H7" s="1062"/>
      <c r="I7" s="1062"/>
      <c r="J7" s="1062"/>
      <c r="K7" s="1062"/>
      <c r="L7" s="1062"/>
      <c r="M7" s="1063"/>
      <c r="P7" s="545" t="str">
        <f>"&lt;C0.75&gt;Sản phẩm : "&amp;P8</f>
        <v>&lt;C0.75&gt;Sản phẩm : MBA 303KVA 22/0.4KV (23A 001  )</v>
      </c>
      <c r="U7" s="1072"/>
    </row>
    <row r="8" spans="1:23" ht="21.75" thickTop="1" thickBot="1" x14ac:dyDescent="0.35">
      <c r="A8" s="1496" t="s">
        <v>1104</v>
      </c>
      <c r="B8" s="1497"/>
      <c r="C8" s="1497"/>
      <c r="D8" s="1498"/>
      <c r="E8" s="1061" t="str">
        <f>P8</f>
        <v>MBA 303KVA 22/0.4KV (23A 001  )</v>
      </c>
      <c r="F8" s="1062"/>
      <c r="G8" s="1062"/>
      <c r="H8" s="1062"/>
      <c r="I8" s="1062"/>
      <c r="J8" s="1062"/>
      <c r="K8" s="1062"/>
      <c r="L8" s="1062"/>
      <c r="M8" s="1063"/>
      <c r="P8" s="1026" t="str">
        <f>"MBA "&amp;Q20&amp;"KVA"&amp;" "&amp;P10&amp;"/"&amp;Q10&amp;"KV "&amp;U23&amp;"("&amp;E9&amp;")"</f>
        <v>MBA 303KVA 22/0.4KV (23A 001  )</v>
      </c>
      <c r="Q8" s="1004"/>
      <c r="R8" s="1004"/>
      <c r="U8" s="1026"/>
    </row>
    <row r="9" spans="1:23" ht="21" thickBot="1" x14ac:dyDescent="0.35">
      <c r="A9" s="1496" t="s">
        <v>1118</v>
      </c>
      <c r="B9" s="1497"/>
      <c r="C9" s="1497"/>
      <c r="D9" s="1498"/>
      <c r="E9" s="1061" t="str">
        <f>RIGHT(R11,2)&amp;P9&amp;IF(Q9&lt;100,"0"," ")&amp;Q9&amp;IF((R9-Q9)&gt;0,"-"," ")&amp;IF((R9-Q9)&lt;0," ",R9)</f>
        <v xml:space="preserve">23A 001  </v>
      </c>
      <c r="F9" s="1062"/>
      <c r="G9" s="1062"/>
      <c r="H9" s="1062"/>
      <c r="I9" s="1062"/>
      <c r="J9" s="1062"/>
      <c r="K9" s="1062"/>
      <c r="L9" s="1062"/>
      <c r="M9" s="1063"/>
      <c r="P9" s="1004" t="s">
        <v>157</v>
      </c>
      <c r="Q9" s="1037" t="s">
        <v>4286</v>
      </c>
      <c r="R9" s="1037"/>
    </row>
    <row r="10" spans="1:23" ht="21" thickBot="1" x14ac:dyDescent="0.35">
      <c r="A10" s="1496" t="s">
        <v>1105</v>
      </c>
      <c r="B10" s="1497"/>
      <c r="C10" s="1497"/>
      <c r="D10" s="1498"/>
      <c r="E10" s="1050">
        <f>IF((R9-Q9)&lt;0,1,R9-Q9+1)</f>
        <v>1</v>
      </c>
      <c r="F10" s="1062"/>
      <c r="G10" s="1062"/>
      <c r="H10" s="1062"/>
      <c r="I10" s="1062"/>
      <c r="J10" s="1062"/>
      <c r="K10" s="1062"/>
      <c r="L10" s="1062"/>
      <c r="M10" s="1063"/>
      <c r="P10" s="1088">
        <f>Q22</f>
        <v>22</v>
      </c>
      <c r="Q10" s="1088">
        <f>Q23</f>
        <v>0.4</v>
      </c>
      <c r="R10" s="1088" t="str">
        <f>Q24</f>
        <v>Dyn11</v>
      </c>
    </row>
    <row r="11" spans="1:23" ht="21" thickBot="1" x14ac:dyDescent="0.35">
      <c r="A11" s="1496" t="s">
        <v>1119</v>
      </c>
      <c r="B11" s="1497"/>
      <c r="C11" s="1497"/>
      <c r="D11" s="1498"/>
      <c r="E11" s="1511">
        <f ca="1">NOW()</f>
        <v>45418.916845486114</v>
      </c>
      <c r="F11" s="1512"/>
      <c r="G11" s="1512"/>
      <c r="H11" s="1512"/>
      <c r="I11" s="1064"/>
      <c r="J11" s="1064"/>
      <c r="K11" s="1064"/>
      <c r="L11" s="1064"/>
      <c r="M11" s="1065"/>
      <c r="P11" s="545">
        <v>12</v>
      </c>
      <c r="Q11" s="545">
        <v>2</v>
      </c>
      <c r="R11" s="545">
        <v>2023</v>
      </c>
    </row>
    <row r="12" spans="1:23" ht="21" thickBot="1" x14ac:dyDescent="0.35">
      <c r="A12" s="1513" t="s">
        <v>1120</v>
      </c>
      <c r="B12" s="1514"/>
      <c r="C12" s="1514"/>
      <c r="D12" s="1515"/>
      <c r="E12" s="1522" t="str">
        <f>P11&amp;"/"&amp;Q11&amp;"/"&amp;R11</f>
        <v>12/2/2023</v>
      </c>
      <c r="F12" s="1523"/>
      <c r="G12" s="1524"/>
      <c r="H12" s="1531" t="s">
        <v>1125</v>
      </c>
      <c r="I12" s="1532"/>
      <c r="J12" s="1533"/>
      <c r="K12" s="1534"/>
      <c r="L12" s="1535"/>
      <c r="M12" s="1536"/>
    </row>
    <row r="13" spans="1:23" ht="21" thickBot="1" x14ac:dyDescent="0.35">
      <c r="A13" s="1516"/>
      <c r="B13" s="1517"/>
      <c r="C13" s="1517"/>
      <c r="D13" s="1518"/>
      <c r="E13" s="1525"/>
      <c r="F13" s="1526"/>
      <c r="G13" s="1527"/>
      <c r="H13" s="1531" t="s">
        <v>1126</v>
      </c>
      <c r="I13" s="1532"/>
      <c r="J13" s="1533"/>
      <c r="K13" s="1534"/>
      <c r="L13" s="1535"/>
      <c r="M13" s="1536"/>
      <c r="P13" s="545" t="s">
        <v>3777</v>
      </c>
      <c r="Q13" s="1073" t="str">
        <f>P10&amp;Q10&amp;R10</f>
        <v>220.4Dyn11</v>
      </c>
    </row>
    <row r="14" spans="1:23" ht="21" thickBot="1" x14ac:dyDescent="0.35">
      <c r="A14" s="1519"/>
      <c r="B14" s="1520"/>
      <c r="C14" s="1520"/>
      <c r="D14" s="1521"/>
      <c r="E14" s="1528"/>
      <c r="F14" s="1529"/>
      <c r="G14" s="1530"/>
      <c r="H14" s="1531" t="s">
        <v>1127</v>
      </c>
      <c r="I14" s="1532"/>
      <c r="J14" s="1533"/>
      <c r="K14" s="1534"/>
      <c r="L14" s="1535"/>
      <c r="M14" s="1536"/>
      <c r="P14" s="1085" t="s">
        <v>3827</v>
      </c>
      <c r="Q14" s="1076" t="str">
        <f>U17&amp;T18&amp;T19&amp;U20&amp;T21&amp;T23&amp;T25&amp;Q27</f>
        <v>ATH3030V01O-01</v>
      </c>
      <c r="T14" s="555"/>
      <c r="U14" s="555"/>
      <c r="V14" s="555"/>
      <c r="W14" s="555"/>
    </row>
    <row r="15" spans="1:23" ht="20.25" x14ac:dyDescent="0.25">
      <c r="A15" s="1513" t="s">
        <v>1110</v>
      </c>
      <c r="B15" s="1514"/>
      <c r="C15" s="1514"/>
      <c r="D15" s="1514"/>
      <c r="E15" s="1514"/>
      <c r="F15" s="1514"/>
      <c r="G15" s="1514"/>
      <c r="H15" s="1514"/>
      <c r="I15" s="1514"/>
      <c r="J15" s="1514"/>
      <c r="K15" s="1514"/>
      <c r="L15" s="1514"/>
      <c r="M15" s="1515"/>
      <c r="P15" s="1085" t="s">
        <v>3828</v>
      </c>
      <c r="Q15" s="1076" t="str">
        <f>T17&amp;T18&amp;T19&amp;U20&amp;T21&amp;T23&amp;T25&amp;Q26</f>
        <v>1TH3030V01O-01</v>
      </c>
      <c r="T15" s="555"/>
      <c r="U15" s="555"/>
      <c r="V15" s="555"/>
      <c r="W15" s="555"/>
    </row>
    <row r="16" spans="1:23" ht="21" x14ac:dyDescent="0.25">
      <c r="A16" s="1005"/>
      <c r="B16" s="1006"/>
      <c r="C16" s="1006"/>
      <c r="D16" s="1006"/>
      <c r="E16" s="1006"/>
      <c r="F16" s="1006"/>
      <c r="G16" s="1006"/>
      <c r="H16" s="1006"/>
      <c r="I16" s="1006"/>
      <c r="J16" s="1006"/>
      <c r="K16" s="1006"/>
      <c r="L16" s="1006"/>
      <c r="M16" s="1007"/>
      <c r="Q16" s="555"/>
      <c r="T16" s="555"/>
      <c r="U16" s="555"/>
      <c r="V16" s="555"/>
      <c r="W16" s="555"/>
    </row>
    <row r="17" spans="1:23" ht="21" x14ac:dyDescent="0.25">
      <c r="A17" s="1005"/>
      <c r="B17" s="1006"/>
      <c r="C17" s="1006"/>
      <c r="D17" s="1006"/>
      <c r="E17" s="1006"/>
      <c r="F17" s="1006"/>
      <c r="G17" s="1006"/>
      <c r="H17" s="1006"/>
      <c r="I17" s="1006"/>
      <c r="J17" s="1006"/>
      <c r="K17" s="1006"/>
      <c r="L17" s="1006"/>
      <c r="M17" s="1007"/>
      <c r="P17" s="1086" t="s">
        <v>3829</v>
      </c>
      <c r="Q17" s="555" t="s">
        <v>3760</v>
      </c>
      <c r="T17" s="555">
        <f>VLOOKUP(Q17,Tra_cuu!B4:C38,2,FALSE)</f>
        <v>1</v>
      </c>
      <c r="U17" s="555" t="str">
        <f>VLOOKUP(Q17,Tra_cuu!B4:D38,3,FALSE)</f>
        <v>A</v>
      </c>
      <c r="V17" s="555"/>
      <c r="W17" s="555"/>
    </row>
    <row r="18" spans="1:23" ht="21" x14ac:dyDescent="0.25">
      <c r="A18" s="1005"/>
      <c r="B18" s="1006"/>
      <c r="C18" s="1006"/>
      <c r="D18" s="1006"/>
      <c r="E18" s="1006"/>
      <c r="F18" s="1006"/>
      <c r="G18" s="1006"/>
      <c r="H18" s="1006"/>
      <c r="I18" s="1006"/>
      <c r="J18" s="1006"/>
      <c r="K18" s="1006"/>
      <c r="L18" s="1006"/>
      <c r="M18" s="1007"/>
      <c r="P18" s="1086" t="s">
        <v>3765</v>
      </c>
      <c r="Q18" s="555" t="s">
        <v>3770</v>
      </c>
      <c r="T18" s="555" t="str">
        <f>VLOOKUP(Q18,Tra_cuu!G4:H38,2,FALSE)</f>
        <v>T</v>
      </c>
      <c r="U18" s="555"/>
      <c r="V18" s="555"/>
      <c r="W18" s="555"/>
    </row>
    <row r="19" spans="1:23" ht="21" x14ac:dyDescent="0.25">
      <c r="A19" s="1005"/>
      <c r="B19" s="1006"/>
      <c r="C19" s="1006"/>
      <c r="D19" s="1006"/>
      <c r="E19" s="1006"/>
      <c r="F19" s="1006"/>
      <c r="G19" s="1006"/>
      <c r="H19" s="1006"/>
      <c r="I19" s="1006"/>
      <c r="J19" s="1006"/>
      <c r="K19" s="1006"/>
      <c r="L19" s="1006"/>
      <c r="M19" s="1007"/>
      <c r="P19" s="1086" t="s">
        <v>3742</v>
      </c>
      <c r="Q19" s="555" t="str">
        <f>VLOOKUP(Sheet2!J10,Tra_cuu!J4:K100,2,FALSE)</f>
        <v>Ngâm dầu- kiểu kín</v>
      </c>
      <c r="R19" s="1109"/>
      <c r="T19" s="555" t="str">
        <f>VLOOKUP(Q19,Tra_cuu!K4:L39,2,FALSE)</f>
        <v>H</v>
      </c>
      <c r="U19" s="555"/>
      <c r="V19" s="555"/>
      <c r="W19" s="1087">
        <f>ROUND(Q20,0)</f>
        <v>303</v>
      </c>
    </row>
    <row r="20" spans="1:23" ht="21" x14ac:dyDescent="0.25">
      <c r="A20" s="1005"/>
      <c r="B20" s="1006"/>
      <c r="C20" s="1006"/>
      <c r="D20" s="1006"/>
      <c r="E20" s="1006"/>
      <c r="F20" s="1006"/>
      <c r="G20" s="1006"/>
      <c r="H20" s="1006"/>
      <c r="I20" s="1006"/>
      <c r="J20" s="1006"/>
      <c r="K20" s="1006"/>
      <c r="L20" s="1006"/>
      <c r="M20" s="1007"/>
      <c r="P20" s="1086" t="s">
        <v>3830</v>
      </c>
      <c r="Q20" s="1087">
        <f>Sheet5!B17</f>
        <v>303</v>
      </c>
      <c r="T20" s="555"/>
      <c r="U20" s="555" t="str">
        <f>IF(Q20&lt;99,"0"&amp;W19&amp;V20,IF(Q20&lt;1000,W19&amp;V20,IF(AND(Q20&gt;=1000,Q20&lt;10000),W20&amp;V20,IF(Q20&gt;=10000,W21&amp;V20,"BỔ SUNG THÊM"))))</f>
        <v>3030</v>
      </c>
      <c r="V20" s="555">
        <f>IF(Q20&lt;1000,0,IF(AND(Q20&gt;=1000,Q20&lt;10000),1,2))</f>
        <v>0</v>
      </c>
      <c r="W20" s="555">
        <f>Q20/10</f>
        <v>30.3</v>
      </c>
    </row>
    <row r="21" spans="1:23" ht="21" x14ac:dyDescent="0.25">
      <c r="A21" s="1005"/>
      <c r="B21" s="1006"/>
      <c r="C21" s="1006"/>
      <c r="D21" s="1006"/>
      <c r="E21" s="1006"/>
      <c r="F21" s="1006"/>
      <c r="G21" s="1006"/>
      <c r="H21" s="1006"/>
      <c r="I21" s="1006"/>
      <c r="J21" s="1006"/>
      <c r="K21" s="1006"/>
      <c r="L21" s="1006"/>
      <c r="M21" s="1007"/>
      <c r="P21" s="1086" t="s">
        <v>3831</v>
      </c>
      <c r="Q21" s="555" t="s">
        <v>564</v>
      </c>
      <c r="T21" s="555" t="str">
        <f>VLOOKUP(Q21,Tra_cuu!R4:S35,2,FALSE)</f>
        <v>V</v>
      </c>
      <c r="U21" s="555"/>
      <c r="V21" s="555"/>
      <c r="W21" s="555">
        <f>Q20/100</f>
        <v>3.03</v>
      </c>
    </row>
    <row r="22" spans="1:23" ht="21" x14ac:dyDescent="0.25">
      <c r="A22" s="1005"/>
      <c r="B22" s="1006"/>
      <c r="C22" s="1006"/>
      <c r="D22" s="1006"/>
      <c r="E22" s="1006"/>
      <c r="F22" s="1006"/>
      <c r="G22" s="1006"/>
      <c r="H22" s="1006"/>
      <c r="I22" s="1006"/>
      <c r="J22" s="1006"/>
      <c r="K22" s="1006"/>
      <c r="L22" s="1006"/>
      <c r="M22" s="1007"/>
      <c r="P22" s="1086" t="s">
        <v>3832</v>
      </c>
      <c r="Q22" s="555">
        <v>22</v>
      </c>
      <c r="T22" s="555" t="str">
        <f>Q22&amp;Q23&amp;Q24</f>
        <v>220.4Dyn11</v>
      </c>
      <c r="U22" s="555"/>
      <c r="V22" s="555"/>
      <c r="W22" s="555"/>
    </row>
    <row r="23" spans="1:23" ht="21" x14ac:dyDescent="0.25">
      <c r="A23" s="1005"/>
      <c r="B23" s="1006"/>
      <c r="C23" s="1006"/>
      <c r="D23" s="1006"/>
      <c r="E23" s="1006"/>
      <c r="F23" s="1006"/>
      <c r="G23" s="1006"/>
      <c r="H23" s="1006"/>
      <c r="I23" s="1006"/>
      <c r="J23" s="1006"/>
      <c r="K23" s="1006"/>
      <c r="L23" s="1006"/>
      <c r="M23" s="1007"/>
      <c r="P23" s="1086" t="s">
        <v>3833</v>
      </c>
      <c r="Q23" s="555">
        <v>0.4</v>
      </c>
      <c r="T23" s="555" t="str">
        <f>VLOOKUP(T22,Tra_cuu!U4:V100,2,FALSE)</f>
        <v>01</v>
      </c>
      <c r="U23" s="555"/>
      <c r="V23" s="555"/>
      <c r="W23" s="555"/>
    </row>
    <row r="24" spans="1:23" ht="21.75" thickBot="1" x14ac:dyDescent="0.3">
      <c r="A24" s="1005"/>
      <c r="B24" s="1006"/>
      <c r="C24" s="1006"/>
      <c r="D24" s="1006"/>
      <c r="E24" s="1006"/>
      <c r="F24" s="1006"/>
      <c r="G24" s="1006"/>
      <c r="H24" s="1006"/>
      <c r="I24" s="1006"/>
      <c r="J24" s="1006"/>
      <c r="K24" s="1006"/>
      <c r="L24" s="1006"/>
      <c r="M24" s="1007"/>
      <c r="P24" s="1086" t="s">
        <v>568</v>
      </c>
      <c r="Q24" s="555" t="s">
        <v>1089</v>
      </c>
      <c r="T24" s="555" t="e">
        <f>FIND({0,1,2,3,4,5,6,7,8,9},Q24)</f>
        <v>#VALUE!</v>
      </c>
      <c r="U24" s="545" t="e">
        <f>LEFT(Q24,T24-1)</f>
        <v>#VALUE!</v>
      </c>
      <c r="V24" s="555"/>
      <c r="W24" s="555"/>
    </row>
    <row r="25" spans="1:23" ht="20.25" x14ac:dyDescent="0.3">
      <c r="A25" s="1391" t="s">
        <v>1111</v>
      </c>
      <c r="B25" s="1392"/>
      <c r="C25" s="1392"/>
      <c r="D25" s="1393"/>
      <c r="E25" s="1391" t="s">
        <v>1113</v>
      </c>
      <c r="F25" s="1392"/>
      <c r="G25" s="1393"/>
      <c r="H25" s="1391" t="s">
        <v>1115</v>
      </c>
      <c r="I25" s="1392"/>
      <c r="J25" s="1393"/>
      <c r="K25" s="1508" t="s">
        <v>1128</v>
      </c>
      <c r="L25" s="1509"/>
      <c r="M25" s="1510"/>
      <c r="P25" s="1086" t="s">
        <v>3834</v>
      </c>
      <c r="Q25" s="555" t="s">
        <v>4359</v>
      </c>
      <c r="T25" s="555" t="str">
        <f>VLOOKUP(Q25,Tra_cuu!O4:P40,2,FALSE)</f>
        <v>O</v>
      </c>
      <c r="U25" s="555"/>
      <c r="V25" s="555"/>
      <c r="W25" s="555"/>
    </row>
    <row r="26" spans="1:23" ht="20.25" x14ac:dyDescent="0.3">
      <c r="A26" s="760"/>
      <c r="B26" s="752"/>
      <c r="C26" s="752"/>
      <c r="D26" s="752"/>
      <c r="E26" s="760"/>
      <c r="F26" s="752"/>
      <c r="G26" s="761"/>
      <c r="H26" s="760"/>
      <c r="I26" s="753"/>
      <c r="J26" s="761"/>
      <c r="K26" s="752"/>
      <c r="L26" s="752"/>
      <c r="M26" s="761"/>
      <c r="P26" s="1086" t="s">
        <v>3835</v>
      </c>
      <c r="Q26" s="1082" t="s">
        <v>3836</v>
      </c>
      <c r="T26" s="555"/>
      <c r="U26" s="555"/>
      <c r="V26" s="555"/>
      <c r="W26" s="555"/>
    </row>
    <row r="27" spans="1:23" ht="20.25" x14ac:dyDescent="0.3">
      <c r="A27" s="760"/>
      <c r="B27" s="752"/>
      <c r="C27" s="752"/>
      <c r="D27" s="752"/>
      <c r="E27" s="760"/>
      <c r="F27" s="752"/>
      <c r="G27" s="761"/>
      <c r="H27" s="760"/>
      <c r="I27" s="753"/>
      <c r="J27" s="761"/>
      <c r="K27" s="752"/>
      <c r="L27" s="752"/>
      <c r="M27" s="761"/>
      <c r="P27" s="1086" t="s">
        <v>3837</v>
      </c>
      <c r="Q27" s="1082" t="s">
        <v>3836</v>
      </c>
      <c r="T27" s="555"/>
      <c r="U27" s="555"/>
      <c r="V27" s="555"/>
      <c r="W27" s="555"/>
    </row>
    <row r="28" spans="1:23" ht="20.25" x14ac:dyDescent="0.3">
      <c r="A28" s="760"/>
      <c r="B28" s="752"/>
      <c r="C28" s="752"/>
      <c r="D28" s="752"/>
      <c r="E28" s="760"/>
      <c r="F28" s="752"/>
      <c r="G28" s="761"/>
      <c r="H28" s="760"/>
      <c r="I28" s="753"/>
      <c r="J28" s="761"/>
      <c r="K28" s="752"/>
      <c r="L28" s="752"/>
      <c r="M28" s="761"/>
    </row>
    <row r="29" spans="1:23" ht="20.25" x14ac:dyDescent="0.3">
      <c r="A29" s="760"/>
      <c r="B29" s="752"/>
      <c r="C29" s="752"/>
      <c r="D29" s="752"/>
      <c r="E29" s="760"/>
      <c r="F29" s="752"/>
      <c r="G29" s="761"/>
      <c r="H29" s="760"/>
      <c r="I29" s="753"/>
      <c r="J29" s="761"/>
      <c r="K29" s="752"/>
      <c r="L29" s="752"/>
      <c r="M29" s="761"/>
      <c r="P29" s="1049"/>
    </row>
    <row r="30" spans="1:23" ht="20.25" x14ac:dyDescent="0.3">
      <c r="A30" s="760"/>
      <c r="B30" s="752"/>
      <c r="C30" s="752"/>
      <c r="D30" s="752"/>
      <c r="E30" s="760"/>
      <c r="F30" s="752"/>
      <c r="G30" s="761"/>
      <c r="H30" s="760"/>
      <c r="I30" s="753"/>
      <c r="J30" s="761"/>
      <c r="K30" s="752"/>
      <c r="L30" s="752"/>
      <c r="M30" s="761"/>
    </row>
    <row r="31" spans="1:23" ht="21" thickBot="1" x14ac:dyDescent="0.35">
      <c r="A31" s="1493" t="s">
        <v>1112</v>
      </c>
      <c r="B31" s="1494"/>
      <c r="C31" s="1494"/>
      <c r="D31" s="1495"/>
      <c r="E31" s="1493" t="s">
        <v>1114</v>
      </c>
      <c r="F31" s="1494"/>
      <c r="G31" s="1495"/>
      <c r="H31" s="1493" t="s">
        <v>1116</v>
      </c>
      <c r="I31" s="1494"/>
      <c r="J31" s="1495"/>
      <c r="K31" s="1493" t="s">
        <v>1129</v>
      </c>
      <c r="L31" s="1494"/>
      <c r="M31" s="1495"/>
      <c r="O31" s="753"/>
      <c r="P31" s="753"/>
      <c r="Q31" s="753"/>
      <c r="R31" s="753"/>
      <c r="S31" s="753"/>
    </row>
    <row r="32" spans="1:23" x14ac:dyDescent="0.25">
      <c r="O32" s="753"/>
      <c r="P32" s="753"/>
      <c r="Q32" s="753"/>
      <c r="R32" s="753"/>
      <c r="S32" s="753"/>
    </row>
    <row r="33" spans="15:19" x14ac:dyDescent="0.25">
      <c r="O33" s="753"/>
      <c r="P33" s="753"/>
      <c r="Q33" s="753"/>
      <c r="R33" s="753"/>
      <c r="S33" s="753"/>
    </row>
    <row r="34" spans="15:19" x14ac:dyDescent="0.25">
      <c r="O34" s="753"/>
      <c r="P34" s="753"/>
      <c r="Q34" s="753"/>
      <c r="R34" s="753"/>
      <c r="S34" s="753"/>
    </row>
    <row r="35" spans="15:19" ht="30.75" customHeight="1" x14ac:dyDescent="0.25">
      <c r="O35" s="753"/>
      <c r="P35" s="753"/>
      <c r="Q35" s="753"/>
      <c r="R35" s="753"/>
      <c r="S35" s="753"/>
    </row>
    <row r="36" spans="15:19" x14ac:dyDescent="0.25">
      <c r="O36" s="753"/>
      <c r="P36" s="753"/>
      <c r="Q36" s="753"/>
      <c r="R36" s="753"/>
      <c r="S36" s="753"/>
    </row>
    <row r="37" spans="15:19" x14ac:dyDescent="0.25">
      <c r="O37" s="753"/>
      <c r="P37" s="753"/>
      <c r="Q37" s="753"/>
      <c r="R37" s="753"/>
      <c r="S37" s="753"/>
    </row>
    <row r="38" spans="15:19" x14ac:dyDescent="0.25">
      <c r="O38" s="753"/>
      <c r="P38" s="753"/>
      <c r="Q38" s="753"/>
      <c r="R38" s="753"/>
      <c r="S38" s="753"/>
    </row>
  </sheetData>
  <mergeCells count="30">
    <mergeCell ref="A31:D31"/>
    <mergeCell ref="A12:D14"/>
    <mergeCell ref="E12:G14"/>
    <mergeCell ref="A15:M15"/>
    <mergeCell ref="H12:J12"/>
    <mergeCell ref="A25:D25"/>
    <mergeCell ref="H13:J13"/>
    <mergeCell ref="H14:J14"/>
    <mergeCell ref="K31:M31"/>
    <mergeCell ref="H31:J31"/>
    <mergeCell ref="E31:G31"/>
    <mergeCell ref="K12:M12"/>
    <mergeCell ref="K13:M13"/>
    <mergeCell ref="K14:M14"/>
    <mergeCell ref="E25:G25"/>
    <mergeCell ref="A10:D10"/>
    <mergeCell ref="A11:D11"/>
    <mergeCell ref="H25:J25"/>
    <mergeCell ref="K25:M25"/>
    <mergeCell ref="E11:H11"/>
    <mergeCell ref="A7:D7"/>
    <mergeCell ref="A8:D8"/>
    <mergeCell ref="A9:D9"/>
    <mergeCell ref="A1:D5"/>
    <mergeCell ref="E1:J5"/>
    <mergeCell ref="K1:M1"/>
    <mergeCell ref="K2:M2"/>
    <mergeCell ref="K3:M3"/>
    <mergeCell ref="K4:M4"/>
    <mergeCell ref="K5:M5"/>
  </mergeCells>
  <printOptions horizontalCentered="1"/>
  <pageMargins left="0.2" right="0.2" top="0.49" bottom="0.34" header="0.23" footer="0.3"/>
  <pageSetup paperSize="9" scale="73" orientation="portrait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Tra_cuu!$R$4:$R$40</xm:f>
          </x14:formula1>
          <xm:sqref>Q21</xm:sqref>
        </x14:dataValidation>
        <x14:dataValidation type="list" allowBlank="1" showInputMessage="1" showErrorMessage="1">
          <x14:formula1>
            <xm:f>Tra_cuu!$G$4:$G$44</xm:f>
          </x14:formula1>
          <xm:sqref>Q18</xm:sqref>
        </x14:dataValidation>
        <x14:dataValidation type="list" allowBlank="1" showInputMessage="1" showErrorMessage="1">
          <x14:formula1>
            <xm:f>Tra_cuu!$B$4:$B$41</xm:f>
          </x14:formula1>
          <xm:sqref>Q17</xm:sqref>
        </x14:dataValidation>
        <x14:dataValidation type="list" allowBlank="1" showInputMessage="1" showErrorMessage="1">
          <x14:formula1>
            <xm:f>Tra_cuu!$Z$4:$Z$100</xm:f>
          </x14:formula1>
          <xm:sqref>Q24</xm:sqref>
        </x14:dataValidation>
        <x14:dataValidation type="list" allowBlank="1" showInputMessage="1" showErrorMessage="1">
          <x14:formula1>
            <xm:f>Tra_cuu!$Y$4:$Y$100</xm:f>
          </x14:formula1>
          <xm:sqref>Q23</xm:sqref>
        </x14:dataValidation>
        <x14:dataValidation type="list" allowBlank="1" showInputMessage="1" showErrorMessage="1">
          <x14:formula1>
            <xm:f>Tra_cuu!$X$4:$X$100</xm:f>
          </x14:formula1>
          <xm:sqref>Q22</xm:sqref>
        </x14:dataValidation>
        <x14:dataValidation type="list" allowBlank="1" showInputMessage="1" showErrorMessage="1">
          <x14:formula1>
            <xm:f>Tra_cuu!$O$4:$O$40</xm:f>
          </x14:formula1>
          <xm:sqref>Q25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AA57"/>
  <sheetViews>
    <sheetView topLeftCell="F1" workbookViewId="0">
      <pane ySplit="3" topLeftCell="A4" activePane="bottomLeft" state="frozen"/>
      <selection activeCell="I1" sqref="I1"/>
      <selection pane="bottomLeft" activeCell="X3" sqref="X3:Z22"/>
    </sheetView>
  </sheetViews>
  <sheetFormatPr defaultRowHeight="15" x14ac:dyDescent="0.25"/>
  <cols>
    <col min="1" max="1" width="9.140625" style="555"/>
    <col min="2" max="2" width="17" style="555" customWidth="1"/>
    <col min="3" max="4" width="9.140625" style="555"/>
    <col min="5" max="5" width="17.5703125" style="555" customWidth="1"/>
    <col min="6" max="6" width="9.140625" style="555"/>
    <col min="7" max="7" width="14" style="555" customWidth="1"/>
    <col min="8" max="10" width="9.140625" style="555"/>
    <col min="11" max="11" width="29.7109375" style="555" customWidth="1"/>
    <col min="12" max="14" width="9.140625" style="555"/>
    <col min="15" max="15" width="11" style="555" customWidth="1"/>
    <col min="16" max="16" width="10" style="555" customWidth="1"/>
    <col min="17" max="20" width="9.140625" style="555"/>
    <col min="21" max="21" width="28.28515625" style="555" customWidth="1"/>
    <col min="22" max="22" width="9.140625" style="555"/>
    <col min="23" max="23" width="16.5703125" style="555" customWidth="1"/>
    <col min="24" max="24" width="19" style="555" customWidth="1"/>
    <col min="25" max="26" width="9.140625" style="555"/>
    <col min="27" max="27" width="10.140625" style="555" customWidth="1"/>
    <col min="28" max="16384" width="9.140625" style="555"/>
  </cols>
  <sheetData>
    <row r="1" spans="2:26" x14ac:dyDescent="0.25">
      <c r="D1" s="1077"/>
      <c r="E1" s="1077"/>
      <c r="F1" s="1077"/>
      <c r="G1" s="1537" t="s">
        <v>3786</v>
      </c>
      <c r="H1" s="1537"/>
      <c r="I1" s="1537"/>
      <c r="J1" s="1537"/>
      <c r="K1" s="1537"/>
      <c r="L1" s="1537"/>
      <c r="M1" s="1537"/>
      <c r="N1" s="1537"/>
      <c r="O1" s="1537"/>
      <c r="P1" s="1537"/>
      <c r="Q1" s="1537"/>
      <c r="R1" s="1537"/>
      <c r="S1" s="1537"/>
      <c r="T1" s="1537"/>
      <c r="U1" s="1537"/>
      <c r="V1" s="1537"/>
      <c r="W1" s="1110"/>
      <c r="X1" s="1077"/>
    </row>
    <row r="2" spans="2:26" x14ac:dyDescent="0.25">
      <c r="D2" s="1077"/>
      <c r="E2" s="1077"/>
      <c r="F2" s="1077"/>
      <c r="G2" s="1077"/>
      <c r="H2" s="1077"/>
      <c r="I2" s="1077"/>
      <c r="J2" s="1077"/>
      <c r="K2" s="1077"/>
      <c r="L2" s="1077"/>
      <c r="M2" s="1077"/>
      <c r="N2" s="1077"/>
      <c r="O2" s="1077"/>
      <c r="P2" s="1077"/>
      <c r="Q2" s="1077"/>
      <c r="R2" s="1077"/>
      <c r="S2" s="1077"/>
      <c r="T2" s="1077"/>
      <c r="U2" s="1077"/>
      <c r="V2" s="1077"/>
      <c r="W2" s="1077"/>
      <c r="X2" s="1077"/>
    </row>
    <row r="3" spans="2:26" x14ac:dyDescent="0.25">
      <c r="B3" s="1538" t="s">
        <v>3779</v>
      </c>
      <c r="C3" s="1538"/>
      <c r="D3" s="1538"/>
      <c r="E3" s="1538"/>
      <c r="F3" s="645"/>
      <c r="G3" s="1454" t="s">
        <v>3765</v>
      </c>
      <c r="H3" s="1454"/>
      <c r="I3" s="645"/>
      <c r="J3" s="1539" t="s">
        <v>3742</v>
      </c>
      <c r="K3" s="1540"/>
      <c r="L3" s="1540"/>
      <c r="M3" s="1541"/>
      <c r="N3" s="645"/>
      <c r="O3" s="1454" t="s">
        <v>3778</v>
      </c>
      <c r="P3" s="1454"/>
      <c r="Q3" s="645"/>
      <c r="R3" s="1454" t="s">
        <v>3780</v>
      </c>
      <c r="S3" s="1454"/>
      <c r="T3" s="645"/>
      <c r="U3" s="1454" t="s">
        <v>3781</v>
      </c>
      <c r="V3" s="1454"/>
      <c r="X3" s="555" t="s">
        <v>664</v>
      </c>
      <c r="Y3" s="555" t="s">
        <v>830</v>
      </c>
      <c r="Z3" s="555" t="s">
        <v>576</v>
      </c>
    </row>
    <row r="4" spans="2:26" x14ac:dyDescent="0.25">
      <c r="B4" s="1078" t="s">
        <v>3760</v>
      </c>
      <c r="C4" s="1079">
        <v>1</v>
      </c>
      <c r="D4" s="1080" t="s">
        <v>157</v>
      </c>
      <c r="E4" s="1058" t="s">
        <v>3787</v>
      </c>
      <c r="F4" s="645"/>
      <c r="G4" s="1076" t="s">
        <v>3767</v>
      </c>
      <c r="H4" s="1076" t="s">
        <v>3766</v>
      </c>
      <c r="I4" s="1077"/>
      <c r="J4" s="1223">
        <v>2</v>
      </c>
      <c r="K4" s="1223" t="s">
        <v>3771</v>
      </c>
      <c r="L4" s="1223" t="s">
        <v>151</v>
      </c>
      <c r="M4" s="1222" t="s">
        <v>3788</v>
      </c>
      <c r="N4" s="645"/>
      <c r="O4" s="1076" t="s">
        <v>3789</v>
      </c>
      <c r="P4" s="1076" t="s">
        <v>157</v>
      </c>
      <c r="Q4" s="645"/>
      <c r="R4" s="1076" t="s">
        <v>564</v>
      </c>
      <c r="S4" s="1076" t="s">
        <v>236</v>
      </c>
      <c r="T4" s="645"/>
      <c r="U4" s="1075" t="s">
        <v>3782</v>
      </c>
      <c r="V4" s="1076" t="s">
        <v>311</v>
      </c>
      <c r="X4" s="555">
        <v>6.3</v>
      </c>
      <c r="Y4" s="555">
        <v>0.4</v>
      </c>
      <c r="Z4" s="555" t="s">
        <v>1089</v>
      </c>
    </row>
    <row r="5" spans="2:26" x14ac:dyDescent="0.25">
      <c r="B5" s="1076" t="s">
        <v>3761</v>
      </c>
      <c r="C5" s="1081">
        <v>2</v>
      </c>
      <c r="D5" s="1058" t="s">
        <v>155</v>
      </c>
      <c r="E5" s="1058" t="s">
        <v>3790</v>
      </c>
      <c r="F5" s="645"/>
      <c r="G5" s="1076" t="s">
        <v>3769</v>
      </c>
      <c r="H5" s="1076" t="s">
        <v>3768</v>
      </c>
      <c r="I5" s="1077"/>
      <c r="J5" s="1223">
        <v>1</v>
      </c>
      <c r="K5" s="1223" t="s">
        <v>3772</v>
      </c>
      <c r="L5" s="1223" t="s">
        <v>275</v>
      </c>
      <c r="M5" s="1222" t="s">
        <v>3791</v>
      </c>
      <c r="N5" s="645"/>
      <c r="O5" s="1076">
        <v>1011</v>
      </c>
      <c r="P5" s="1076" t="s">
        <v>155</v>
      </c>
      <c r="Q5" s="645"/>
      <c r="R5" s="1076" t="s">
        <v>566</v>
      </c>
      <c r="S5" s="1076" t="s">
        <v>3774</v>
      </c>
      <c r="T5" s="645"/>
      <c r="U5" s="1075" t="s">
        <v>3792</v>
      </c>
      <c r="V5" s="1076" t="s">
        <v>314</v>
      </c>
      <c r="X5" s="555">
        <v>10</v>
      </c>
      <c r="Y5" s="555" t="s">
        <v>3793</v>
      </c>
      <c r="Z5" s="555" t="s">
        <v>3853</v>
      </c>
    </row>
    <row r="6" spans="2:26" x14ac:dyDescent="0.25">
      <c r="B6" s="1076" t="s">
        <v>3762</v>
      </c>
      <c r="C6" s="1081">
        <v>3</v>
      </c>
      <c r="D6" s="1058" t="s">
        <v>275</v>
      </c>
      <c r="E6" s="1058" t="s">
        <v>3794</v>
      </c>
      <c r="F6" s="645"/>
      <c r="G6" s="1076" t="s">
        <v>3770</v>
      </c>
      <c r="H6" s="1076" t="s">
        <v>153</v>
      </c>
      <c r="I6" s="1077"/>
      <c r="J6" s="1223"/>
      <c r="K6" s="1223" t="s">
        <v>3773</v>
      </c>
      <c r="L6" s="1223" t="s">
        <v>99</v>
      </c>
      <c r="M6" s="1222"/>
      <c r="N6" s="645"/>
      <c r="O6" s="1058" t="s">
        <v>3795</v>
      </c>
      <c r="P6" s="1076" t="s">
        <v>275</v>
      </c>
      <c r="Q6" s="645"/>
      <c r="R6" s="1076" t="s">
        <v>3775</v>
      </c>
      <c r="S6" s="1076" t="s">
        <v>153</v>
      </c>
      <c r="T6" s="645"/>
      <c r="U6" s="1076" t="s">
        <v>3796</v>
      </c>
      <c r="V6" s="1076" t="s">
        <v>315</v>
      </c>
      <c r="X6" s="1082">
        <v>12.7</v>
      </c>
      <c r="Y6" s="555">
        <v>0.23</v>
      </c>
      <c r="Z6" s="555" t="s">
        <v>3731</v>
      </c>
    </row>
    <row r="7" spans="2:26" x14ac:dyDescent="0.25">
      <c r="B7" s="1076" t="s">
        <v>3763</v>
      </c>
      <c r="C7" s="1081">
        <v>4</v>
      </c>
      <c r="D7" s="1076" t="s">
        <v>99</v>
      </c>
      <c r="E7" s="1076" t="s">
        <v>3797</v>
      </c>
      <c r="F7" s="1077"/>
      <c r="G7" s="1077"/>
      <c r="H7" s="1077"/>
      <c r="I7" s="1077"/>
      <c r="J7" s="1077"/>
      <c r="K7" s="1077"/>
      <c r="L7" s="1077"/>
      <c r="M7" s="645"/>
      <c r="N7" s="645"/>
      <c r="O7" s="1058" t="s">
        <v>3784</v>
      </c>
      <c r="P7" s="1076" t="s">
        <v>99</v>
      </c>
      <c r="Q7" s="645"/>
      <c r="R7" s="1111" t="s">
        <v>4044</v>
      </c>
      <c r="S7" s="1112" t="s">
        <v>3768</v>
      </c>
      <c r="T7" s="645"/>
      <c r="U7" s="555" t="s">
        <v>3798</v>
      </c>
      <c r="V7" s="645" t="s">
        <v>316</v>
      </c>
      <c r="X7" s="1082">
        <v>22</v>
      </c>
      <c r="Y7" s="555">
        <v>0.38</v>
      </c>
      <c r="Z7" s="555" t="s">
        <v>3854</v>
      </c>
    </row>
    <row r="8" spans="2:26" x14ac:dyDescent="0.25">
      <c r="B8" s="1076" t="s">
        <v>3764</v>
      </c>
      <c r="C8" s="1081">
        <v>5</v>
      </c>
      <c r="D8" s="1058" t="s">
        <v>180</v>
      </c>
      <c r="E8" s="1058" t="s">
        <v>3764</v>
      </c>
      <c r="F8" s="645"/>
      <c r="G8" s="645"/>
      <c r="H8" s="645"/>
      <c r="I8" s="645"/>
      <c r="J8" s="645"/>
      <c r="K8" s="1077"/>
      <c r="L8" s="1077"/>
      <c r="M8" s="645"/>
      <c r="N8" s="645"/>
      <c r="O8" s="1058" t="s">
        <v>3785</v>
      </c>
      <c r="P8" s="1076" t="s">
        <v>180</v>
      </c>
      <c r="Q8" s="645"/>
      <c r="R8" s="1111" t="s">
        <v>4045</v>
      </c>
      <c r="S8" s="1112" t="s">
        <v>4092</v>
      </c>
      <c r="T8" s="645"/>
      <c r="U8" s="555" t="s">
        <v>3800</v>
      </c>
      <c r="V8" s="645" t="s">
        <v>317</v>
      </c>
      <c r="X8" s="555">
        <v>23</v>
      </c>
      <c r="Y8" s="555">
        <v>0.69</v>
      </c>
      <c r="Z8" s="555" t="s">
        <v>3855</v>
      </c>
    </row>
    <row r="9" spans="2:26" x14ac:dyDescent="0.25">
      <c r="B9" s="646"/>
      <c r="C9" s="646"/>
      <c r="D9" s="646"/>
      <c r="E9" s="646"/>
      <c r="F9" s="646"/>
      <c r="G9" s="645"/>
      <c r="H9" s="645"/>
      <c r="I9" s="645"/>
      <c r="J9" s="645"/>
      <c r="K9" s="1077"/>
      <c r="L9" s="1077"/>
      <c r="M9" s="645"/>
      <c r="N9" s="645"/>
      <c r="O9" s="555" t="s">
        <v>4302</v>
      </c>
      <c r="P9" s="555" t="s">
        <v>105</v>
      </c>
      <c r="Q9" s="645"/>
      <c r="R9" s="1111" t="s">
        <v>4046</v>
      </c>
      <c r="S9" s="1112" t="s">
        <v>4091</v>
      </c>
      <c r="T9" s="645"/>
      <c r="U9" s="645" t="s">
        <v>3802</v>
      </c>
      <c r="V9" s="645" t="s">
        <v>318</v>
      </c>
      <c r="X9" s="555">
        <v>35</v>
      </c>
      <c r="Y9" s="555">
        <v>0.52500000000000002</v>
      </c>
      <c r="Z9" s="555" t="s">
        <v>4028</v>
      </c>
    </row>
    <row r="10" spans="2:26" x14ac:dyDescent="0.25">
      <c r="G10" s="1077"/>
      <c r="H10" s="645"/>
      <c r="I10" s="645"/>
      <c r="J10" s="645"/>
      <c r="K10" s="1077"/>
      <c r="L10" s="1077"/>
      <c r="M10" s="645"/>
      <c r="N10" s="645"/>
      <c r="O10" s="1058" t="s">
        <v>3783</v>
      </c>
      <c r="P10" s="1058" t="s">
        <v>151</v>
      </c>
      <c r="Q10" s="645"/>
      <c r="R10" s="645"/>
      <c r="S10" s="645"/>
      <c r="T10" s="645"/>
      <c r="U10" s="645" t="s">
        <v>3804</v>
      </c>
      <c r="V10" s="645" t="s">
        <v>319</v>
      </c>
      <c r="X10" s="555">
        <v>38.5</v>
      </c>
      <c r="Y10" s="555">
        <v>0.21</v>
      </c>
      <c r="Z10" s="555" t="s">
        <v>4043</v>
      </c>
    </row>
    <row r="11" spans="2:26" x14ac:dyDescent="0.25">
      <c r="G11" s="1077"/>
      <c r="H11" s="645"/>
      <c r="I11" s="645"/>
      <c r="J11" s="645"/>
      <c r="K11" s="1077"/>
      <c r="L11" s="1077"/>
      <c r="M11" s="645"/>
      <c r="N11" s="645"/>
      <c r="O11" s="1058">
        <v>2608</v>
      </c>
      <c r="P11" s="1058" t="s">
        <v>181</v>
      </c>
      <c r="Q11" s="645"/>
      <c r="R11" s="645"/>
      <c r="S11" s="645"/>
      <c r="T11" s="645"/>
      <c r="U11" s="645" t="s">
        <v>3805</v>
      </c>
      <c r="V11" s="645" t="s">
        <v>320</v>
      </c>
      <c r="X11" s="1082" t="s">
        <v>3801</v>
      </c>
      <c r="Y11" s="555">
        <v>0.19700000000000001</v>
      </c>
      <c r="Z11" s="555" t="s">
        <v>4325</v>
      </c>
    </row>
    <row r="12" spans="2:26" x14ac:dyDescent="0.25">
      <c r="G12" s="1077"/>
      <c r="H12" s="1077"/>
      <c r="I12" s="1077"/>
      <c r="J12" s="1077"/>
      <c r="O12" s="555">
        <v>7109</v>
      </c>
      <c r="P12" s="555" t="s">
        <v>182</v>
      </c>
      <c r="T12" s="645"/>
      <c r="U12" s="645" t="s">
        <v>3806</v>
      </c>
      <c r="V12" s="555" t="s">
        <v>321</v>
      </c>
      <c r="X12" s="555" t="s">
        <v>3803</v>
      </c>
      <c r="Y12" s="555">
        <v>0.66</v>
      </c>
      <c r="Z12" s="555" t="s">
        <v>4347</v>
      </c>
    </row>
    <row r="13" spans="2:26" x14ac:dyDescent="0.25">
      <c r="K13" s="1083"/>
      <c r="O13" s="1184" t="s">
        <v>4104</v>
      </c>
      <c r="P13" s="555" t="s">
        <v>4103</v>
      </c>
      <c r="T13" s="645"/>
      <c r="U13" s="555" t="s">
        <v>3807</v>
      </c>
      <c r="V13" s="555" t="s">
        <v>947</v>
      </c>
      <c r="X13" s="555" t="s">
        <v>3799</v>
      </c>
      <c r="Y13" s="555">
        <v>6</v>
      </c>
      <c r="Z13" s="555" t="s">
        <v>4375</v>
      </c>
    </row>
    <row r="14" spans="2:26" x14ac:dyDescent="0.25">
      <c r="O14" s="555" t="s">
        <v>4126</v>
      </c>
      <c r="P14" s="555" t="s">
        <v>4127</v>
      </c>
      <c r="T14" s="645"/>
      <c r="U14" s="555" t="s">
        <v>3808</v>
      </c>
      <c r="V14" s="555" t="s">
        <v>948</v>
      </c>
      <c r="X14" s="1228" t="s">
        <v>3891</v>
      </c>
      <c r="Y14" s="1109" t="s">
        <v>4357</v>
      </c>
      <c r="Z14" s="1109"/>
    </row>
    <row r="15" spans="2:26" x14ac:dyDescent="0.25">
      <c r="O15" s="555" t="s">
        <v>4330</v>
      </c>
      <c r="P15" s="555" t="s">
        <v>149</v>
      </c>
      <c r="T15" s="645"/>
      <c r="U15" s="555" t="s">
        <v>3809</v>
      </c>
      <c r="V15" s="555" t="s">
        <v>949</v>
      </c>
      <c r="X15" s="1228">
        <v>3.3</v>
      </c>
      <c r="Y15" s="1109"/>
      <c r="Z15" s="1109"/>
    </row>
    <row r="16" spans="2:26" x14ac:dyDescent="0.25">
      <c r="O16" s="1220" t="s">
        <v>4335</v>
      </c>
      <c r="P16" s="555" t="s">
        <v>685</v>
      </c>
      <c r="T16" s="645"/>
      <c r="U16" s="555" t="s">
        <v>3810</v>
      </c>
      <c r="V16" s="555" t="s">
        <v>950</v>
      </c>
      <c r="X16" s="1228">
        <v>6</v>
      </c>
      <c r="Y16" s="1109"/>
      <c r="Z16" s="1109"/>
    </row>
    <row r="17" spans="15:27" x14ac:dyDescent="0.25">
      <c r="O17" s="555" t="s">
        <v>4339</v>
      </c>
      <c r="P17" s="555" t="s">
        <v>4340</v>
      </c>
      <c r="R17" s="1072"/>
      <c r="T17" s="645"/>
      <c r="U17" s="555" t="s">
        <v>3811</v>
      </c>
      <c r="V17" s="555" t="s">
        <v>951</v>
      </c>
      <c r="X17" s="555">
        <v>20.2</v>
      </c>
      <c r="Y17" s="1109"/>
      <c r="Z17" s="1109"/>
    </row>
    <row r="18" spans="15:27" x14ac:dyDescent="0.25">
      <c r="O18" s="555" t="s">
        <v>4359</v>
      </c>
      <c r="P18" s="555" t="s">
        <v>4358</v>
      </c>
      <c r="R18" s="1072"/>
      <c r="T18" s="645"/>
      <c r="U18" s="555" t="s">
        <v>3812</v>
      </c>
      <c r="V18" s="555" t="s">
        <v>952</v>
      </c>
      <c r="X18" s="555" t="s">
        <v>4303</v>
      </c>
      <c r="Y18" s="1109"/>
      <c r="Z18" s="1109"/>
      <c r="AA18" s="545"/>
    </row>
    <row r="19" spans="15:27" x14ac:dyDescent="0.25">
      <c r="O19" s="555" t="s">
        <v>4369</v>
      </c>
      <c r="P19" s="555" t="s">
        <v>4280</v>
      </c>
      <c r="R19" s="1072"/>
      <c r="T19" s="645"/>
      <c r="U19" s="555" t="s">
        <v>3813</v>
      </c>
      <c r="V19" s="555" t="s">
        <v>958</v>
      </c>
      <c r="X19" s="555">
        <v>0.38</v>
      </c>
      <c r="Y19" s="1109"/>
      <c r="Z19" s="1109"/>
      <c r="AA19" s="545"/>
    </row>
    <row r="20" spans="15:27" x14ac:dyDescent="0.25">
      <c r="R20" s="1072"/>
      <c r="T20" s="645"/>
      <c r="U20" s="555" t="s">
        <v>3814</v>
      </c>
      <c r="V20" s="555" t="s">
        <v>959</v>
      </c>
      <c r="X20" s="555">
        <v>0.4</v>
      </c>
      <c r="Y20" s="1109"/>
      <c r="Z20" s="1109"/>
      <c r="AA20" s="545"/>
    </row>
    <row r="21" spans="15:27" x14ac:dyDescent="0.25">
      <c r="R21" s="1072"/>
      <c r="T21" s="645"/>
      <c r="U21" s="555" t="s">
        <v>3815</v>
      </c>
      <c r="V21" s="555" t="s">
        <v>960</v>
      </c>
      <c r="X21" s="555">
        <v>7.62</v>
      </c>
      <c r="Y21" s="1109"/>
      <c r="Z21" s="1109"/>
      <c r="AA21" s="545"/>
    </row>
    <row r="22" spans="15:27" x14ac:dyDescent="0.25">
      <c r="R22" s="1072"/>
      <c r="T22" s="645"/>
      <c r="U22" s="555" t="s">
        <v>3816</v>
      </c>
      <c r="V22" s="555" t="s">
        <v>961</v>
      </c>
      <c r="X22" s="555" t="s">
        <v>4376</v>
      </c>
      <c r="Y22" s="1109"/>
      <c r="Z22" s="1109"/>
      <c r="AA22" s="545"/>
    </row>
    <row r="23" spans="15:27" x14ac:dyDescent="0.25">
      <c r="R23" s="1072"/>
      <c r="T23" s="645"/>
      <c r="U23" s="555" t="s">
        <v>3817</v>
      </c>
      <c r="V23" s="555" t="s">
        <v>962</v>
      </c>
      <c r="Y23" s="545"/>
      <c r="Z23" s="545"/>
      <c r="AA23" s="545"/>
    </row>
    <row r="24" spans="15:27" x14ac:dyDescent="0.25">
      <c r="R24" s="1072"/>
      <c r="T24" s="645"/>
      <c r="U24" s="555" t="s">
        <v>3818</v>
      </c>
      <c r="V24" s="555" t="s">
        <v>963</v>
      </c>
      <c r="Y24" s="545"/>
      <c r="Z24" s="545"/>
      <c r="AA24" s="545"/>
    </row>
    <row r="25" spans="15:27" x14ac:dyDescent="0.25">
      <c r="R25" s="1072"/>
      <c r="T25" s="645"/>
      <c r="U25" s="555" t="s">
        <v>3819</v>
      </c>
      <c r="V25" s="555" t="s">
        <v>964</v>
      </c>
      <c r="Y25" s="545"/>
      <c r="Z25" s="545"/>
      <c r="AA25" s="545"/>
    </row>
    <row r="26" spans="15:27" x14ac:dyDescent="0.25">
      <c r="R26" s="1072"/>
      <c r="T26" s="645"/>
      <c r="U26" s="555" t="s">
        <v>3820</v>
      </c>
      <c r="V26" s="555" t="s">
        <v>311</v>
      </c>
      <c r="Y26" s="545"/>
      <c r="Z26" s="545"/>
      <c r="AA26" s="545"/>
    </row>
    <row r="27" spans="15:27" x14ac:dyDescent="0.25">
      <c r="R27" s="1072"/>
      <c r="T27" s="645"/>
      <c r="U27" s="555" t="s">
        <v>3821</v>
      </c>
      <c r="V27" s="555" t="s">
        <v>314</v>
      </c>
      <c r="Y27" s="545"/>
      <c r="Z27" s="545"/>
      <c r="AA27" s="545"/>
    </row>
    <row r="28" spans="15:27" x14ac:dyDescent="0.25">
      <c r="R28" s="1072"/>
      <c r="T28" s="645"/>
      <c r="U28" s="555" t="s">
        <v>3822</v>
      </c>
      <c r="V28" s="555" t="s">
        <v>315</v>
      </c>
      <c r="Y28" s="545"/>
      <c r="Z28" s="545"/>
      <c r="AA28" s="545"/>
    </row>
    <row r="29" spans="15:27" x14ac:dyDescent="0.25">
      <c r="T29" s="645"/>
      <c r="U29" s="555" t="s">
        <v>3823</v>
      </c>
      <c r="V29" s="555" t="s">
        <v>316</v>
      </c>
      <c r="Y29" s="545"/>
      <c r="Z29" s="545"/>
      <c r="AA29" s="545"/>
    </row>
    <row r="30" spans="15:27" x14ac:dyDescent="0.25">
      <c r="T30" s="645"/>
      <c r="U30" s="555" t="s">
        <v>3824</v>
      </c>
      <c r="V30" s="555" t="s">
        <v>317</v>
      </c>
      <c r="Y30" s="545"/>
      <c r="Z30" s="545"/>
      <c r="AA30" s="545"/>
    </row>
    <row r="31" spans="15:27" x14ac:dyDescent="0.25">
      <c r="T31" s="645"/>
      <c r="U31" s="555" t="s">
        <v>3825</v>
      </c>
      <c r="V31" s="555" t="s">
        <v>318</v>
      </c>
      <c r="Y31" s="545"/>
      <c r="Z31" s="545"/>
      <c r="AA31" s="545"/>
    </row>
    <row r="32" spans="15:27" x14ac:dyDescent="0.25">
      <c r="T32" s="645"/>
      <c r="U32" s="555" t="s">
        <v>3826</v>
      </c>
      <c r="V32" s="555" t="s">
        <v>319</v>
      </c>
      <c r="Y32" s="545"/>
      <c r="Z32" s="545"/>
      <c r="AA32" s="545"/>
    </row>
    <row r="33" spans="11:27" x14ac:dyDescent="0.25">
      <c r="T33" s="645"/>
      <c r="U33" s="555" t="s">
        <v>4304</v>
      </c>
      <c r="V33" s="1082" t="s">
        <v>320</v>
      </c>
      <c r="Y33" s="1109"/>
      <c r="Z33" s="1109"/>
      <c r="AA33" s="1109"/>
    </row>
    <row r="34" spans="11:27" x14ac:dyDescent="0.25">
      <c r="T34" s="645"/>
      <c r="U34" s="555" t="s">
        <v>3890</v>
      </c>
      <c r="V34" s="555" t="s">
        <v>311</v>
      </c>
      <c r="Y34" s="545"/>
      <c r="Z34" s="545"/>
      <c r="AA34" s="545"/>
    </row>
    <row r="35" spans="11:27" x14ac:dyDescent="0.25">
      <c r="T35" s="645"/>
      <c r="U35" s="555" t="s">
        <v>3892</v>
      </c>
      <c r="V35" s="555" t="s">
        <v>965</v>
      </c>
      <c r="Y35" s="545"/>
      <c r="Z35" s="545"/>
      <c r="AA35" s="545"/>
    </row>
    <row r="36" spans="11:27" x14ac:dyDescent="0.25">
      <c r="T36" s="645"/>
      <c r="U36" s="555" t="s">
        <v>4029</v>
      </c>
      <c r="V36" s="555">
        <v>24</v>
      </c>
      <c r="Y36" s="545"/>
      <c r="Z36" s="545"/>
      <c r="AA36" s="545"/>
    </row>
    <row r="37" spans="11:27" x14ac:dyDescent="0.25">
      <c r="T37" s="645"/>
      <c r="U37" s="555" t="s">
        <v>4030</v>
      </c>
      <c r="V37" s="555">
        <v>25</v>
      </c>
      <c r="Y37" s="545"/>
      <c r="Z37" s="545"/>
      <c r="AA37" s="545"/>
    </row>
    <row r="38" spans="11:27" x14ac:dyDescent="0.25">
      <c r="T38" s="645"/>
      <c r="U38" s="555" t="s">
        <v>4031</v>
      </c>
      <c r="V38" s="555">
        <v>26</v>
      </c>
      <c r="Y38" s="545"/>
      <c r="Z38" s="545"/>
      <c r="AA38" s="545"/>
    </row>
    <row r="39" spans="11:27" x14ac:dyDescent="0.25">
      <c r="U39" s="555" t="s">
        <v>4034</v>
      </c>
      <c r="V39" s="555">
        <v>27</v>
      </c>
      <c r="Y39" s="545"/>
      <c r="Z39" s="545"/>
      <c r="AA39" s="545"/>
    </row>
    <row r="40" spans="11:27" x14ac:dyDescent="0.25">
      <c r="U40" s="555" t="s">
        <v>4035</v>
      </c>
      <c r="V40" s="555">
        <v>28</v>
      </c>
      <c r="Y40" s="545"/>
      <c r="Z40" s="545"/>
      <c r="AA40" s="545"/>
    </row>
    <row r="41" spans="11:27" x14ac:dyDescent="0.25">
      <c r="U41" s="555" t="s">
        <v>4036</v>
      </c>
      <c r="V41" s="555">
        <v>29</v>
      </c>
      <c r="Y41" s="545"/>
      <c r="Z41" s="545"/>
      <c r="AA41" s="545"/>
    </row>
    <row r="42" spans="11:27" x14ac:dyDescent="0.25">
      <c r="U42" s="555" t="s">
        <v>4037</v>
      </c>
      <c r="V42" s="555">
        <v>30</v>
      </c>
      <c r="Y42" s="545"/>
      <c r="Z42" s="545"/>
      <c r="AA42" s="545"/>
    </row>
    <row r="43" spans="11:27" x14ac:dyDescent="0.25">
      <c r="U43" s="555" t="s">
        <v>4038</v>
      </c>
      <c r="V43" s="555">
        <v>31</v>
      </c>
      <c r="Y43" s="545"/>
      <c r="Z43" s="545"/>
      <c r="AA43" s="545"/>
    </row>
    <row r="44" spans="11:27" x14ac:dyDescent="0.25">
      <c r="U44" s="555" t="s">
        <v>4039</v>
      </c>
      <c r="V44" s="555">
        <v>32</v>
      </c>
      <c r="Y44" s="545"/>
      <c r="Z44" s="545"/>
      <c r="AA44" s="545"/>
    </row>
    <row r="45" spans="11:27" x14ac:dyDescent="0.25">
      <c r="U45" s="555" t="s">
        <v>4040</v>
      </c>
      <c r="V45" s="555">
        <v>33</v>
      </c>
      <c r="Y45" s="545"/>
      <c r="Z45" s="545"/>
      <c r="AA45" s="545"/>
    </row>
    <row r="46" spans="11:27" x14ac:dyDescent="0.25">
      <c r="K46" s="1084"/>
      <c r="R46" s="1072"/>
      <c r="U46" s="555" t="s">
        <v>4041</v>
      </c>
      <c r="V46" s="555">
        <v>34</v>
      </c>
      <c r="Y46" s="545"/>
      <c r="Z46" s="545"/>
      <c r="AA46" s="545"/>
    </row>
    <row r="47" spans="11:27" x14ac:dyDescent="0.25">
      <c r="K47" s="1084"/>
      <c r="R47" s="1072"/>
      <c r="U47" s="555" t="s">
        <v>4042</v>
      </c>
      <c r="V47" s="555">
        <v>35</v>
      </c>
      <c r="Y47" s="545"/>
      <c r="Z47" s="545"/>
      <c r="AA47" s="545"/>
    </row>
    <row r="48" spans="11:27" x14ac:dyDescent="0.25">
      <c r="K48" s="1084"/>
      <c r="R48" s="1072"/>
      <c r="U48" s="555" t="s">
        <v>4120</v>
      </c>
      <c r="V48" s="555">
        <v>36</v>
      </c>
      <c r="Y48" s="545"/>
      <c r="Z48" s="545"/>
      <c r="AA48" s="545"/>
    </row>
    <row r="49" spans="11:27" x14ac:dyDescent="0.25">
      <c r="K49" s="1084"/>
      <c r="R49" s="1072"/>
      <c r="U49" s="555" t="s">
        <v>4293</v>
      </c>
      <c r="V49" s="555">
        <v>37</v>
      </c>
      <c r="Y49" s="545"/>
      <c r="Z49" s="545"/>
      <c r="AA49" s="545"/>
    </row>
    <row r="50" spans="11:27" x14ac:dyDescent="0.25">
      <c r="K50" s="1084"/>
      <c r="R50" s="1072"/>
      <c r="U50" s="555" t="s">
        <v>4324</v>
      </c>
      <c r="V50" s="555">
        <v>38</v>
      </c>
      <c r="Y50" s="545"/>
      <c r="Z50" s="545"/>
      <c r="AA50" s="545"/>
    </row>
    <row r="51" spans="11:27" x14ac:dyDescent="0.25">
      <c r="K51" s="1084"/>
      <c r="R51" s="1072"/>
      <c r="U51" s="555" t="s">
        <v>4329</v>
      </c>
      <c r="V51" s="555">
        <v>39</v>
      </c>
      <c r="Y51" s="545"/>
      <c r="Z51" s="545"/>
      <c r="AA51" s="545"/>
    </row>
    <row r="52" spans="11:27" x14ac:dyDescent="0.25">
      <c r="U52" s="555" t="s">
        <v>4331</v>
      </c>
      <c r="V52" s="555">
        <v>40</v>
      </c>
    </row>
    <row r="53" spans="11:27" x14ac:dyDescent="0.25">
      <c r="U53" s="555" t="s">
        <v>4332</v>
      </c>
      <c r="V53" s="555">
        <v>41</v>
      </c>
    </row>
    <row r="54" spans="11:27" x14ac:dyDescent="0.25">
      <c r="U54" s="555" t="s">
        <v>4341</v>
      </c>
      <c r="V54" s="555">
        <v>42</v>
      </c>
    </row>
    <row r="55" spans="11:27" x14ac:dyDescent="0.25">
      <c r="U55" s="555" t="s">
        <v>4348</v>
      </c>
      <c r="V55" s="1082" t="s">
        <v>321</v>
      </c>
    </row>
    <row r="56" spans="11:27" x14ac:dyDescent="0.25">
      <c r="U56" s="555" t="s">
        <v>4356</v>
      </c>
      <c r="V56" s="555">
        <v>43</v>
      </c>
    </row>
    <row r="57" spans="11:27" x14ac:dyDescent="0.25">
      <c r="U57" s="555" t="s">
        <v>4374</v>
      </c>
      <c r="V57" s="555">
        <v>10</v>
      </c>
    </row>
  </sheetData>
  <mergeCells count="7">
    <mergeCell ref="G1:V1"/>
    <mergeCell ref="B3:E3"/>
    <mergeCell ref="G3:H3"/>
    <mergeCell ref="O3:P3"/>
    <mergeCell ref="R3:S3"/>
    <mergeCell ref="U3:V3"/>
    <mergeCell ref="J3:M3"/>
  </mergeCells>
  <conditionalFormatting sqref="U50:U53 U1:U32 U34:U48 U58:U1048576">
    <cfRule type="duplicateValues" dxfId="4" priority="6"/>
  </conditionalFormatting>
  <conditionalFormatting sqref="U49">
    <cfRule type="duplicateValues" dxfId="3" priority="5"/>
  </conditionalFormatting>
  <conditionalFormatting sqref="U54">
    <cfRule type="duplicateValues" dxfId="2" priority="3"/>
  </conditionalFormatting>
  <conditionalFormatting sqref="U55">
    <cfRule type="duplicateValues" dxfId="1" priority="2"/>
  </conditionalFormatting>
  <conditionalFormatting sqref="U56">
    <cfRule type="duplicateValues" dxfId="0" priority="1"/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N10"/>
  <sheetViews>
    <sheetView topLeftCell="A3" workbookViewId="0">
      <selection activeCell="D38" sqref="D38"/>
    </sheetView>
  </sheetViews>
  <sheetFormatPr defaultRowHeight="15" x14ac:dyDescent="0.25"/>
  <cols>
    <col min="1" max="1" width="7.140625" customWidth="1"/>
    <col min="2" max="2" width="18.7109375" customWidth="1"/>
    <col min="3" max="3" width="13.140625" customWidth="1"/>
    <col min="4" max="4" width="16" customWidth="1"/>
    <col min="5" max="5" width="19.42578125" customWidth="1"/>
    <col min="6" max="6" width="20.85546875" customWidth="1"/>
    <col min="7" max="7" width="8.7109375" customWidth="1"/>
    <col min="8" max="8" width="10.5703125" customWidth="1"/>
    <col min="9" max="9" width="26.5703125" customWidth="1"/>
    <col min="10" max="10" width="9.5703125" customWidth="1"/>
    <col min="11" max="11" width="9.140625" customWidth="1"/>
    <col min="12" max="12" width="14.7109375" customWidth="1"/>
    <col min="13" max="13" width="13.85546875" customWidth="1"/>
    <col min="14" max="14" width="6.85546875" customWidth="1"/>
  </cols>
  <sheetData>
    <row r="1" spans="1:14" x14ac:dyDescent="0.25">
      <c r="A1" s="545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</row>
    <row r="2" spans="1:14" x14ac:dyDescent="0.25">
      <c r="A2" s="545"/>
      <c r="B2" s="545"/>
      <c r="C2" s="545"/>
      <c r="D2" s="545" t="str">
        <f>Phieutrienkhai!Q14</f>
        <v>ATH3030V01O-01</v>
      </c>
      <c r="E2" s="545"/>
      <c r="F2" s="545" t="s">
        <v>4370</v>
      </c>
      <c r="G2" s="545"/>
      <c r="H2" s="545"/>
      <c r="I2" s="545" t="s">
        <v>3838</v>
      </c>
      <c r="J2" s="545"/>
      <c r="K2" s="545"/>
      <c r="L2" s="545"/>
      <c r="M2" s="545"/>
      <c r="N2" s="545"/>
    </row>
    <row r="3" spans="1:14" x14ac:dyDescent="0.25">
      <c r="A3" s="545"/>
      <c r="B3" s="545" t="s">
        <v>3839</v>
      </c>
      <c r="C3" s="545"/>
      <c r="D3" s="545" t="str">
        <f>Phieutrienkhai!Q15</f>
        <v>1TH3030V01O-01</v>
      </c>
      <c r="E3" s="545"/>
      <c r="F3" s="545"/>
      <c r="G3" s="545"/>
      <c r="H3" s="545"/>
      <c r="I3" s="545"/>
      <c r="J3" s="545"/>
      <c r="K3" s="545"/>
      <c r="L3" s="545"/>
      <c r="M3" s="545"/>
      <c r="N3" s="545"/>
    </row>
    <row r="4" spans="1:14" x14ac:dyDescent="0.25">
      <c r="A4" s="545"/>
      <c r="B4" s="545"/>
      <c r="C4" s="545"/>
      <c r="D4" s="545"/>
      <c r="E4" s="545" t="s">
        <v>3840</v>
      </c>
      <c r="F4" s="545" t="str">
        <f>F2&amp;I2&amp;F10&amp;I2&amp;G10&amp;I2&amp;H10&amp;I2&amp;I10&amp;I2&amp;J10&amp;I2&amp;K10&amp;I2&amp;L10&amp;I2&amp;M10&amp;I2&amp;N10</f>
        <v>\\192.168.0.9\phong ky thuat\Bien_the_dien_luc\3p\NEMA\Cu_Cu_Si\303\KBD\22\0.4\Dyn11</v>
      </c>
      <c r="G4" s="545"/>
      <c r="H4" s="545"/>
      <c r="I4" s="545"/>
      <c r="J4" s="545"/>
      <c r="K4" s="545"/>
      <c r="L4" s="545"/>
      <c r="M4" s="545"/>
      <c r="N4" s="545"/>
    </row>
    <row r="5" spans="1:14" x14ac:dyDescent="0.25">
      <c r="A5" s="545"/>
      <c r="B5" s="545"/>
      <c r="C5" s="545"/>
      <c r="D5" s="545"/>
      <c r="E5" s="545" t="s">
        <v>3840</v>
      </c>
      <c r="F5" s="545" t="str">
        <f>F2&amp;I2&amp;F10&amp;I2&amp;G10&amp;I2&amp;H10&amp;I2&amp;I10&amp;I2&amp;J10&amp;I2&amp;K10&amp;I2&amp;L10&amp;I2&amp;M10&amp;I2&amp;N10&amp;I2&amp;D2</f>
        <v>\\192.168.0.9\phong ky thuat\Bien_the_dien_luc\3p\NEMA\Cu_Cu_Si\303\KBD\22\0.4\Dyn11\ATH3030V01O-01</v>
      </c>
      <c r="G5" s="545"/>
      <c r="H5" s="545"/>
      <c r="I5" s="545"/>
      <c r="J5" s="545"/>
      <c r="K5" s="545"/>
      <c r="L5" s="545"/>
      <c r="M5" s="545"/>
      <c r="N5" s="545"/>
    </row>
    <row r="6" spans="1:14" x14ac:dyDescent="0.25">
      <c r="A6" s="545"/>
      <c r="B6" s="545"/>
      <c r="C6" s="545"/>
      <c r="D6" s="545"/>
      <c r="E6" s="545" t="s">
        <v>3841</v>
      </c>
      <c r="F6" s="545" t="str">
        <f>F2&amp;I2&amp;F10&amp;I2&amp;G10&amp;I2&amp;H10&amp;I2&amp;I10&amp;I2&amp;J10&amp;I2&amp;K10&amp;I2&amp;L10&amp;I2&amp;M10&amp;I2&amp;N10&amp;I2&amp;D2&amp;I2&amp;D3</f>
        <v>\\192.168.0.9\phong ky thuat\Bien_the_dien_luc\3p\NEMA\Cu_Cu_Si\303\KBD\22\0.4\Dyn11\ATH3030V01O-01\1TH3030V01O-01</v>
      </c>
      <c r="G6" s="545"/>
      <c r="H6" s="545"/>
      <c r="I6" s="545"/>
      <c r="J6" s="545"/>
      <c r="K6" s="545"/>
      <c r="L6" s="545"/>
      <c r="M6" s="545"/>
      <c r="N6" s="545"/>
    </row>
    <row r="7" spans="1:14" x14ac:dyDescent="0.25">
      <c r="A7" s="545"/>
      <c r="B7" s="545"/>
      <c r="C7" s="545"/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</row>
    <row r="8" spans="1:14" x14ac:dyDescent="0.25">
      <c r="A8" s="545"/>
      <c r="B8" s="545"/>
      <c r="C8" s="545"/>
      <c r="D8" s="545"/>
      <c r="E8" s="545"/>
      <c r="F8" s="545"/>
      <c r="G8" s="545"/>
      <c r="H8" s="545"/>
      <c r="I8" s="545"/>
      <c r="J8" s="545"/>
      <c r="K8" s="545"/>
      <c r="L8" s="545"/>
      <c r="M8" s="545"/>
      <c r="N8" s="545"/>
    </row>
    <row r="9" spans="1:14" x14ac:dyDescent="0.25">
      <c r="A9" s="545" t="s">
        <v>3842</v>
      </c>
      <c r="B9" s="545" t="s">
        <v>3843</v>
      </c>
      <c r="C9" s="545" t="s">
        <v>3844</v>
      </c>
      <c r="D9" s="545" t="s">
        <v>3845</v>
      </c>
      <c r="E9" s="545" t="s">
        <v>3846</v>
      </c>
      <c r="F9" s="545" t="s">
        <v>3847</v>
      </c>
      <c r="G9" s="545" t="s">
        <v>3742</v>
      </c>
      <c r="H9" s="545" t="s">
        <v>3778</v>
      </c>
      <c r="I9" s="545" t="s">
        <v>3848</v>
      </c>
      <c r="J9" s="545" t="s">
        <v>69</v>
      </c>
      <c r="K9" s="545" t="s">
        <v>3849</v>
      </c>
      <c r="L9" s="545" t="s">
        <v>3832</v>
      </c>
      <c r="M9" s="545" t="s">
        <v>3833</v>
      </c>
      <c r="N9" s="545" t="s">
        <v>568</v>
      </c>
    </row>
    <row r="10" spans="1:14" x14ac:dyDescent="0.25">
      <c r="A10" s="545" t="str">
        <f>Phieutrienkhai!E9</f>
        <v xml:space="preserve">23A 001  </v>
      </c>
      <c r="B10" s="1089" t="str">
        <f>HYPERLINK(F5,B3)</f>
        <v>Click here</v>
      </c>
      <c r="C10" s="1089" t="str">
        <f>HYPERLINK(F6,B3)</f>
        <v>Click here</v>
      </c>
      <c r="D10" s="545"/>
      <c r="E10" s="545"/>
      <c r="F10" s="545" t="str">
        <f>VLOOKUP(Phieutrienkhai!Q17,Tra_cuu!B4:E32,4,FALSE)</f>
        <v>Bien_the_dien_luc</v>
      </c>
      <c r="G10" s="545" t="s">
        <v>3850</v>
      </c>
      <c r="H10" s="545" t="str">
        <f>Phieutrienkhai!Q25</f>
        <v>NEMA</v>
      </c>
      <c r="I10" s="545" t="str">
        <f>VatTu!C17&amp;"_"&amp;VatTu!C19&amp;"_"&amp;VatTu!C4</f>
        <v>Cu_Cu_Si</v>
      </c>
      <c r="J10" s="1049">
        <f>Sheet5!B17</f>
        <v>303</v>
      </c>
      <c r="K10" s="545" t="str">
        <f>VLOOKUP(Phieutrienkhai!Q19,Tra_cuu!K4:M25,3,FALSE)</f>
        <v>KBD</v>
      </c>
      <c r="L10" s="545">
        <f>Phieutrienkhai!Q22</f>
        <v>22</v>
      </c>
      <c r="M10" s="545">
        <f>Phieutrienkhai!Q23</f>
        <v>0.4</v>
      </c>
      <c r="N10" s="545" t="str">
        <f>Phieutrienkhai!Q24</f>
        <v>Dyn11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N121"/>
  <sheetViews>
    <sheetView topLeftCell="E1" zoomScaleNormal="100" workbookViewId="0">
      <pane ySplit="1" topLeftCell="A35" activePane="bottomLeft" state="frozen"/>
      <selection activeCell="E1" sqref="E1"/>
      <selection pane="bottomLeft" activeCell="Q9" sqref="Q9"/>
    </sheetView>
  </sheetViews>
  <sheetFormatPr defaultRowHeight="15" x14ac:dyDescent="0.25"/>
  <cols>
    <col min="1" max="1" width="16.7109375" style="46" customWidth="1"/>
    <col min="2" max="2" width="9.7109375" style="46" customWidth="1"/>
    <col min="3" max="3" width="11.140625" style="46" customWidth="1"/>
    <col min="4" max="4" width="15.5703125" style="46" customWidth="1"/>
    <col min="5" max="7" width="12.140625" style="46" customWidth="1"/>
    <col min="8" max="8" width="13.7109375" style="46" customWidth="1"/>
    <col min="9" max="9" width="9.140625" style="46"/>
    <col min="10" max="12" width="10.5703125" style="46" customWidth="1"/>
    <col min="13" max="13" width="9.140625" style="46"/>
    <col min="14" max="14" width="16.7109375" style="46" customWidth="1"/>
    <col min="15" max="15" width="23.28515625" style="46" customWidth="1"/>
    <col min="16" max="16" width="9.140625" style="957"/>
    <col min="17" max="17" width="10.7109375" style="46" customWidth="1"/>
    <col min="18" max="18" width="23.28515625" style="46" customWidth="1"/>
    <col min="19" max="19" width="11.140625" style="46" customWidth="1"/>
    <col min="20" max="20" width="15.5703125" style="46" customWidth="1"/>
    <col min="21" max="21" width="14.28515625" style="46" customWidth="1"/>
    <col min="22" max="22" width="9.85546875" style="555" customWidth="1"/>
    <col min="23" max="23" width="12.140625" style="46" customWidth="1"/>
    <col min="24" max="16384" width="9.140625" style="46"/>
  </cols>
  <sheetData>
    <row r="1" spans="1:21" ht="40.5" customHeight="1" x14ac:dyDescent="0.25">
      <c r="B1" s="46" t="s">
        <v>161</v>
      </c>
      <c r="C1" s="46" t="s">
        <v>1003</v>
      </c>
      <c r="D1" s="46" t="s">
        <v>1002</v>
      </c>
      <c r="E1" s="46" t="s">
        <v>992</v>
      </c>
      <c r="F1" s="46" t="s">
        <v>994</v>
      </c>
      <c r="G1" s="46" t="s">
        <v>991</v>
      </c>
    </row>
    <row r="2" spans="1:21" x14ac:dyDescent="0.25">
      <c r="A2" s="46" t="s">
        <v>990</v>
      </c>
      <c r="B2" s="46">
        <v>3</v>
      </c>
      <c r="C2" s="46">
        <v>12</v>
      </c>
      <c r="D2" s="46">
        <v>0</v>
      </c>
      <c r="E2" s="46">
        <v>2</v>
      </c>
      <c r="F2" s="46">
        <v>0</v>
      </c>
      <c r="G2" s="46">
        <v>2</v>
      </c>
      <c r="J2" s="46" t="s">
        <v>998</v>
      </c>
      <c r="K2" s="554">
        <f>Sheet5!F35</f>
        <v>2</v>
      </c>
      <c r="L2" s="46">
        <v>1</v>
      </c>
      <c r="M2" s="46" t="s">
        <v>563</v>
      </c>
    </row>
    <row r="3" spans="1:21" ht="15.75" thickBot="1" x14ac:dyDescent="0.3">
      <c r="A3" s="46" t="s">
        <v>993</v>
      </c>
      <c r="B3" s="46">
        <v>3</v>
      </c>
      <c r="C3" s="46">
        <v>12</v>
      </c>
      <c r="D3" s="46">
        <v>0</v>
      </c>
      <c r="E3" s="46">
        <v>0</v>
      </c>
      <c r="F3" s="46">
        <f>4*B3</f>
        <v>12</v>
      </c>
      <c r="G3" s="46">
        <f>F3</f>
        <v>12</v>
      </c>
      <c r="L3" s="46">
        <v>2</v>
      </c>
      <c r="M3" s="46" t="s">
        <v>565</v>
      </c>
    </row>
    <row r="4" spans="1:21" ht="15.75" thickBot="1" x14ac:dyDescent="0.3">
      <c r="A4" s="46" t="s">
        <v>995</v>
      </c>
      <c r="B4" s="46">
        <v>4</v>
      </c>
      <c r="N4" s="566"/>
      <c r="O4" s="567" t="s">
        <v>1010</v>
      </c>
      <c r="P4" s="958" t="s">
        <v>161</v>
      </c>
      <c r="Q4" s="567" t="s">
        <v>1003</v>
      </c>
      <c r="R4" s="567" t="s">
        <v>1002</v>
      </c>
      <c r="S4" s="567" t="s">
        <v>992</v>
      </c>
      <c r="T4" s="567" t="s">
        <v>994</v>
      </c>
      <c r="U4" s="568" t="s">
        <v>991</v>
      </c>
    </row>
    <row r="5" spans="1:21" ht="16.5" thickTop="1" thickBot="1" x14ac:dyDescent="0.3">
      <c r="A5" s="46" t="s">
        <v>1013</v>
      </c>
      <c r="B5" s="46">
        <f t="shared" ref="B5:G7" si="0">IF($L$5=$N$5,P5,IF($L$5=$N$8,P8,IF($L$5=$N$11,P11,IF($L$5=$N$14,P14,IF($L$5=$N$17,P17,IF($L$5=$N$20,P20,"Sai")))))*$L$6)</f>
        <v>0</v>
      </c>
      <c r="C5" s="1027">
        <f t="shared" si="0"/>
        <v>0</v>
      </c>
      <c r="D5" s="1027">
        <f t="shared" si="0"/>
        <v>0</v>
      </c>
      <c r="E5" s="1027">
        <f t="shared" si="0"/>
        <v>0</v>
      </c>
      <c r="F5" s="1027">
        <f t="shared" si="0"/>
        <v>0</v>
      </c>
      <c r="G5" s="1027">
        <f t="shared" si="0"/>
        <v>0</v>
      </c>
      <c r="K5" s="46" t="s">
        <v>1014</v>
      </c>
      <c r="L5" s="46" t="str">
        <f>Sheet2!G28</f>
        <v>M12-250A</v>
      </c>
      <c r="N5" s="569" t="s">
        <v>67</v>
      </c>
      <c r="O5" s="1544" t="s">
        <v>1013</v>
      </c>
      <c r="P5" s="561">
        <v>0</v>
      </c>
      <c r="Q5" s="561">
        <v>0</v>
      </c>
      <c r="R5" s="561">
        <v>0</v>
      </c>
      <c r="S5" s="561">
        <v>0</v>
      </c>
      <c r="T5" s="561">
        <v>0</v>
      </c>
      <c r="U5" s="570">
        <v>0</v>
      </c>
    </row>
    <row r="6" spans="1:21" ht="15.75" thickTop="1" x14ac:dyDescent="0.25">
      <c r="B6" s="1027">
        <f t="shared" si="0"/>
        <v>0</v>
      </c>
      <c r="C6" s="1027">
        <f t="shared" si="0"/>
        <v>0</v>
      </c>
      <c r="D6" s="1027">
        <f t="shared" si="0"/>
        <v>0</v>
      </c>
      <c r="E6" s="1027">
        <f t="shared" si="0"/>
        <v>0</v>
      </c>
      <c r="F6" s="1027">
        <f t="shared" si="0"/>
        <v>0</v>
      </c>
      <c r="G6" s="1027">
        <f t="shared" si="0"/>
        <v>0</v>
      </c>
      <c r="K6" s="46" t="s">
        <v>1015</v>
      </c>
      <c r="L6" s="46">
        <f>IF(Sheet2!B29&gt;Sheet2!B98,2,1)</f>
        <v>1</v>
      </c>
      <c r="N6" s="571"/>
      <c r="O6" s="1545"/>
      <c r="P6" s="560">
        <v>0</v>
      </c>
      <c r="Q6" s="561">
        <v>0</v>
      </c>
      <c r="R6" s="561">
        <v>0</v>
      </c>
      <c r="S6" s="561">
        <v>0</v>
      </c>
      <c r="T6" s="561">
        <v>0</v>
      </c>
      <c r="U6" s="570">
        <v>0</v>
      </c>
    </row>
    <row r="7" spans="1:21" ht="15.75" thickBot="1" x14ac:dyDescent="0.3">
      <c r="A7" s="46" t="s">
        <v>1012</v>
      </c>
      <c r="B7" s="1027">
        <f t="shared" si="0"/>
        <v>8</v>
      </c>
      <c r="C7" s="1027">
        <f t="shared" si="0"/>
        <v>10</v>
      </c>
      <c r="D7" s="1027">
        <f t="shared" si="0"/>
        <v>4</v>
      </c>
      <c r="E7" s="1027">
        <f t="shared" si="0"/>
        <v>8</v>
      </c>
      <c r="F7" s="1027">
        <f t="shared" si="0"/>
        <v>0</v>
      </c>
      <c r="G7" s="1027">
        <f t="shared" si="0"/>
        <v>8</v>
      </c>
      <c r="N7" s="572"/>
      <c r="O7" s="564" t="s">
        <v>1012</v>
      </c>
      <c r="P7" s="559">
        <f>L12*2</f>
        <v>8</v>
      </c>
      <c r="Q7" s="559">
        <v>10</v>
      </c>
      <c r="R7" s="559">
        <f>L12</f>
        <v>4</v>
      </c>
      <c r="S7" s="559">
        <f>L12*2</f>
        <v>8</v>
      </c>
      <c r="T7" s="559">
        <v>0</v>
      </c>
      <c r="U7" s="573">
        <f>S7</f>
        <v>8</v>
      </c>
    </row>
    <row r="8" spans="1:21" ht="16.5" thickTop="1" thickBot="1" x14ac:dyDescent="0.3">
      <c r="A8" s="46" t="s">
        <v>996</v>
      </c>
      <c r="B8" s="46">
        <v>1</v>
      </c>
      <c r="C8" s="46">
        <v>10</v>
      </c>
      <c r="D8" s="46">
        <f>L9</f>
        <v>52</v>
      </c>
      <c r="E8" s="46">
        <f>D8</f>
        <v>52</v>
      </c>
      <c r="F8" s="46">
        <v>0</v>
      </c>
      <c r="G8" s="46">
        <f>E8</f>
        <v>52</v>
      </c>
      <c r="N8" s="574" t="s">
        <v>56</v>
      </c>
      <c r="O8" s="1544" t="s">
        <v>1013</v>
      </c>
      <c r="P8" s="562">
        <v>4</v>
      </c>
      <c r="Q8" s="563">
        <v>12</v>
      </c>
      <c r="R8" s="563">
        <f>4*P8</f>
        <v>16</v>
      </c>
      <c r="S8" s="563">
        <f>R8*2</f>
        <v>32</v>
      </c>
      <c r="T8" s="563">
        <v>0</v>
      </c>
      <c r="U8" s="575">
        <f>S8</f>
        <v>32</v>
      </c>
    </row>
    <row r="9" spans="1:21" ht="15.75" thickTop="1" x14ac:dyDescent="0.25">
      <c r="A9" s="46" t="s">
        <v>1004</v>
      </c>
      <c r="B9" s="46">
        <v>4</v>
      </c>
      <c r="C9" s="46">
        <v>10</v>
      </c>
      <c r="D9" s="46">
        <v>1</v>
      </c>
      <c r="E9" s="46">
        <v>1</v>
      </c>
      <c r="F9" s="46">
        <v>0</v>
      </c>
      <c r="G9" s="46">
        <v>2</v>
      </c>
      <c r="H9" s="46" t="s">
        <v>990</v>
      </c>
      <c r="K9" s="46" t="s">
        <v>997</v>
      </c>
      <c r="L9" s="46">
        <f>'Lo vanh vs nap'!C3*2+'Lo vanh vs nap'!D3*2+4</f>
        <v>52</v>
      </c>
      <c r="N9" s="572"/>
      <c r="O9" s="1545"/>
      <c r="P9" s="558">
        <v>4</v>
      </c>
      <c r="Q9" s="559">
        <v>8</v>
      </c>
      <c r="R9" s="559">
        <f>2*P9</f>
        <v>8</v>
      </c>
      <c r="S9" s="559">
        <v>0</v>
      </c>
      <c r="T9" s="559">
        <v>0</v>
      </c>
      <c r="U9" s="573">
        <f>R9</f>
        <v>8</v>
      </c>
    </row>
    <row r="10" spans="1:21" ht="15.75" thickBot="1" x14ac:dyDescent="0.3">
      <c r="B10" s="46">
        <v>4</v>
      </c>
      <c r="C10" s="46">
        <v>14</v>
      </c>
      <c r="D10" s="46">
        <v>4</v>
      </c>
      <c r="E10" s="46">
        <v>8</v>
      </c>
      <c r="F10" s="46">
        <v>0</v>
      </c>
      <c r="G10" s="46">
        <v>4</v>
      </c>
      <c r="H10" s="46" t="s">
        <v>1005</v>
      </c>
      <c r="N10" s="572"/>
      <c r="O10" s="552" t="s">
        <v>1012</v>
      </c>
      <c r="P10" s="560">
        <f>L12*2</f>
        <v>8</v>
      </c>
      <c r="Q10" s="561">
        <v>10</v>
      </c>
      <c r="R10" s="561">
        <f>P10</f>
        <v>8</v>
      </c>
      <c r="S10" s="561">
        <f>2*R10</f>
        <v>16</v>
      </c>
      <c r="T10" s="561">
        <v>0</v>
      </c>
      <c r="U10" s="570">
        <f>S10</f>
        <v>16</v>
      </c>
    </row>
    <row r="11" spans="1:21" ht="16.5" thickTop="1" thickBot="1" x14ac:dyDescent="0.3">
      <c r="A11" s="46" t="s">
        <v>999</v>
      </c>
      <c r="B11" s="46">
        <f t="shared" ref="B11:G13" si="1">IF($K$2=1,P25,0)</f>
        <v>0</v>
      </c>
      <c r="C11" s="46">
        <f t="shared" si="1"/>
        <v>0</v>
      </c>
      <c r="D11" s="46">
        <f t="shared" si="1"/>
        <v>0</v>
      </c>
      <c r="E11" s="46">
        <f t="shared" si="1"/>
        <v>0</v>
      </c>
      <c r="F11" s="46">
        <f t="shared" si="1"/>
        <v>0</v>
      </c>
      <c r="G11" s="46">
        <f t="shared" si="1"/>
        <v>0</v>
      </c>
      <c r="N11" s="574" t="s">
        <v>57</v>
      </c>
      <c r="O11" s="1544" t="s">
        <v>1013</v>
      </c>
      <c r="P11" s="556">
        <v>4</v>
      </c>
      <c r="Q11" s="557">
        <v>12</v>
      </c>
      <c r="R11" s="557">
        <f>4*P11</f>
        <v>16</v>
      </c>
      <c r="S11" s="557">
        <f>R11*2</f>
        <v>32</v>
      </c>
      <c r="T11" s="557">
        <v>0</v>
      </c>
      <c r="U11" s="575">
        <f>S11</f>
        <v>32</v>
      </c>
    </row>
    <row r="12" spans="1:21" ht="15.75" thickTop="1" x14ac:dyDescent="0.25">
      <c r="A12" s="46" t="s">
        <v>1000</v>
      </c>
      <c r="B12" s="46">
        <f t="shared" si="1"/>
        <v>0</v>
      </c>
      <c r="C12" s="46">
        <f t="shared" si="1"/>
        <v>0</v>
      </c>
      <c r="D12" s="46">
        <f t="shared" si="1"/>
        <v>0</v>
      </c>
      <c r="E12" s="46">
        <f t="shared" si="1"/>
        <v>0</v>
      </c>
      <c r="F12" s="46">
        <f t="shared" si="1"/>
        <v>0</v>
      </c>
      <c r="G12" s="46">
        <f t="shared" si="1"/>
        <v>0</v>
      </c>
      <c r="K12" s="46" t="s">
        <v>723</v>
      </c>
      <c r="L12" s="46">
        <f>Sheet2!F141+Sheet2!H141+(Sheet2!F155+Sheet2!H155)*3</f>
        <v>4</v>
      </c>
      <c r="N12" s="576"/>
      <c r="O12" s="1545"/>
      <c r="P12" s="559">
        <v>4</v>
      </c>
      <c r="Q12" s="559">
        <v>8</v>
      </c>
      <c r="R12" s="559">
        <f>2*P12</f>
        <v>8</v>
      </c>
      <c r="S12" s="559">
        <v>0</v>
      </c>
      <c r="T12" s="559">
        <v>0</v>
      </c>
      <c r="U12" s="573">
        <f>R12</f>
        <v>8</v>
      </c>
    </row>
    <row r="13" spans="1:21" ht="15.75" thickBot="1" x14ac:dyDescent="0.3">
      <c r="A13" s="46" t="s">
        <v>1001</v>
      </c>
      <c r="B13" s="46">
        <f t="shared" si="1"/>
        <v>0</v>
      </c>
      <c r="C13" s="46">
        <f t="shared" si="1"/>
        <v>0</v>
      </c>
      <c r="D13" s="46">
        <f t="shared" si="1"/>
        <v>0</v>
      </c>
      <c r="E13" s="46">
        <f t="shared" si="1"/>
        <v>0</v>
      </c>
      <c r="F13" s="46">
        <f t="shared" si="1"/>
        <v>0</v>
      </c>
      <c r="G13" s="46">
        <f t="shared" si="1"/>
        <v>0</v>
      </c>
      <c r="N13" s="572"/>
      <c r="O13" s="552" t="s">
        <v>1012</v>
      </c>
      <c r="P13" s="563">
        <f>L12*2</f>
        <v>8</v>
      </c>
      <c r="Q13" s="563">
        <v>10</v>
      </c>
      <c r="R13" s="563">
        <f>P13</f>
        <v>8</v>
      </c>
      <c r="S13" s="563">
        <f>R13*2</f>
        <v>16</v>
      </c>
      <c r="T13" s="563">
        <v>0</v>
      </c>
      <c r="U13" s="577">
        <f>S13</f>
        <v>16</v>
      </c>
    </row>
    <row r="14" spans="1:21" ht="16.5" thickTop="1" thickBot="1" x14ac:dyDescent="0.3">
      <c r="A14" s="46" t="s">
        <v>1006</v>
      </c>
      <c r="B14" s="46">
        <v>4</v>
      </c>
      <c r="C14" s="46">
        <f>Sheet2!F160</f>
        <v>12</v>
      </c>
      <c r="D14" s="46">
        <v>0</v>
      </c>
      <c r="E14" s="46">
        <f>4*B14</f>
        <v>16</v>
      </c>
      <c r="F14" s="46">
        <v>0</v>
      </c>
      <c r="G14" s="46">
        <f>2*B14</f>
        <v>8</v>
      </c>
      <c r="N14" s="574" t="s">
        <v>58</v>
      </c>
      <c r="O14" s="1544" t="s">
        <v>1013</v>
      </c>
      <c r="P14" s="557">
        <v>4</v>
      </c>
      <c r="Q14" s="557">
        <v>12</v>
      </c>
      <c r="R14" s="557">
        <f>4*P14</f>
        <v>16</v>
      </c>
      <c r="S14" s="557">
        <f>R14*2</f>
        <v>32</v>
      </c>
      <c r="T14" s="557">
        <v>0</v>
      </c>
      <c r="U14" s="575">
        <f>S14</f>
        <v>32</v>
      </c>
    </row>
    <row r="15" spans="1:21" ht="15.75" thickTop="1" x14ac:dyDescent="0.25">
      <c r="A15" s="46" t="s">
        <v>1007</v>
      </c>
      <c r="B15" s="554">
        <f>Sheet2!K170</f>
        <v>8</v>
      </c>
      <c r="C15" s="46">
        <f>Sheet2!F161</f>
        <v>12</v>
      </c>
      <c r="D15" s="46">
        <v>0</v>
      </c>
      <c r="E15" s="46">
        <f>6*B15</f>
        <v>48</v>
      </c>
      <c r="F15" s="46">
        <v>0</v>
      </c>
      <c r="G15" s="46">
        <f>2*B15</f>
        <v>16</v>
      </c>
      <c r="N15" s="572"/>
      <c r="O15" s="1545"/>
      <c r="P15" s="558">
        <v>4</v>
      </c>
      <c r="Q15" s="559">
        <v>10</v>
      </c>
      <c r="R15" s="559">
        <f>2*P15</f>
        <v>8</v>
      </c>
      <c r="S15" s="559">
        <v>0</v>
      </c>
      <c r="T15" s="559">
        <v>0</v>
      </c>
      <c r="U15" s="573">
        <f>R15</f>
        <v>8</v>
      </c>
    </row>
    <row r="16" spans="1:21" ht="15.75" thickBot="1" x14ac:dyDescent="0.3">
      <c r="A16" s="46" t="s">
        <v>1008</v>
      </c>
      <c r="B16" s="46">
        <v>2</v>
      </c>
      <c r="C16" s="46">
        <v>10</v>
      </c>
      <c r="D16" s="46">
        <v>1</v>
      </c>
      <c r="E16" s="46">
        <v>0</v>
      </c>
      <c r="F16" s="46">
        <v>0</v>
      </c>
      <c r="G16" s="46">
        <v>1</v>
      </c>
      <c r="N16" s="572"/>
      <c r="O16" s="552" t="s">
        <v>1012</v>
      </c>
      <c r="P16" s="565">
        <f>L12*2</f>
        <v>8</v>
      </c>
      <c r="Q16" s="561">
        <v>10</v>
      </c>
      <c r="R16" s="561">
        <f>P16</f>
        <v>8</v>
      </c>
      <c r="S16" s="561">
        <f>R16*2</f>
        <v>16</v>
      </c>
      <c r="T16" s="561">
        <v>0</v>
      </c>
      <c r="U16" s="570">
        <f>S16</f>
        <v>16</v>
      </c>
    </row>
    <row r="17" spans="1:22" ht="16.5" thickTop="1" thickBot="1" x14ac:dyDescent="0.3">
      <c r="A17" s="46" t="s">
        <v>1011</v>
      </c>
      <c r="B17" s="46">
        <v>2</v>
      </c>
      <c r="C17" s="46">
        <v>12</v>
      </c>
      <c r="D17" s="46">
        <v>0</v>
      </c>
      <c r="E17" s="46">
        <v>4</v>
      </c>
      <c r="F17" s="46">
        <v>0</v>
      </c>
      <c r="G17" s="46">
        <v>4</v>
      </c>
      <c r="N17" s="574" t="s">
        <v>59</v>
      </c>
      <c r="O17" s="1544" t="s">
        <v>1013</v>
      </c>
      <c r="P17" s="556">
        <v>4</v>
      </c>
      <c r="Q17" s="557">
        <v>12</v>
      </c>
      <c r="R17" s="557">
        <f>4*P17</f>
        <v>16</v>
      </c>
      <c r="S17" s="557">
        <f>R17*2</f>
        <v>32</v>
      </c>
      <c r="T17" s="557">
        <v>0</v>
      </c>
      <c r="U17" s="575">
        <f>S17</f>
        <v>32</v>
      </c>
    </row>
    <row r="18" spans="1:22" ht="15.75" thickTop="1" x14ac:dyDescent="0.25">
      <c r="N18" s="572"/>
      <c r="O18" s="1545"/>
      <c r="P18" s="558">
        <v>4</v>
      </c>
      <c r="Q18" s="559">
        <v>10</v>
      </c>
      <c r="R18" s="559">
        <f>2*P18</f>
        <v>8</v>
      </c>
      <c r="S18" s="559">
        <v>0</v>
      </c>
      <c r="T18" s="559">
        <v>0</v>
      </c>
      <c r="U18" s="573">
        <f>R18</f>
        <v>8</v>
      </c>
    </row>
    <row r="19" spans="1:22" ht="15.75" thickBot="1" x14ac:dyDescent="0.3">
      <c r="N19" s="578"/>
      <c r="O19" s="579" t="s">
        <v>1012</v>
      </c>
      <c r="P19" s="580">
        <f>L12*2</f>
        <v>8</v>
      </c>
      <c r="Q19" s="581">
        <v>10</v>
      </c>
      <c r="R19" s="581">
        <f>P19</f>
        <v>8</v>
      </c>
      <c r="S19" s="581">
        <f>R19*2</f>
        <v>16</v>
      </c>
      <c r="T19" s="581">
        <v>0</v>
      </c>
      <c r="U19" s="582">
        <f>S19</f>
        <v>16</v>
      </c>
    </row>
    <row r="20" spans="1:22" x14ac:dyDescent="0.25">
      <c r="N20" s="590" t="s">
        <v>3673</v>
      </c>
      <c r="O20" s="1542" t="s">
        <v>1013</v>
      </c>
      <c r="P20" s="556">
        <v>4</v>
      </c>
      <c r="Q20" s="557">
        <v>16</v>
      </c>
      <c r="R20" s="557">
        <f>6*P20</f>
        <v>24</v>
      </c>
      <c r="S20" s="557">
        <f>R20*2</f>
        <v>48</v>
      </c>
      <c r="T20" s="557">
        <v>0</v>
      </c>
      <c r="U20" s="575">
        <f>S20</f>
        <v>48</v>
      </c>
    </row>
    <row r="21" spans="1:22" ht="15.75" thickBot="1" x14ac:dyDescent="0.3">
      <c r="N21" s="588"/>
      <c r="O21" s="1543"/>
      <c r="P21" s="558">
        <v>4</v>
      </c>
      <c r="Q21" s="559">
        <v>14</v>
      </c>
      <c r="R21" s="559">
        <f>2*P21</f>
        <v>8</v>
      </c>
      <c r="S21" s="559">
        <v>0</v>
      </c>
      <c r="T21" s="559">
        <v>0</v>
      </c>
      <c r="U21" s="573">
        <f>R21</f>
        <v>8</v>
      </c>
    </row>
    <row r="22" spans="1:22" ht="15.75" thickBot="1" x14ac:dyDescent="0.3">
      <c r="H22" s="1547" t="s">
        <v>1009</v>
      </c>
      <c r="I22" s="1548"/>
      <c r="J22" s="1548"/>
      <c r="K22" s="1548"/>
      <c r="L22" s="1548"/>
      <c r="M22" s="1548"/>
      <c r="N22" s="589"/>
      <c r="O22" s="1028" t="s">
        <v>1012</v>
      </c>
      <c r="P22" s="580">
        <f>L12*2</f>
        <v>8</v>
      </c>
      <c r="Q22" s="581">
        <v>10</v>
      </c>
      <c r="R22" s="581">
        <f>P22</f>
        <v>8</v>
      </c>
      <c r="S22" s="581">
        <f>R22*2</f>
        <v>16</v>
      </c>
      <c r="T22" s="581">
        <v>0</v>
      </c>
      <c r="U22" s="582">
        <f>S22</f>
        <v>16</v>
      </c>
    </row>
    <row r="23" spans="1:22" ht="15.75" thickBot="1" x14ac:dyDescent="0.3">
      <c r="H23" s="585">
        <v>6</v>
      </c>
      <c r="I23" s="586">
        <v>8</v>
      </c>
      <c r="J23" s="586">
        <v>10</v>
      </c>
      <c r="K23" s="586">
        <v>12</v>
      </c>
      <c r="L23" s="586">
        <v>14</v>
      </c>
      <c r="M23" s="587">
        <v>16</v>
      </c>
    </row>
    <row r="24" spans="1:22" x14ac:dyDescent="0.25">
      <c r="H24" s="572">
        <f t="shared" ref="H24:H40" si="2">IF(C2=$H$23,D2,0)</f>
        <v>0</v>
      </c>
      <c r="I24" s="563">
        <f>IF(C2=I23,D2,0)</f>
        <v>0</v>
      </c>
      <c r="J24" s="563">
        <f t="shared" ref="J24:J40" si="3">IF(C2=$J$23,D2,0)</f>
        <v>0</v>
      </c>
      <c r="K24" s="563">
        <f t="shared" ref="K24:K40" si="4">IF(C2=$K$23,D2,0)</f>
        <v>0</v>
      </c>
      <c r="L24" s="563">
        <f t="shared" ref="L24:L40" si="5">IF(C2=$L$23,D2,0)</f>
        <v>0</v>
      </c>
      <c r="M24" s="577">
        <f t="shared" ref="M24:M40" si="6">IF(C2=$M$23,D2,0)</f>
        <v>0</v>
      </c>
      <c r="O24" s="590" t="s">
        <v>1016</v>
      </c>
      <c r="P24" s="958"/>
      <c r="Q24" s="567"/>
      <c r="R24" s="567"/>
      <c r="S24" s="567"/>
      <c r="T24" s="567"/>
      <c r="U24" s="568"/>
    </row>
    <row r="25" spans="1:22" x14ac:dyDescent="0.25">
      <c r="H25" s="572">
        <f t="shared" si="2"/>
        <v>0</v>
      </c>
      <c r="I25" s="563">
        <f t="shared" ref="I25:I40" si="7">IF(C3=$I$23,D3,0)</f>
        <v>0</v>
      </c>
      <c r="J25" s="563">
        <f t="shared" si="3"/>
        <v>0</v>
      </c>
      <c r="K25" s="563">
        <f t="shared" si="4"/>
        <v>0</v>
      </c>
      <c r="L25" s="563">
        <f t="shared" si="5"/>
        <v>0</v>
      </c>
      <c r="M25" s="577">
        <f t="shared" si="6"/>
        <v>0</v>
      </c>
      <c r="O25" s="588" t="s">
        <v>999</v>
      </c>
      <c r="P25" s="563">
        <v>1</v>
      </c>
      <c r="Q25" s="563">
        <v>10</v>
      </c>
      <c r="R25" s="563">
        <v>4</v>
      </c>
      <c r="S25" s="563">
        <v>9</v>
      </c>
      <c r="T25" s="563">
        <v>0</v>
      </c>
      <c r="U25" s="577">
        <v>9</v>
      </c>
    </row>
    <row r="26" spans="1:22" x14ac:dyDescent="0.25">
      <c r="H26" s="572">
        <f t="shared" si="2"/>
        <v>0</v>
      </c>
      <c r="I26" s="563">
        <f t="shared" si="7"/>
        <v>0</v>
      </c>
      <c r="J26" s="563">
        <f t="shared" si="3"/>
        <v>0</v>
      </c>
      <c r="K26" s="563">
        <f t="shared" si="4"/>
        <v>0</v>
      </c>
      <c r="L26" s="563">
        <f t="shared" si="5"/>
        <v>0</v>
      </c>
      <c r="M26" s="577">
        <f t="shared" si="6"/>
        <v>0</v>
      </c>
      <c r="O26" s="588" t="s">
        <v>1000</v>
      </c>
      <c r="P26" s="563">
        <v>1</v>
      </c>
      <c r="Q26" s="563">
        <v>6</v>
      </c>
      <c r="R26" s="563">
        <v>3</v>
      </c>
      <c r="S26" s="563">
        <v>3</v>
      </c>
      <c r="T26" s="563">
        <v>0</v>
      </c>
      <c r="U26" s="577">
        <v>3</v>
      </c>
    </row>
    <row r="27" spans="1:22" ht="15.75" thickBot="1" x14ac:dyDescent="0.3">
      <c r="H27" s="572">
        <f t="shared" si="2"/>
        <v>0</v>
      </c>
      <c r="I27" s="563">
        <f t="shared" si="7"/>
        <v>0</v>
      </c>
      <c r="J27" s="563">
        <f t="shared" si="3"/>
        <v>0</v>
      </c>
      <c r="K27" s="563">
        <f t="shared" si="4"/>
        <v>0</v>
      </c>
      <c r="L27" s="563">
        <f t="shared" si="5"/>
        <v>0</v>
      </c>
      <c r="M27" s="577">
        <f t="shared" si="6"/>
        <v>0</v>
      </c>
      <c r="O27" s="589" t="s">
        <v>1001</v>
      </c>
      <c r="P27" s="583">
        <v>1</v>
      </c>
      <c r="Q27" s="583">
        <v>6</v>
      </c>
      <c r="R27" s="583">
        <v>0</v>
      </c>
      <c r="S27" s="583">
        <v>3</v>
      </c>
      <c r="T27" s="583">
        <v>3</v>
      </c>
      <c r="U27" s="584">
        <v>0</v>
      </c>
    </row>
    <row r="28" spans="1:22" x14ac:dyDescent="0.25">
      <c r="H28" s="572">
        <f t="shared" si="2"/>
        <v>0</v>
      </c>
      <c r="I28" s="563">
        <f t="shared" si="7"/>
        <v>0</v>
      </c>
      <c r="J28" s="563">
        <f t="shared" si="3"/>
        <v>0</v>
      </c>
      <c r="K28" s="563">
        <f t="shared" si="4"/>
        <v>0</v>
      </c>
      <c r="L28" s="563">
        <f t="shared" si="5"/>
        <v>0</v>
      </c>
      <c r="M28" s="577">
        <f t="shared" si="6"/>
        <v>0</v>
      </c>
    </row>
    <row r="29" spans="1:22" x14ac:dyDescent="0.25">
      <c r="H29" s="572">
        <f t="shared" si="2"/>
        <v>0</v>
      </c>
      <c r="I29" s="563">
        <f t="shared" si="7"/>
        <v>0</v>
      </c>
      <c r="J29" s="563">
        <f t="shared" si="3"/>
        <v>4</v>
      </c>
      <c r="K29" s="563">
        <f t="shared" si="4"/>
        <v>0</v>
      </c>
      <c r="L29" s="563">
        <f t="shared" si="5"/>
        <v>0</v>
      </c>
      <c r="M29" s="577">
        <f t="shared" si="6"/>
        <v>0</v>
      </c>
      <c r="O29" s="553">
        <f>IF(VatTu!$C$101=Sheet2!F326,Sheet2!F327,0)</f>
        <v>0</v>
      </c>
      <c r="P29" s="959">
        <f>IF(VatTu!$C$101=Sheet2!G326,Sheet2!G327,0)</f>
        <v>0</v>
      </c>
      <c r="Q29" s="553">
        <f>IF(VatTu!$C$101=Sheet2!H326,Sheet2!H327,0)</f>
        <v>0</v>
      </c>
      <c r="R29" s="553">
        <f>IF(VatTu!$C$101=Sheet2!I326,Sheet2!I327,0)</f>
        <v>0</v>
      </c>
      <c r="S29" s="553">
        <f>IF(VatTu!$C$101=Sheet2!J326,Sheet2!J327,0)</f>
        <v>0</v>
      </c>
      <c r="T29" s="553">
        <f>IF(VatTu!$C$101=Sheet2!K326,Sheet2!K327,0)</f>
        <v>0</v>
      </c>
      <c r="U29" s="553"/>
      <c r="V29" s="553">
        <f>SUM(O29:T29)</f>
        <v>0</v>
      </c>
    </row>
    <row r="30" spans="1:22" x14ac:dyDescent="0.25">
      <c r="H30" s="572">
        <f t="shared" si="2"/>
        <v>0</v>
      </c>
      <c r="I30" s="563">
        <f t="shared" si="7"/>
        <v>0</v>
      </c>
      <c r="J30" s="563">
        <f t="shared" si="3"/>
        <v>52</v>
      </c>
      <c r="K30" s="563">
        <f t="shared" si="4"/>
        <v>0</v>
      </c>
      <c r="L30" s="563">
        <f t="shared" si="5"/>
        <v>0</v>
      </c>
      <c r="M30" s="577">
        <f t="shared" si="6"/>
        <v>0</v>
      </c>
      <c r="O30" s="553">
        <f>IF(VatTu!$C$102=Sheet2!F326,Sheet2!F327,0)</f>
        <v>0.61</v>
      </c>
      <c r="P30" s="959">
        <f>IF(VatTu!$C$102=Sheet2!G326,Sheet2!G327,0)</f>
        <v>0</v>
      </c>
      <c r="Q30" s="553">
        <f>IF(VatTu!$C$102=Sheet2!H326,Sheet2!H327,0)</f>
        <v>0</v>
      </c>
      <c r="R30" s="553">
        <f>IF(VatTu!$C$102=Sheet2!I326,Sheet2!I327,0)</f>
        <v>0</v>
      </c>
      <c r="S30" s="553">
        <f>IF(VatTu!$C$102=Sheet2!J326,Sheet2!J327,0)</f>
        <v>0</v>
      </c>
      <c r="T30" s="553">
        <f>IF(VatTu!$C$102=Sheet2!K326,Sheet2!K327,0)</f>
        <v>0</v>
      </c>
      <c r="U30" s="553"/>
      <c r="V30" s="553">
        <f>SUM(O30:T30)</f>
        <v>0.61</v>
      </c>
    </row>
    <row r="31" spans="1:22" x14ac:dyDescent="0.25">
      <c r="H31" s="572">
        <f t="shared" si="2"/>
        <v>0</v>
      </c>
      <c r="I31" s="563">
        <f t="shared" si="7"/>
        <v>0</v>
      </c>
      <c r="J31" s="563">
        <f t="shared" si="3"/>
        <v>1</v>
      </c>
      <c r="K31" s="563">
        <f t="shared" si="4"/>
        <v>0</v>
      </c>
      <c r="L31" s="563">
        <f t="shared" si="5"/>
        <v>0</v>
      </c>
      <c r="M31" s="577">
        <f t="shared" si="6"/>
        <v>0</v>
      </c>
      <c r="O31" s="553">
        <f>IF(VatTu!$C$107=Sheet2!F332,Sheet2!F333,0)</f>
        <v>0</v>
      </c>
      <c r="P31" s="959">
        <f>IF(VatTu!$C$107=Sheet2!G332,Sheet2!G333,0)</f>
        <v>0</v>
      </c>
      <c r="Q31" s="553">
        <f>IF(VatTu!$C$107=Sheet2!H332,Sheet2!H333,0)</f>
        <v>0</v>
      </c>
      <c r="R31" s="553">
        <f>IF(VatTu!$C$107=Sheet2!I332,Sheet2!I333,0)</f>
        <v>0</v>
      </c>
      <c r="S31" s="553">
        <f>IF(VatTu!$C$107=Sheet2!J332,Sheet2!J333,0)</f>
        <v>0</v>
      </c>
      <c r="T31" s="553">
        <f>IF(VatTu!$C$107=Sheet2!K332,Sheet2!K333,0)</f>
        <v>0</v>
      </c>
      <c r="U31" s="553"/>
      <c r="V31" s="553">
        <f>SUM(O31:T31)</f>
        <v>0</v>
      </c>
    </row>
    <row r="32" spans="1:22" x14ac:dyDescent="0.25">
      <c r="H32" s="572">
        <f t="shared" si="2"/>
        <v>0</v>
      </c>
      <c r="I32" s="563">
        <f t="shared" si="7"/>
        <v>0</v>
      </c>
      <c r="J32" s="563">
        <f t="shared" si="3"/>
        <v>0</v>
      </c>
      <c r="K32" s="563">
        <f t="shared" si="4"/>
        <v>0</v>
      </c>
      <c r="L32" s="563">
        <f t="shared" si="5"/>
        <v>4</v>
      </c>
      <c r="M32" s="577">
        <f t="shared" si="6"/>
        <v>0</v>
      </c>
      <c r="O32" s="553">
        <f>IF(VatTu!$C$108=Sheet2!F332,Sheet2!F333,0)</f>
        <v>0</v>
      </c>
      <c r="P32" s="959">
        <f>IF(VatTu!$C$108=Sheet2!G332,Sheet2!G333,0)</f>
        <v>0</v>
      </c>
      <c r="Q32" s="553">
        <f>IF(VatTu!$C$108=Sheet2!H332,Sheet2!H333,0)</f>
        <v>0</v>
      </c>
      <c r="R32" s="553">
        <f>IF(VatTu!$C$108=Sheet2!I332,Sheet2!I333,0)</f>
        <v>0</v>
      </c>
      <c r="S32" s="553">
        <f>IF(VatTu!$C$108=Sheet2!J332,Sheet2!J333,0)</f>
        <v>0</v>
      </c>
      <c r="T32" s="553">
        <f>IF(VatTu!$C$108=Sheet2!K332,Sheet2!K333,0)</f>
        <v>0</v>
      </c>
      <c r="U32" s="553"/>
      <c r="V32" s="553">
        <f>SUM(O32:T32)</f>
        <v>0</v>
      </c>
    </row>
    <row r="33" spans="8:35" x14ac:dyDescent="0.25">
      <c r="H33" s="572">
        <f t="shared" si="2"/>
        <v>0</v>
      </c>
      <c r="I33" s="563">
        <f t="shared" si="7"/>
        <v>0</v>
      </c>
      <c r="J33" s="563">
        <f t="shared" si="3"/>
        <v>0</v>
      </c>
      <c r="K33" s="563">
        <f t="shared" si="4"/>
        <v>0</v>
      </c>
      <c r="L33" s="563">
        <f t="shared" si="5"/>
        <v>0</v>
      </c>
      <c r="M33" s="577">
        <f t="shared" si="6"/>
        <v>0</v>
      </c>
    </row>
    <row r="34" spans="8:35" x14ac:dyDescent="0.25">
      <c r="H34" s="572">
        <f t="shared" si="2"/>
        <v>0</v>
      </c>
      <c r="I34" s="563">
        <f t="shared" si="7"/>
        <v>0</v>
      </c>
      <c r="J34" s="563">
        <f t="shared" si="3"/>
        <v>0</v>
      </c>
      <c r="K34" s="563">
        <f t="shared" si="4"/>
        <v>0</v>
      </c>
      <c r="L34" s="563">
        <f t="shared" si="5"/>
        <v>0</v>
      </c>
      <c r="M34" s="577">
        <f t="shared" si="6"/>
        <v>0</v>
      </c>
      <c r="R34" s="46" t="s">
        <v>1026</v>
      </c>
      <c r="U34" s="1038"/>
      <c r="W34" s="1038"/>
      <c r="X34" s="1038"/>
      <c r="Y34" s="1038"/>
      <c r="Z34" s="1038"/>
      <c r="AA34" s="1038"/>
      <c r="AB34" s="1038"/>
      <c r="AC34" s="1038"/>
      <c r="AD34" s="1038"/>
      <c r="AE34" s="1038"/>
      <c r="AF34" s="1038"/>
      <c r="AG34" s="1038"/>
      <c r="AH34" s="1038"/>
      <c r="AI34" s="1038"/>
    </row>
    <row r="35" spans="8:35" x14ac:dyDescent="0.25">
      <c r="H35" s="572">
        <f t="shared" si="2"/>
        <v>0</v>
      </c>
      <c r="I35" s="563">
        <f t="shared" si="7"/>
        <v>0</v>
      </c>
      <c r="J35" s="563">
        <f t="shared" si="3"/>
        <v>0</v>
      </c>
      <c r="K35" s="563">
        <f t="shared" si="4"/>
        <v>0</v>
      </c>
      <c r="L35" s="563">
        <f t="shared" si="5"/>
        <v>0</v>
      </c>
      <c r="M35" s="577">
        <f t="shared" si="6"/>
        <v>0</v>
      </c>
      <c r="O35" s="597"/>
      <c r="P35" s="597" t="s">
        <v>1025</v>
      </c>
      <c r="Q35" s="597" t="s">
        <v>463</v>
      </c>
      <c r="R35" s="599">
        <v>62</v>
      </c>
      <c r="U35" s="1038"/>
      <c r="W35" s="1038"/>
      <c r="X35" s="1038"/>
      <c r="Y35" s="1038"/>
      <c r="Z35" s="1038"/>
      <c r="AA35" s="1038"/>
      <c r="AB35" s="1038"/>
      <c r="AC35" s="1038"/>
      <c r="AD35" s="1038"/>
      <c r="AE35" s="1038"/>
      <c r="AF35" s="1038"/>
      <c r="AG35" s="1038"/>
      <c r="AH35" s="1038"/>
      <c r="AI35" s="1038"/>
    </row>
    <row r="36" spans="8:35" x14ac:dyDescent="0.25">
      <c r="H36" s="572">
        <f t="shared" si="2"/>
        <v>0</v>
      </c>
      <c r="I36" s="563">
        <f t="shared" si="7"/>
        <v>0</v>
      </c>
      <c r="J36" s="563">
        <f t="shared" si="3"/>
        <v>0</v>
      </c>
      <c r="K36" s="563">
        <f t="shared" si="4"/>
        <v>0</v>
      </c>
      <c r="L36" s="563">
        <f t="shared" si="5"/>
        <v>0</v>
      </c>
      <c r="M36" s="577">
        <f t="shared" si="6"/>
        <v>0</v>
      </c>
      <c r="O36" s="597" t="s">
        <v>1024</v>
      </c>
      <c r="P36" s="597" t="str">
        <f>IF(AND(Sheet5!B20&gt;=Sheet2!B93,OR('Tinh vat tu'!R35=1011,'Tinh vat tu'!R35=62)),'Tinh vat tu'!P35,'Tinh vat tu'!Q35)</f>
        <v xml:space="preserve"> </v>
      </c>
      <c r="Q36" s="597"/>
      <c r="R36" s="597"/>
      <c r="U36" s="1038"/>
      <c r="W36" s="1038"/>
      <c r="X36" s="1038"/>
      <c r="Y36" s="1038"/>
      <c r="Z36" s="1038"/>
      <c r="AA36" s="1038"/>
      <c r="AB36" s="1038"/>
      <c r="AC36" s="1038"/>
      <c r="AD36" s="1038"/>
      <c r="AE36" s="1038"/>
      <c r="AF36" s="1038"/>
      <c r="AG36" s="1038"/>
      <c r="AH36" s="1038"/>
      <c r="AI36" s="1038"/>
    </row>
    <row r="37" spans="8:35" x14ac:dyDescent="0.25">
      <c r="H37" s="572">
        <f t="shared" si="2"/>
        <v>0</v>
      </c>
      <c r="I37" s="563">
        <f t="shared" si="7"/>
        <v>0</v>
      </c>
      <c r="J37" s="563">
        <f t="shared" si="3"/>
        <v>0</v>
      </c>
      <c r="K37" s="563">
        <f t="shared" si="4"/>
        <v>0</v>
      </c>
      <c r="L37" s="563">
        <f t="shared" si="5"/>
        <v>0</v>
      </c>
      <c r="M37" s="577">
        <f t="shared" si="6"/>
        <v>0</v>
      </c>
      <c r="U37" s="1038"/>
      <c r="W37" s="1038"/>
      <c r="X37" s="1038"/>
      <c r="Y37" s="1038"/>
      <c r="Z37" s="1038"/>
      <c r="AA37" s="1038"/>
      <c r="AB37" s="1038"/>
      <c r="AC37" s="1038"/>
      <c r="AD37" s="1038"/>
      <c r="AE37" s="1038"/>
      <c r="AF37" s="1038"/>
      <c r="AG37" s="1038"/>
      <c r="AH37" s="1038"/>
      <c r="AI37" s="1038"/>
    </row>
    <row r="38" spans="8:35" x14ac:dyDescent="0.25">
      <c r="H38" s="572">
        <f t="shared" si="2"/>
        <v>0</v>
      </c>
      <c r="I38" s="563">
        <f t="shared" si="7"/>
        <v>0</v>
      </c>
      <c r="J38" s="563">
        <f t="shared" si="3"/>
        <v>1</v>
      </c>
      <c r="K38" s="563">
        <f t="shared" si="4"/>
        <v>0</v>
      </c>
      <c r="L38" s="563">
        <f t="shared" si="5"/>
        <v>0</v>
      </c>
      <c r="M38" s="577">
        <f t="shared" si="6"/>
        <v>0</v>
      </c>
      <c r="U38" s="1038"/>
      <c r="W38" s="1038"/>
      <c r="X38" s="1038"/>
      <c r="Y38" s="1038"/>
      <c r="Z38" s="1038"/>
      <c r="AA38" s="1038"/>
      <c r="AB38" s="1038"/>
      <c r="AC38" s="1038"/>
      <c r="AD38" s="1038"/>
      <c r="AE38" s="1038"/>
      <c r="AF38" s="1038"/>
      <c r="AG38" s="1038"/>
      <c r="AH38" s="1038"/>
      <c r="AI38" s="1038"/>
    </row>
    <row r="39" spans="8:35" x14ac:dyDescent="0.25">
      <c r="H39" s="572">
        <f t="shared" si="2"/>
        <v>0</v>
      </c>
      <c r="I39" s="563">
        <f t="shared" si="7"/>
        <v>0</v>
      </c>
      <c r="J39" s="563">
        <f t="shared" si="3"/>
        <v>0</v>
      </c>
      <c r="K39" s="563">
        <f t="shared" si="4"/>
        <v>0</v>
      </c>
      <c r="L39" s="563">
        <f t="shared" si="5"/>
        <v>0</v>
      </c>
      <c r="M39" s="577">
        <f t="shared" si="6"/>
        <v>0</v>
      </c>
      <c r="U39" s="1038"/>
      <c r="W39" s="1038"/>
      <c r="X39" s="1038"/>
      <c r="Y39" s="1038"/>
      <c r="Z39" s="1038"/>
      <c r="AA39" s="1038"/>
      <c r="AB39" s="1038"/>
      <c r="AC39" s="1038"/>
      <c r="AD39" s="1038"/>
      <c r="AE39" s="1038"/>
      <c r="AF39" s="1038"/>
      <c r="AG39" s="1038"/>
      <c r="AH39" s="1038"/>
      <c r="AI39" s="1038"/>
    </row>
    <row r="40" spans="8:35" ht="15.75" thickBot="1" x14ac:dyDescent="0.3">
      <c r="H40" s="572">
        <f t="shared" si="2"/>
        <v>0</v>
      </c>
      <c r="I40" s="563">
        <f t="shared" si="7"/>
        <v>0</v>
      </c>
      <c r="J40" s="563">
        <f t="shared" si="3"/>
        <v>0</v>
      </c>
      <c r="K40" s="563">
        <f t="shared" si="4"/>
        <v>0</v>
      </c>
      <c r="L40" s="563">
        <f t="shared" si="5"/>
        <v>0</v>
      </c>
      <c r="M40" s="577">
        <f t="shared" si="6"/>
        <v>0</v>
      </c>
      <c r="O40" s="612" t="s">
        <v>986</v>
      </c>
      <c r="U40" s="1038"/>
      <c r="W40" s="1038"/>
      <c r="X40" s="1038"/>
      <c r="Y40" s="1038"/>
      <c r="Z40" s="1038"/>
      <c r="AA40" s="1038"/>
      <c r="AB40" s="1038"/>
      <c r="AC40" s="1038"/>
      <c r="AD40" s="1038"/>
      <c r="AE40" s="1038"/>
      <c r="AF40" s="1038"/>
      <c r="AG40" s="1038"/>
      <c r="AH40" s="1038"/>
      <c r="AI40" s="1038"/>
    </row>
    <row r="41" spans="8:35" ht="15.75" thickBot="1" x14ac:dyDescent="0.3">
      <c r="H41" s="585">
        <f t="shared" ref="H41:M41" si="8">SUM(H24:H40)</f>
        <v>0</v>
      </c>
      <c r="I41" s="586">
        <f t="shared" si="8"/>
        <v>0</v>
      </c>
      <c r="J41" s="586">
        <f t="shared" si="8"/>
        <v>58</v>
      </c>
      <c r="K41" s="586">
        <f t="shared" si="8"/>
        <v>0</v>
      </c>
      <c r="L41" s="586">
        <f t="shared" si="8"/>
        <v>4</v>
      </c>
      <c r="M41" s="587">
        <f t="shared" si="8"/>
        <v>0</v>
      </c>
      <c r="O41" s="611" t="s">
        <v>1045</v>
      </c>
      <c r="P41" s="613">
        <f>Sheet5!B28*2+Sheet5!B22</f>
        <v>916</v>
      </c>
      <c r="Q41" s="613"/>
      <c r="R41" s="613"/>
      <c r="S41" s="613"/>
      <c r="U41" s="1038"/>
      <c r="W41" s="1038"/>
      <c r="X41" s="1038"/>
      <c r="Y41" s="1038"/>
      <c r="Z41" s="1038"/>
      <c r="AA41" s="1038"/>
      <c r="AB41" s="1038"/>
      <c r="AC41" s="1038"/>
      <c r="AD41" s="1038"/>
      <c r="AE41" s="1038"/>
      <c r="AF41" s="1038"/>
      <c r="AG41" s="1038"/>
      <c r="AH41" s="1038"/>
      <c r="AI41" s="1038"/>
    </row>
    <row r="42" spans="8:35" ht="15.75" thickBot="1" x14ac:dyDescent="0.3">
      <c r="O42" s="611" t="str">
        <f>"-Khối lượng : "&amp;P42&amp;" kg/1 cái"</f>
        <v>-Khối lượng : 0.7 kg/1 cái</v>
      </c>
      <c r="P42" s="613">
        <f>ROUND(P41*'Sua R'!B10*'Sua R'!C10*8.92*10^-6,1)</f>
        <v>0.7</v>
      </c>
      <c r="Q42" s="613"/>
      <c r="R42" s="613"/>
      <c r="S42" s="613"/>
      <c r="U42" s="1038"/>
      <c r="W42" s="1038"/>
      <c r="X42" s="1038"/>
      <c r="Y42" s="1038"/>
      <c r="Z42" s="1038"/>
      <c r="AA42" s="1038"/>
      <c r="AB42" s="1038"/>
      <c r="AC42" s="1038"/>
      <c r="AD42" s="1038"/>
      <c r="AE42" s="1038"/>
      <c r="AF42" s="1038"/>
      <c r="AG42" s="1038"/>
      <c r="AH42" s="1038"/>
      <c r="AI42" s="1038"/>
    </row>
    <row r="43" spans="8:35" ht="15.75" thickBot="1" x14ac:dyDescent="0.3">
      <c r="H43" s="1547" t="s">
        <v>992</v>
      </c>
      <c r="I43" s="1548"/>
      <c r="J43" s="1548"/>
      <c r="K43" s="1548"/>
      <c r="L43" s="1548"/>
      <c r="M43" s="1549"/>
      <c r="P43" s="613"/>
      <c r="Q43" s="613"/>
      <c r="R43" s="613"/>
      <c r="S43" s="613"/>
      <c r="U43" s="1038"/>
      <c r="W43" s="1038"/>
      <c r="X43" s="1038"/>
      <c r="Y43" s="1038"/>
      <c r="Z43" s="1038"/>
      <c r="AA43" s="1038"/>
      <c r="AB43" s="1038"/>
      <c r="AC43" s="1038"/>
      <c r="AD43" s="1038"/>
      <c r="AE43" s="1038"/>
      <c r="AF43" s="1038"/>
      <c r="AG43" s="1038"/>
      <c r="AH43" s="1038"/>
      <c r="AI43" s="1038"/>
    </row>
    <row r="44" spans="8:35" ht="15.75" thickBot="1" x14ac:dyDescent="0.3">
      <c r="H44" s="578">
        <f t="shared" ref="H44:M44" si="9">H23</f>
        <v>6</v>
      </c>
      <c r="I44" s="583">
        <f t="shared" si="9"/>
        <v>8</v>
      </c>
      <c r="J44" s="583">
        <f t="shared" si="9"/>
        <v>10</v>
      </c>
      <c r="K44" s="583">
        <f t="shared" si="9"/>
        <v>12</v>
      </c>
      <c r="L44" s="583">
        <f t="shared" si="9"/>
        <v>14</v>
      </c>
      <c r="M44" s="584">
        <f t="shared" si="9"/>
        <v>16</v>
      </c>
      <c r="O44" s="611" t="s">
        <v>1043</v>
      </c>
      <c r="P44" s="625">
        <f>Sheet2!B86+10-Sheet2!B87</f>
        <v>321</v>
      </c>
      <c r="Q44" s="613"/>
      <c r="R44" s="626" t="s">
        <v>1044</v>
      </c>
      <c r="S44" s="625">
        <f>Sheet2!B86+5-Sheet2!B87</f>
        <v>316</v>
      </c>
      <c r="U44" s="1038"/>
      <c r="W44" s="1038"/>
      <c r="X44" s="1038"/>
      <c r="Y44" s="1038"/>
      <c r="Z44" s="1038"/>
      <c r="AA44" s="1038"/>
      <c r="AB44" s="1038"/>
      <c r="AC44" s="1038"/>
      <c r="AD44" s="1038"/>
      <c r="AE44" s="1038"/>
      <c r="AF44" s="1038"/>
      <c r="AG44" s="1038"/>
      <c r="AH44" s="1038"/>
      <c r="AI44" s="1038"/>
    </row>
    <row r="45" spans="8:35" x14ac:dyDescent="0.25">
      <c r="H45" s="572">
        <f>IF($C$2=H44,$E$2,0)</f>
        <v>0</v>
      </c>
      <c r="I45" s="572">
        <f>IF(C2=$I$44,E2,0)</f>
        <v>0</v>
      </c>
      <c r="J45" s="572">
        <f>IF(C2=$J$44,E2,0)</f>
        <v>0</v>
      </c>
      <c r="K45" s="572">
        <f>IF(C2=$K$44,E2,0)</f>
        <v>2</v>
      </c>
      <c r="L45" s="572">
        <f>IF(C2=$L$44,E2,0)</f>
        <v>0</v>
      </c>
      <c r="M45" s="588">
        <f>IF(C2=$M$44,E2,0)</f>
        <v>0</v>
      </c>
      <c r="O45" s="611" t="s">
        <v>1042</v>
      </c>
      <c r="P45" s="613">
        <f>ROUND((Sheet2!N144-Sheet2!N143)*((Sheet2!N148-10)^2+10^2)^0.5/10,0)</f>
        <v>55</v>
      </c>
      <c r="Q45" s="613"/>
      <c r="R45" s="626" t="s">
        <v>1042</v>
      </c>
      <c r="S45" s="46">
        <f>IF(Sheet2!L10=1,'Tinh vat tu'!T46,IF(Sheet2!L10=2,T45,"sai"))</f>
        <v>69</v>
      </c>
      <c r="T45" s="625">
        <f>ROUND((T53^2+T54^2)^0.5,0)</f>
        <v>29</v>
      </c>
      <c r="U45" s="1038"/>
      <c r="W45" s="1038"/>
      <c r="X45" s="1038"/>
      <c r="Y45" s="1038"/>
      <c r="Z45" s="1038"/>
      <c r="AA45" s="1038"/>
      <c r="AB45" s="1038"/>
      <c r="AC45" s="1038"/>
      <c r="AD45" s="1038"/>
      <c r="AE45" s="1038"/>
      <c r="AF45" s="1038"/>
      <c r="AG45" s="1038"/>
      <c r="AH45" s="1038"/>
      <c r="AI45" s="1038"/>
    </row>
    <row r="46" spans="8:35" x14ac:dyDescent="0.25">
      <c r="H46" s="572">
        <f>IF(C3=$H$44,E3,0)</f>
        <v>0</v>
      </c>
      <c r="I46" s="572">
        <f>IF(C3=$I$44,E3,0)</f>
        <v>0</v>
      </c>
      <c r="J46" s="572">
        <f t="shared" ref="J46:J61" si="10">IF(C3=$J$44,E3,0)</f>
        <v>0</v>
      </c>
      <c r="K46" s="572">
        <f t="shared" ref="K46:K61" si="11">IF(C3=$K$44,E3,0)</f>
        <v>0</v>
      </c>
      <c r="L46" s="572">
        <f t="shared" ref="L46:L61" si="12">IF(C3=$L$44,E3,0)</f>
        <v>0</v>
      </c>
      <c r="M46" s="588">
        <f t="shared" ref="M46:M61" si="13">IF(C3=$M$44,E3,0)</f>
        <v>0</v>
      </c>
      <c r="O46" s="611" t="str">
        <f>"Cắt dài : "&amp;P47&amp;" mm"</f>
        <v>Cắt dài : 412 mm</v>
      </c>
      <c r="P46" s="613">
        <f>ROUND(Sheet2!M149+Sheet5!B23/'Tinh vat tu'!P56,0)</f>
        <v>36</v>
      </c>
      <c r="Q46" s="613"/>
      <c r="R46" s="626" t="str">
        <f>"Cắt dài : "&amp;S47&amp;" mm"</f>
        <v>Cắt dài : 430 mm</v>
      </c>
      <c r="S46" s="625">
        <f>Sheet5!B22+15</f>
        <v>45</v>
      </c>
      <c r="T46" s="625">
        <f>ROUND((S53^2+S54^2)^0.5,0)</f>
        <v>69</v>
      </c>
      <c r="U46" s="1038"/>
      <c r="W46" s="1038"/>
      <c r="X46" s="1038"/>
      <c r="Y46" s="1038"/>
      <c r="Z46" s="1038"/>
      <c r="AA46" s="1038"/>
      <c r="AB46" s="1038"/>
      <c r="AC46" s="1038"/>
      <c r="AD46" s="1038"/>
      <c r="AE46" s="1038"/>
      <c r="AF46" s="1038"/>
      <c r="AG46" s="1038"/>
      <c r="AH46" s="1038"/>
      <c r="AI46" s="1038"/>
    </row>
    <row r="47" spans="8:35" x14ac:dyDescent="0.25">
      <c r="H47" s="572">
        <f t="shared" ref="H47:H59" si="14">IF(C4=$H$44,E4,0)</f>
        <v>0</v>
      </c>
      <c r="I47" s="572">
        <f t="shared" ref="I47:I60" si="15">IF(C4=$I$44,E4,0)</f>
        <v>0</v>
      </c>
      <c r="J47" s="572">
        <f t="shared" si="10"/>
        <v>0</v>
      </c>
      <c r="K47" s="572">
        <f t="shared" si="11"/>
        <v>0</v>
      </c>
      <c r="L47" s="572">
        <f t="shared" si="12"/>
        <v>0</v>
      </c>
      <c r="M47" s="588">
        <f t="shared" si="13"/>
        <v>0</v>
      </c>
      <c r="O47" s="611" t="str">
        <f>"Khối lượng : "&amp;P48&amp;" kg/1 cái"</f>
        <v>Khối lượng : 0.3 kg/1 cái</v>
      </c>
      <c r="P47" s="613">
        <f>ROUND(SUM(P44:P46),0)</f>
        <v>412</v>
      </c>
      <c r="R47" s="611" t="str">
        <f>"Khối lượng : "&amp;S48&amp;" kg/1 cái"</f>
        <v>Khối lượng : 0.3 kg/1 cái</v>
      </c>
      <c r="S47" s="624">
        <f>ROUND(SUM(S44:S46),0)</f>
        <v>430</v>
      </c>
      <c r="U47" s="1038"/>
      <c r="W47" s="1038"/>
      <c r="X47" s="1038"/>
      <c r="Y47" s="1038"/>
      <c r="Z47" s="1038"/>
      <c r="AA47" s="1038"/>
      <c r="AB47" s="1038"/>
      <c r="AC47" s="1038"/>
      <c r="AD47" s="1038"/>
      <c r="AE47" s="1038"/>
      <c r="AF47" s="1038"/>
      <c r="AG47" s="1038"/>
      <c r="AH47" s="1038"/>
      <c r="AI47" s="1038"/>
    </row>
    <row r="48" spans="8:35" x14ac:dyDescent="0.25">
      <c r="H48" s="572">
        <f t="shared" si="14"/>
        <v>0</v>
      </c>
      <c r="I48" s="572">
        <f t="shared" si="15"/>
        <v>0</v>
      </c>
      <c r="J48" s="572">
        <f t="shared" si="10"/>
        <v>0</v>
      </c>
      <c r="K48" s="572">
        <f t="shared" si="11"/>
        <v>0</v>
      </c>
      <c r="L48" s="572">
        <f t="shared" si="12"/>
        <v>0</v>
      </c>
      <c r="M48" s="588">
        <f t="shared" si="13"/>
        <v>0</v>
      </c>
      <c r="O48" s="611" t="str">
        <f>"Vật liêu DQ: "&amp;Sheet2!I259</f>
        <v>Vật liêu DQ: Cu1Ø</v>
      </c>
      <c r="P48" s="957">
        <f>ROUND(P47*Sheet5!B22*Sheet5!B23*8.92*10^-6,1)</f>
        <v>0.3</v>
      </c>
      <c r="Q48" s="611"/>
      <c r="R48" s="611" t="str">
        <f>O48</f>
        <v>Vật liêu DQ: Cu1Ø</v>
      </c>
      <c r="S48" s="1216">
        <f>ROUND(S47*Sheet5!B22*Sheet5!B23*8.92*10^-6,1)</f>
        <v>0.3</v>
      </c>
      <c r="U48" s="1038"/>
      <c r="W48" s="1038"/>
      <c r="X48" s="1038"/>
      <c r="Y48" s="1038"/>
      <c r="Z48" s="1038"/>
      <c r="AA48" s="1038"/>
      <c r="AB48" s="1038"/>
      <c r="AC48" s="1038"/>
      <c r="AD48" s="1038"/>
      <c r="AE48" s="1038"/>
      <c r="AF48" s="1038"/>
      <c r="AG48" s="1038"/>
      <c r="AH48" s="1038"/>
      <c r="AI48" s="1038"/>
    </row>
    <row r="49" spans="7:37" x14ac:dyDescent="0.25">
      <c r="H49" s="572">
        <f>IF(C6=$H$44,E6,0)</f>
        <v>0</v>
      </c>
      <c r="I49" s="572">
        <f t="shared" si="15"/>
        <v>0</v>
      </c>
      <c r="J49" s="572">
        <f t="shared" si="10"/>
        <v>0</v>
      </c>
      <c r="K49" s="572">
        <f t="shared" si="11"/>
        <v>0</v>
      </c>
      <c r="L49" s="572">
        <f t="shared" si="12"/>
        <v>0</v>
      </c>
      <c r="M49" s="588">
        <f t="shared" si="13"/>
        <v>0</v>
      </c>
      <c r="O49" s="611" t="str">
        <f>IF(Sheet5!I15=20,"Không hàn nối thanh đồng","  ")</f>
        <v xml:space="preserve">  </v>
      </c>
      <c r="Q49" s="611"/>
      <c r="R49" s="611" t="str">
        <f>IF(Sheet5!I15=20,"Không hàn nối thanh đồng","  ")</f>
        <v xml:space="preserve">  </v>
      </c>
    </row>
    <row r="50" spans="7:37" x14ac:dyDescent="0.25">
      <c r="H50" s="572">
        <f t="shared" si="14"/>
        <v>0</v>
      </c>
      <c r="I50" s="572">
        <f t="shared" si="15"/>
        <v>0</v>
      </c>
      <c r="J50" s="572">
        <f t="shared" si="10"/>
        <v>8</v>
      </c>
      <c r="K50" s="572">
        <f t="shared" si="11"/>
        <v>0</v>
      </c>
      <c r="L50" s="572">
        <f t="shared" si="12"/>
        <v>0</v>
      </c>
      <c r="M50" s="588">
        <f t="shared" si="13"/>
        <v>0</v>
      </c>
    </row>
    <row r="51" spans="7:37" x14ac:dyDescent="0.25">
      <c r="H51" s="572">
        <f t="shared" si="14"/>
        <v>0</v>
      </c>
      <c r="I51" s="572">
        <f t="shared" si="15"/>
        <v>0</v>
      </c>
      <c r="J51" s="572">
        <f t="shared" si="10"/>
        <v>52</v>
      </c>
      <c r="K51" s="572">
        <f t="shared" si="11"/>
        <v>0</v>
      </c>
      <c r="L51" s="572">
        <f t="shared" si="12"/>
        <v>0</v>
      </c>
      <c r="M51" s="588">
        <f t="shared" si="13"/>
        <v>0</v>
      </c>
    </row>
    <row r="52" spans="7:37" x14ac:dyDescent="0.25">
      <c r="H52" s="572">
        <f t="shared" si="14"/>
        <v>0</v>
      </c>
      <c r="I52" s="572">
        <f t="shared" si="15"/>
        <v>0</v>
      </c>
      <c r="J52" s="572">
        <f t="shared" si="10"/>
        <v>1</v>
      </c>
      <c r="K52" s="572">
        <f t="shared" si="11"/>
        <v>0</v>
      </c>
      <c r="L52" s="572">
        <f t="shared" si="12"/>
        <v>0</v>
      </c>
      <c r="M52" s="588">
        <f t="shared" si="13"/>
        <v>0</v>
      </c>
      <c r="P52" s="957">
        <f>(Sheet2!N144-Sheet2!N143)*((Sheet2!N148-10)^2+10^2)^0.5/10</f>
        <v>55.238866525662864</v>
      </c>
      <c r="S52" s="46" t="s">
        <v>3857</v>
      </c>
      <c r="T52" s="46" t="s">
        <v>4022</v>
      </c>
    </row>
    <row r="53" spans="7:37" x14ac:dyDescent="0.25">
      <c r="H53" s="572">
        <f t="shared" si="14"/>
        <v>0</v>
      </c>
      <c r="I53" s="572">
        <f t="shared" si="15"/>
        <v>0</v>
      </c>
      <c r="J53" s="572">
        <f t="shared" si="10"/>
        <v>0</v>
      </c>
      <c r="K53" s="572">
        <f t="shared" si="11"/>
        <v>0</v>
      </c>
      <c r="L53" s="572">
        <f t="shared" si="12"/>
        <v>8</v>
      </c>
      <c r="M53" s="588">
        <f t="shared" si="13"/>
        <v>0</v>
      </c>
      <c r="O53" s="46" t="s">
        <v>1051</v>
      </c>
      <c r="P53" s="957">
        <f>(Sheet2!N144-Sheet2!N143)/P52</f>
        <v>0.37139067635410378</v>
      </c>
      <c r="R53" s="611" t="s">
        <v>1065</v>
      </c>
      <c r="S53" s="624">
        <f>Sheet2!F93+1+Sheet2!G66+Sheet2!P148-Sheet2!F93-2</f>
        <v>35</v>
      </c>
      <c r="T53" s="46">
        <f>Sheet2!P148-2</f>
        <v>28</v>
      </c>
    </row>
    <row r="54" spans="7:37" ht="15" customHeight="1" x14ac:dyDescent="0.25">
      <c r="H54" s="572">
        <f t="shared" si="14"/>
        <v>0</v>
      </c>
      <c r="I54" s="572">
        <f t="shared" si="15"/>
        <v>0</v>
      </c>
      <c r="J54" s="572">
        <f t="shared" si="10"/>
        <v>0</v>
      </c>
      <c r="K54" s="572">
        <f t="shared" si="11"/>
        <v>0</v>
      </c>
      <c r="L54" s="572">
        <f t="shared" si="12"/>
        <v>0</v>
      </c>
      <c r="M54" s="588">
        <f t="shared" si="13"/>
        <v>0</v>
      </c>
      <c r="O54" s="46" t="s">
        <v>1052</v>
      </c>
      <c r="P54" s="957">
        <f>DEGREES(ASIN(P53))</f>
        <v>21.801409486351815</v>
      </c>
      <c r="R54" s="1546" t="s">
        <v>1066</v>
      </c>
      <c r="S54" s="46">
        <f>Sheet6!M26-15+10+Sheet2!G66-(Sheet5!D51-Sheet2!P168+Sheet2!G66-25)-(Sheet5!E14+5)-((Sheet5!C28-Sheet5!E14)/2+Sheet5!D51)</f>
        <v>60</v>
      </c>
      <c r="T54" s="624">
        <f>Sheet2!R144</f>
        <v>6.2879999999999825</v>
      </c>
    </row>
    <row r="55" spans="7:37" x14ac:dyDescent="0.25">
      <c r="H55" s="572">
        <f t="shared" si="14"/>
        <v>0</v>
      </c>
      <c r="I55" s="572">
        <f t="shared" si="15"/>
        <v>0</v>
      </c>
      <c r="J55" s="572">
        <f t="shared" si="10"/>
        <v>0</v>
      </c>
      <c r="K55" s="572">
        <f t="shared" si="11"/>
        <v>0</v>
      </c>
      <c r="L55" s="572">
        <f t="shared" si="12"/>
        <v>0</v>
      </c>
      <c r="M55" s="588">
        <f t="shared" si="13"/>
        <v>0</v>
      </c>
      <c r="O55" s="46" t="s">
        <v>1053</v>
      </c>
      <c r="P55" s="957">
        <f>90-P54/2</f>
        <v>79.099295256824092</v>
      </c>
      <c r="R55" s="1546"/>
    </row>
    <row r="56" spans="7:37" ht="15.75" thickBot="1" x14ac:dyDescent="0.3">
      <c r="H56" s="572">
        <f t="shared" si="14"/>
        <v>0</v>
      </c>
      <c r="I56" s="572">
        <f t="shared" si="15"/>
        <v>0</v>
      </c>
      <c r="J56" s="572">
        <f t="shared" si="10"/>
        <v>0</v>
      </c>
      <c r="K56" s="572">
        <f t="shared" si="11"/>
        <v>0</v>
      </c>
      <c r="L56" s="572">
        <f t="shared" si="12"/>
        <v>0</v>
      </c>
      <c r="M56" s="588">
        <f t="shared" si="13"/>
        <v>0</v>
      </c>
      <c r="O56" s="46" t="s">
        <v>1054</v>
      </c>
      <c r="P56" s="957">
        <f>TAN(P55*PI()/180)</f>
        <v>5.1925824035672496</v>
      </c>
      <c r="R56" s="1546"/>
      <c r="V56" s="555" t="s">
        <v>3610</v>
      </c>
    </row>
    <row r="57" spans="7:37" x14ac:dyDescent="0.25">
      <c r="H57" s="572">
        <f t="shared" si="14"/>
        <v>0</v>
      </c>
      <c r="I57" s="572">
        <f t="shared" si="15"/>
        <v>0</v>
      </c>
      <c r="J57" s="572">
        <f t="shared" si="10"/>
        <v>0</v>
      </c>
      <c r="K57" s="572">
        <f t="shared" si="11"/>
        <v>16</v>
      </c>
      <c r="L57" s="572">
        <f t="shared" si="12"/>
        <v>0</v>
      </c>
      <c r="M57" s="588">
        <f t="shared" si="13"/>
        <v>0</v>
      </c>
      <c r="V57" s="922">
        <v>120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19"/>
      <c r="AK57" s="920" t="s">
        <v>308</v>
      </c>
    </row>
    <row r="58" spans="7:37" x14ac:dyDescent="0.25">
      <c r="H58" s="572">
        <f t="shared" si="14"/>
        <v>0</v>
      </c>
      <c r="I58" s="572">
        <f t="shared" si="15"/>
        <v>0</v>
      </c>
      <c r="J58" s="572">
        <f t="shared" si="10"/>
        <v>0</v>
      </c>
      <c r="K58" s="572">
        <f t="shared" si="11"/>
        <v>48</v>
      </c>
      <c r="L58" s="572">
        <f t="shared" si="12"/>
        <v>0</v>
      </c>
      <c r="M58" s="588">
        <f t="shared" si="13"/>
        <v>0</v>
      </c>
      <c r="P58" s="957" t="s">
        <v>3604</v>
      </c>
      <c r="V58" s="923"/>
      <c r="W58" s="563" t="s">
        <v>3611</v>
      </c>
      <c r="X58" s="563">
        <f>DCHT!D13</f>
        <v>120</v>
      </c>
      <c r="Y58" s="563">
        <f>DCHT!E13</f>
        <v>120</v>
      </c>
      <c r="Z58" s="563">
        <f>DCHT!F13</f>
        <v>120</v>
      </c>
      <c r="AA58" s="563">
        <f>DCHT!G13</f>
        <v>120</v>
      </c>
      <c r="AB58" s="563">
        <f>DCHT!H13</f>
        <v>0</v>
      </c>
      <c r="AC58" s="563">
        <f>DCHT!I13</f>
        <v>0</v>
      </c>
      <c r="AD58" s="563">
        <f>DCHT!J13</f>
        <v>0</v>
      </c>
      <c r="AE58" s="563">
        <f>DCHT!K13</f>
        <v>0</v>
      </c>
      <c r="AF58" s="563">
        <f>DCHT!L13</f>
        <v>0</v>
      </c>
      <c r="AG58" s="563">
        <f>DCHT!M13</f>
        <v>0</v>
      </c>
      <c r="AH58" s="563">
        <f>DCHT!N13</f>
        <v>0</v>
      </c>
      <c r="AI58" s="563">
        <f>DCHT!O13</f>
        <v>0</v>
      </c>
      <c r="AJ58" s="563"/>
      <c r="AK58" s="577"/>
    </row>
    <row r="59" spans="7:37" x14ac:dyDescent="0.25">
      <c r="H59" s="572">
        <f t="shared" si="14"/>
        <v>0</v>
      </c>
      <c r="I59" s="572">
        <f t="shared" si="15"/>
        <v>0</v>
      </c>
      <c r="J59" s="572">
        <f t="shared" si="10"/>
        <v>0</v>
      </c>
      <c r="K59" s="572">
        <f t="shared" si="11"/>
        <v>0</v>
      </c>
      <c r="L59" s="572">
        <f t="shared" si="12"/>
        <v>0</v>
      </c>
      <c r="M59" s="588">
        <f t="shared" si="13"/>
        <v>0</v>
      </c>
      <c r="P59" s="957" t="s">
        <v>976</v>
      </c>
      <c r="S59" s="46" t="s">
        <v>986</v>
      </c>
      <c r="V59" s="923"/>
      <c r="W59" s="563"/>
      <c r="X59" s="563">
        <f>IF(X58=$V$57,DCHT!D14,0)</f>
        <v>0.406752</v>
      </c>
      <c r="Y59" s="563">
        <f>IF(Y58=$V$57,DCHT!E14,0)</f>
        <v>0.46027199999999996</v>
      </c>
      <c r="Z59" s="563">
        <f>IF(Z58=$V$57,DCHT!F14,0)</f>
        <v>0.51379200000000003</v>
      </c>
      <c r="AA59" s="563">
        <f>IF(AA58=$V$57,DCHT!G14,0)</f>
        <v>0.56731199999999993</v>
      </c>
      <c r="AB59" s="563">
        <f>IF(AB58=$V$57,DCHT!H14,0)</f>
        <v>0</v>
      </c>
      <c r="AC59" s="563">
        <f>IF(AC58=$V$57,DCHT!I14,0)</f>
        <v>0</v>
      </c>
      <c r="AD59" s="563">
        <f>IF(AD58=$V$57,DCHT!J14,0)</f>
        <v>0</v>
      </c>
      <c r="AE59" s="563">
        <f>IF(AE58=$V$57,DCHT!K14,0)</f>
        <v>0</v>
      </c>
      <c r="AF59" s="563">
        <f>IF(AF58=$V$57,DCHT!L14,0)</f>
        <v>0</v>
      </c>
      <c r="AG59" s="563">
        <f>IF(AG58=$V$57,DCHT!M14,0)</f>
        <v>0</v>
      </c>
      <c r="AH59" s="563">
        <f>IF(AH58=$V$57,DCHT!N14,0)</f>
        <v>0</v>
      </c>
      <c r="AI59" s="563">
        <f>IF(AI58=$V$57,DCHT!O14,0)</f>
        <v>0</v>
      </c>
      <c r="AJ59" s="563"/>
      <c r="AK59" s="577">
        <f>SUM(X59:AI59)</f>
        <v>1.9481280000000001</v>
      </c>
    </row>
    <row r="60" spans="7:37" x14ac:dyDescent="0.25">
      <c r="H60" s="572">
        <f>IF(C17=$H$44,E17,0)</f>
        <v>0</v>
      </c>
      <c r="I60" s="572">
        <f t="shared" si="15"/>
        <v>0</v>
      </c>
      <c r="J60" s="572">
        <f t="shared" si="10"/>
        <v>0</v>
      </c>
      <c r="K60" s="572">
        <f t="shared" si="11"/>
        <v>4</v>
      </c>
      <c r="L60" s="572">
        <f t="shared" si="12"/>
        <v>0</v>
      </c>
      <c r="M60" s="588">
        <f t="shared" si="13"/>
        <v>0</v>
      </c>
      <c r="O60" s="46">
        <v>120</v>
      </c>
      <c r="P60" s="957">
        <f>COUNTIF(DCHT!$D$13:$O$13,O60)</f>
        <v>4</v>
      </c>
      <c r="Q60" s="910">
        <v>120</v>
      </c>
      <c r="R60" s="910">
        <v>120</v>
      </c>
      <c r="S60" s="46">
        <f>COUNTIF(DCHT!$D$32:$O$32,'Tinh vat tu'!R60)</f>
        <v>2</v>
      </c>
      <c r="T60" s="910">
        <v>120</v>
      </c>
      <c r="V60" s="923"/>
      <c r="W60" s="563" t="s">
        <v>3612</v>
      </c>
      <c r="X60" s="563">
        <f>DCHT!D19</f>
        <v>95</v>
      </c>
      <c r="Y60" s="563">
        <f>DCHT!E19</f>
        <v>70</v>
      </c>
      <c r="Z60" s="563">
        <f>DCHT!F19</f>
        <v>70</v>
      </c>
      <c r="AA60" s="563">
        <f>DCHT!G19</f>
        <v>70</v>
      </c>
      <c r="AB60" s="563">
        <f>DCHT!H19</f>
        <v>0</v>
      </c>
      <c r="AC60" s="563">
        <f>DCHT!I19</f>
        <v>0</v>
      </c>
      <c r="AD60" s="563">
        <f>DCHT!J19</f>
        <v>0</v>
      </c>
      <c r="AE60" s="563">
        <f>DCHT!K19</f>
        <v>0</v>
      </c>
      <c r="AF60" s="563">
        <f>DCHT!L19</f>
        <v>0</v>
      </c>
      <c r="AG60" s="563">
        <f>DCHT!M19</f>
        <v>0</v>
      </c>
      <c r="AH60" s="563">
        <f>DCHT!N19</f>
        <v>0</v>
      </c>
      <c r="AI60" s="563">
        <f>DCHT!O19</f>
        <v>0</v>
      </c>
      <c r="AJ60" s="563"/>
      <c r="AK60" s="577"/>
    </row>
    <row r="61" spans="7:37" ht="15.75" thickBot="1" x14ac:dyDescent="0.3">
      <c r="H61" s="578">
        <f>IF(C18=$H$44,E18,0)</f>
        <v>0</v>
      </c>
      <c r="I61" s="578">
        <f>IF(C18=$I$44,E18,0)</f>
        <v>0</v>
      </c>
      <c r="J61" s="578">
        <f t="shared" si="10"/>
        <v>0</v>
      </c>
      <c r="K61" s="578">
        <f t="shared" si="11"/>
        <v>0</v>
      </c>
      <c r="L61" s="578">
        <f t="shared" si="12"/>
        <v>0</v>
      </c>
      <c r="M61" s="589">
        <f t="shared" si="13"/>
        <v>0</v>
      </c>
      <c r="O61" s="46">
        <v>95</v>
      </c>
      <c r="P61" s="957">
        <f>COUNTIF(DCHT!$D$13:$O$13,O61)</f>
        <v>0</v>
      </c>
      <c r="Q61" s="910">
        <v>95</v>
      </c>
      <c r="R61" s="910">
        <v>95</v>
      </c>
      <c r="S61" s="910">
        <f>COUNTIF(DCHT!$D$32:$O$32,'Tinh vat tu'!R61)</f>
        <v>2</v>
      </c>
      <c r="T61" s="910">
        <v>95</v>
      </c>
      <c r="V61" s="923"/>
      <c r="W61" s="563"/>
      <c r="X61" s="563">
        <f>IF(X60=$V$57,DCHT!D20,0)</f>
        <v>0</v>
      </c>
      <c r="Y61" s="563">
        <f>IF(Y60=$V$57,DCHT!E20,0)</f>
        <v>0</v>
      </c>
      <c r="Z61" s="563">
        <f>IF(Z60=$V$57,DCHT!F20,0)</f>
        <v>0</v>
      </c>
      <c r="AA61" s="563">
        <f>IF(AA60=$V$57,DCHT!G20,0)</f>
        <v>0</v>
      </c>
      <c r="AB61" s="563">
        <f>IF(AB60=$V$57,DCHT!H20,0)</f>
        <v>0</v>
      </c>
      <c r="AC61" s="563">
        <f>IF(AC60=$V$57,DCHT!I20,0)</f>
        <v>0</v>
      </c>
      <c r="AD61" s="563">
        <f>IF(AD60=$V$57,DCHT!J20,0)</f>
        <v>0</v>
      </c>
      <c r="AE61" s="563">
        <f>IF(AE60=$V$57,DCHT!K20,0)</f>
        <v>0</v>
      </c>
      <c r="AF61" s="563">
        <f>IF(AF60=$V$57,DCHT!L20,0)</f>
        <v>0</v>
      </c>
      <c r="AG61" s="563">
        <f>IF(AG60=$V$57,DCHT!M20,0)</f>
        <v>0</v>
      </c>
      <c r="AH61" s="563">
        <f>IF(AH60=$V$57,DCHT!N20,0)</f>
        <v>0</v>
      </c>
      <c r="AI61" s="563">
        <f>IF(AI60=$V$57,DCHT!O20,0)</f>
        <v>0</v>
      </c>
      <c r="AJ61" s="563"/>
      <c r="AK61" s="577">
        <f>SUM(X61:AI61)</f>
        <v>0</v>
      </c>
    </row>
    <row r="62" spans="7:37" ht="15.75" thickBot="1" x14ac:dyDescent="0.3">
      <c r="G62" s="563"/>
      <c r="H62" s="585">
        <f t="shared" ref="H62:M62" si="16">SUM(H45:H61)</f>
        <v>0</v>
      </c>
      <c r="I62" s="585">
        <f t="shared" si="16"/>
        <v>0</v>
      </c>
      <c r="J62" s="585">
        <f t="shared" si="16"/>
        <v>61</v>
      </c>
      <c r="K62" s="585">
        <f t="shared" si="16"/>
        <v>70</v>
      </c>
      <c r="L62" s="585">
        <f t="shared" si="16"/>
        <v>8</v>
      </c>
      <c r="M62" s="585">
        <f t="shared" si="16"/>
        <v>0</v>
      </c>
      <c r="O62" s="46">
        <v>70</v>
      </c>
      <c r="P62" s="957">
        <f>COUNTIF(DCHT!$D$13:$O$13,O62)</f>
        <v>0</v>
      </c>
      <c r="Q62" s="910">
        <v>70</v>
      </c>
      <c r="R62" s="910">
        <v>70</v>
      </c>
      <c r="S62" s="910">
        <f>COUNTIF(DCHT!$D$32:$O$32,'Tinh vat tu'!R62)</f>
        <v>0</v>
      </c>
      <c r="T62" s="910">
        <v>70</v>
      </c>
      <c r="V62" s="923"/>
      <c r="W62" s="563" t="s">
        <v>3605</v>
      </c>
      <c r="X62" s="563">
        <f>DCHT!D26</f>
        <v>120</v>
      </c>
      <c r="Y62" s="563">
        <f>DCHT!E26</f>
        <v>120</v>
      </c>
      <c r="Z62" s="563">
        <f>DCHT!F26</f>
        <v>120</v>
      </c>
      <c r="AA62" s="563">
        <f>DCHT!G26</f>
        <v>120</v>
      </c>
      <c r="AB62" s="563">
        <f>DCHT!H26</f>
        <v>0</v>
      </c>
      <c r="AC62" s="563">
        <f>DCHT!I26</f>
        <v>0</v>
      </c>
      <c r="AD62" s="563">
        <f>DCHT!J26</f>
        <v>0</v>
      </c>
      <c r="AE62" s="563">
        <f>DCHT!K26</f>
        <v>0</v>
      </c>
      <c r="AF62" s="563">
        <f>DCHT!L26</f>
        <v>0</v>
      </c>
      <c r="AG62" s="563">
        <f>DCHT!M26</f>
        <v>0</v>
      </c>
      <c r="AH62" s="563">
        <f>DCHT!N26</f>
        <v>0</v>
      </c>
      <c r="AI62" s="563">
        <f>DCHT!O26</f>
        <v>0</v>
      </c>
      <c r="AJ62" s="563"/>
      <c r="AK62" s="577"/>
    </row>
    <row r="63" spans="7:37" ht="15.75" thickBot="1" x14ac:dyDescent="0.3">
      <c r="G63" s="563"/>
      <c r="H63" s="563"/>
      <c r="O63" s="46">
        <v>50</v>
      </c>
      <c r="P63" s="957">
        <f>COUNTIF(DCHT!$D$13:$O$13,O63)</f>
        <v>0</v>
      </c>
      <c r="Q63" s="910">
        <v>50</v>
      </c>
      <c r="R63" s="910">
        <v>50</v>
      </c>
      <c r="S63" s="910">
        <f>COUNTIF(DCHT!$D$32:$O$32,'Tinh vat tu'!R63)</f>
        <v>0</v>
      </c>
      <c r="T63" s="910">
        <v>50</v>
      </c>
      <c r="V63" s="923"/>
      <c r="W63" s="563"/>
      <c r="X63" s="563">
        <f>IF(X62=$V$57,DCHT!D27,0)</f>
        <v>0.235488</v>
      </c>
      <c r="Y63" s="563">
        <f>IF(Y62=$V$57,DCHT!E27,0)</f>
        <v>0.28900799999999999</v>
      </c>
      <c r="Z63" s="563">
        <f>IF(Z62=$V$57,DCHT!F27,0)</f>
        <v>0.342528</v>
      </c>
      <c r="AA63" s="563">
        <f>IF(AA62=$V$57,DCHT!G27,0)</f>
        <v>0.39604799999999996</v>
      </c>
      <c r="AB63" s="563">
        <f>IF(AB62=$V$57,DCHT!H27,0)</f>
        <v>0</v>
      </c>
      <c r="AC63" s="563">
        <f>IF(AC62=$V$57,DCHT!I27,0)</f>
        <v>0</v>
      </c>
      <c r="AD63" s="563">
        <f>IF(AD62=$V$57,DCHT!J27,0)</f>
        <v>0</v>
      </c>
      <c r="AE63" s="563">
        <f>IF(AE62=$V$57,DCHT!K27,0)</f>
        <v>0</v>
      </c>
      <c r="AF63" s="563">
        <f>IF(AF62=$V$57,DCHT!L27,0)</f>
        <v>0</v>
      </c>
      <c r="AG63" s="563">
        <f>IF(AG62=$V$57,DCHT!M27,0)</f>
        <v>0</v>
      </c>
      <c r="AH63" s="563">
        <f>IF(AH62=$V$57,DCHT!N27,0)</f>
        <v>0</v>
      </c>
      <c r="AI63" s="563">
        <f>IF(AI62=$V$57,DCHT!O27,0)</f>
        <v>0</v>
      </c>
      <c r="AJ63" s="563"/>
      <c r="AK63" s="577">
        <f>SUM(X63:AI63)</f>
        <v>1.263072</v>
      </c>
    </row>
    <row r="64" spans="7:37" ht="15.75" thickBot="1" x14ac:dyDescent="0.3">
      <c r="G64" s="563"/>
      <c r="H64" s="1550" t="s">
        <v>1017</v>
      </c>
      <c r="I64" s="1551"/>
      <c r="J64" s="1551"/>
      <c r="K64" s="1551"/>
      <c r="L64" s="1551"/>
      <c r="M64" s="1552"/>
      <c r="O64" s="46">
        <v>35</v>
      </c>
      <c r="P64" s="957">
        <f>COUNTIF(DCHT!$D$13:$O$13,O64)</f>
        <v>0</v>
      </c>
      <c r="Q64" s="910">
        <v>35</v>
      </c>
      <c r="R64" s="910">
        <v>35</v>
      </c>
      <c r="S64" s="910">
        <f>COUNTIF(DCHT!$D$32:$O$32,'Tinh vat tu'!R64)</f>
        <v>0</v>
      </c>
      <c r="T64" s="910">
        <v>35</v>
      </c>
      <c r="V64" s="923"/>
      <c r="W64" s="563" t="s">
        <v>986</v>
      </c>
      <c r="X64" s="563">
        <f>DCHT!D32</f>
        <v>120</v>
      </c>
      <c r="Y64" s="563">
        <f>DCHT!E32</f>
        <v>120</v>
      </c>
      <c r="Z64" s="563">
        <f>DCHT!F32</f>
        <v>95</v>
      </c>
      <c r="AA64" s="563">
        <f>DCHT!G32</f>
        <v>95</v>
      </c>
      <c r="AB64" s="563">
        <f>DCHT!H32</f>
        <v>0</v>
      </c>
      <c r="AC64" s="563">
        <f>DCHT!I32</f>
        <v>0</v>
      </c>
      <c r="AD64" s="563">
        <f>DCHT!J32</f>
        <v>0</v>
      </c>
      <c r="AE64" s="563">
        <f>DCHT!K32</f>
        <v>0</v>
      </c>
      <c r="AF64" s="563">
        <f>DCHT!L32</f>
        <v>0</v>
      </c>
      <c r="AG64" s="563">
        <f>DCHT!M32</f>
        <v>0</v>
      </c>
      <c r="AH64" s="563">
        <f>DCHT!N32</f>
        <v>0</v>
      </c>
      <c r="AI64" s="563">
        <f>DCHT!O32</f>
        <v>0</v>
      </c>
      <c r="AJ64" s="563"/>
      <c r="AK64" s="577"/>
    </row>
    <row r="65" spans="8:37" ht="15.75" thickBot="1" x14ac:dyDescent="0.3">
      <c r="H65" s="585">
        <f t="shared" ref="H65:M65" si="17">H44</f>
        <v>6</v>
      </c>
      <c r="I65" s="586">
        <f t="shared" si="17"/>
        <v>8</v>
      </c>
      <c r="J65" s="586">
        <f t="shared" si="17"/>
        <v>10</v>
      </c>
      <c r="K65" s="586">
        <f t="shared" si="17"/>
        <v>12</v>
      </c>
      <c r="L65" s="586">
        <f t="shared" si="17"/>
        <v>14</v>
      </c>
      <c r="M65" s="587">
        <f t="shared" si="17"/>
        <v>16</v>
      </c>
      <c r="P65" s="957" t="s">
        <v>977</v>
      </c>
      <c r="Q65" s="910"/>
      <c r="V65" s="923"/>
      <c r="W65" s="563"/>
      <c r="X65" s="563">
        <f>IF(X64=$V$57,DCHT!D33,0)</f>
        <v>0.379992</v>
      </c>
      <c r="Y65" s="563">
        <f>IF(Y64=$V$57,DCHT!E33,0)</f>
        <v>0.379992</v>
      </c>
      <c r="Z65" s="563">
        <f>IF(Z64=$V$57,DCHT!F33,0)</f>
        <v>0</v>
      </c>
      <c r="AA65" s="563">
        <f>IF(AA64=$V$57,DCHT!G33,0)</f>
        <v>0</v>
      </c>
      <c r="AB65" s="563">
        <f>IF(AB64=$V$57,DCHT!H33,0)</f>
        <v>0</v>
      </c>
      <c r="AC65" s="563">
        <f>IF(AC64=$V$57,DCHT!I33,0)</f>
        <v>0</v>
      </c>
      <c r="AD65" s="563">
        <f>IF(AD64=$V$57,DCHT!J33,0)</f>
        <v>0</v>
      </c>
      <c r="AE65" s="563">
        <f>IF(AE64=$V$57,DCHT!K33,0)</f>
        <v>0</v>
      </c>
      <c r="AF65" s="563">
        <f>IF(AF64=$V$57,DCHT!L33,0)</f>
        <v>0</v>
      </c>
      <c r="AG65" s="563">
        <f>IF(AG64=$V$57,DCHT!M33,0)</f>
        <v>0</v>
      </c>
      <c r="AH65" s="563">
        <f>IF(AH64=$V$57,DCHT!N33,0)</f>
        <v>0</v>
      </c>
      <c r="AI65" s="563">
        <f>IF(AI64=$V$57,DCHT!O33,0)</f>
        <v>0</v>
      </c>
      <c r="AJ65" s="563"/>
      <c r="AK65" s="577">
        <f>SUM(X65:AI65)</f>
        <v>0.75998399999999999</v>
      </c>
    </row>
    <row r="66" spans="8:37" ht="15.75" thickBot="1" x14ac:dyDescent="0.3">
      <c r="H66" s="572">
        <f>IF($C$2=H65,$F$2,0)</f>
        <v>0</v>
      </c>
      <c r="I66" s="563">
        <f>IF(C2=$I$65,F2,0)</f>
        <v>0</v>
      </c>
      <c r="J66" s="563">
        <f>IF(C2=$J$65,F2,0)</f>
        <v>0</v>
      </c>
      <c r="K66" s="563">
        <f>IF(C2=$K$65,F2,0)</f>
        <v>0</v>
      </c>
      <c r="L66" s="563">
        <f>IF(C2=$L$65,F2,0)</f>
        <v>0</v>
      </c>
      <c r="M66" s="577">
        <f>IF(C2=$M$65,F2,0)</f>
        <v>0</v>
      </c>
      <c r="O66" s="910">
        <v>120</v>
      </c>
      <c r="P66" s="957">
        <f>COUNTIF(DCHT!$D$19:$O$19,O66)</f>
        <v>0</v>
      </c>
      <c r="Q66" s="910">
        <v>120</v>
      </c>
      <c r="V66" s="578"/>
      <c r="W66" s="583"/>
      <c r="X66" s="583"/>
      <c r="Y66" s="583"/>
      <c r="Z66" s="583"/>
      <c r="AA66" s="583"/>
      <c r="AB66" s="583"/>
      <c r="AC66" s="583"/>
      <c r="AD66" s="583"/>
      <c r="AE66" s="583"/>
      <c r="AF66" s="583"/>
      <c r="AG66" s="583"/>
      <c r="AH66" s="583"/>
      <c r="AI66" s="583"/>
      <c r="AJ66" s="583"/>
      <c r="AK66" s="584">
        <f>SUM(AK59:AK65)</f>
        <v>3.971184</v>
      </c>
    </row>
    <row r="67" spans="8:37" x14ac:dyDescent="0.25">
      <c r="H67" s="572">
        <f t="shared" ref="H67:H81" si="18">IF(C3=$H$65,F3,0)</f>
        <v>0</v>
      </c>
      <c r="I67" s="563">
        <f t="shared" ref="I67:I82" si="19">IF(C3=$I$65,F3,0)</f>
        <v>0</v>
      </c>
      <c r="J67" s="563">
        <f t="shared" ref="J67:J82" si="20">IF(C3=$J$65,F3,0)</f>
        <v>0</v>
      </c>
      <c r="K67" s="563">
        <f t="shared" ref="K67:K82" si="21">IF(C3=$K$65,F3,0)</f>
        <v>12</v>
      </c>
      <c r="L67" s="563">
        <f t="shared" ref="L67:L82" si="22">IF(C3=$L$65,F3,0)</f>
        <v>0</v>
      </c>
      <c r="M67" s="577">
        <f t="shared" ref="M67:M82" si="23">IF(C3=$M$65,F3,0)</f>
        <v>0</v>
      </c>
      <c r="O67" s="910">
        <v>95</v>
      </c>
      <c r="P67" s="1038">
        <f>COUNTIF(DCHT!$D$19:$O$19,O67)</f>
        <v>1</v>
      </c>
      <c r="Q67" s="910">
        <v>95</v>
      </c>
      <c r="S67" s="46" t="s">
        <v>308</v>
      </c>
      <c r="V67" s="918">
        <v>95</v>
      </c>
      <c r="W67" s="919"/>
      <c r="X67" s="919"/>
      <c r="Y67" s="919"/>
      <c r="Z67" s="919"/>
      <c r="AA67" s="919"/>
      <c r="AB67" s="919"/>
      <c r="AC67" s="919"/>
      <c r="AD67" s="919"/>
      <c r="AE67" s="919"/>
      <c r="AF67" s="919"/>
      <c r="AG67" s="919"/>
      <c r="AH67" s="919"/>
      <c r="AI67" s="919"/>
      <c r="AJ67" s="919"/>
      <c r="AK67" s="920"/>
    </row>
    <row r="68" spans="8:37" x14ac:dyDescent="0.25">
      <c r="H68" s="572">
        <f t="shared" si="18"/>
        <v>0</v>
      </c>
      <c r="I68" s="563">
        <f t="shared" si="19"/>
        <v>0</v>
      </c>
      <c r="J68" s="563">
        <f t="shared" si="20"/>
        <v>0</v>
      </c>
      <c r="K68" s="563">
        <f t="shared" si="21"/>
        <v>0</v>
      </c>
      <c r="L68" s="563">
        <f t="shared" si="22"/>
        <v>0</v>
      </c>
      <c r="M68" s="577">
        <f t="shared" si="23"/>
        <v>0</v>
      </c>
      <c r="O68" s="910">
        <v>70</v>
      </c>
      <c r="P68" s="1038">
        <f>COUNTIF(DCHT!$D$19:$O$19,O68)</f>
        <v>3</v>
      </c>
      <c r="Q68" s="910">
        <v>70</v>
      </c>
      <c r="S68" s="917">
        <v>120</v>
      </c>
      <c r="T68" s="46">
        <f>VLOOKUP(S68,$O$60:$P$64,2,FALSE)+VLOOKUP(S68,$O$66:$P$70,2,FALSE)+VLOOKUP(S68,$O$72:$P$76,2,FALSE)+VLOOKUP(S68,$R$60:$S$64,2,FALSE)</f>
        <v>10</v>
      </c>
      <c r="V68" s="923"/>
      <c r="W68" s="563" t="str">
        <f t="shared" ref="W68:AI68" si="24">W58</f>
        <v>pha a</v>
      </c>
      <c r="X68" s="563">
        <f t="shared" si="24"/>
        <v>120</v>
      </c>
      <c r="Y68" s="563">
        <f t="shared" si="24"/>
        <v>120</v>
      </c>
      <c r="Z68" s="563">
        <f t="shared" si="24"/>
        <v>120</v>
      </c>
      <c r="AA68" s="563">
        <f t="shared" si="24"/>
        <v>120</v>
      </c>
      <c r="AB68" s="563">
        <f t="shared" si="24"/>
        <v>0</v>
      </c>
      <c r="AC68" s="563">
        <f t="shared" si="24"/>
        <v>0</v>
      </c>
      <c r="AD68" s="563">
        <f t="shared" si="24"/>
        <v>0</v>
      </c>
      <c r="AE68" s="563">
        <f t="shared" si="24"/>
        <v>0</v>
      </c>
      <c r="AF68" s="563">
        <f t="shared" si="24"/>
        <v>0</v>
      </c>
      <c r="AG68" s="563">
        <f t="shared" si="24"/>
        <v>0</v>
      </c>
      <c r="AH68" s="563">
        <f t="shared" si="24"/>
        <v>0</v>
      </c>
      <c r="AI68" s="563">
        <f t="shared" si="24"/>
        <v>0</v>
      </c>
      <c r="AJ68" s="563"/>
      <c r="AK68" s="577"/>
    </row>
    <row r="69" spans="8:37" x14ac:dyDescent="0.25">
      <c r="H69" s="572">
        <f t="shared" si="18"/>
        <v>0</v>
      </c>
      <c r="I69" s="563">
        <f t="shared" si="19"/>
        <v>0</v>
      </c>
      <c r="J69" s="563">
        <f t="shared" si="20"/>
        <v>0</v>
      </c>
      <c r="K69" s="563">
        <f t="shared" si="21"/>
        <v>0</v>
      </c>
      <c r="L69" s="563">
        <f t="shared" si="22"/>
        <v>0</v>
      </c>
      <c r="M69" s="577">
        <f t="shared" si="23"/>
        <v>0</v>
      </c>
      <c r="O69" s="910">
        <v>50</v>
      </c>
      <c r="P69" s="1038">
        <f>COUNTIF(DCHT!$D$19:$O$19,O69)</f>
        <v>0</v>
      </c>
      <c r="Q69" s="910">
        <v>50</v>
      </c>
      <c r="S69" s="917">
        <v>95</v>
      </c>
      <c r="T69" s="917">
        <f>VLOOKUP(S69,$O$60:$P$64,2,FALSE)+VLOOKUP(S69,$O$66:$P$70,2,FALSE)+VLOOKUP(S69,$O$72:$P$76,2,FALSE)+VLOOKUP(S69,$R$60:$S$64,2,FALSE)</f>
        <v>3</v>
      </c>
      <c r="V69" s="923"/>
      <c r="W69" s="563"/>
      <c r="X69" s="563">
        <f>IF(X58=$V$67,DCHT!D14,0)</f>
        <v>0</v>
      </c>
      <c r="Y69" s="563">
        <f>IF(Y58=$V$67,DCHT!E14,0)</f>
        <v>0</v>
      </c>
      <c r="Z69" s="563">
        <f>IF(Z58=$V$67,DCHT!F14,0)</f>
        <v>0</v>
      </c>
      <c r="AA69" s="563">
        <f>IF(AA58=$V$67,DCHT!G14,0)</f>
        <v>0</v>
      </c>
      <c r="AB69" s="563">
        <f>IF(AB58=$V$67,DCHT!H14,0)</f>
        <v>0</v>
      </c>
      <c r="AC69" s="563">
        <f>IF(AC58=$V$67,DCHT!I14,0)</f>
        <v>0</v>
      </c>
      <c r="AD69" s="563">
        <f>IF(AD58=$V$67,DCHT!J14,0)</f>
        <v>0</v>
      </c>
      <c r="AE69" s="563">
        <f>IF(AE58=$V$67,DCHT!K14,0)</f>
        <v>0</v>
      </c>
      <c r="AF69" s="563">
        <f>IF(AF58=$V$67,DCHT!L14,0)</f>
        <v>0</v>
      </c>
      <c r="AG69" s="563">
        <f>IF(AG58=$V$67,DCHT!M14,0)</f>
        <v>0</v>
      </c>
      <c r="AH69" s="563">
        <f>IF(AH58=$V$67,DCHT!N14,0)</f>
        <v>0</v>
      </c>
      <c r="AI69" s="563">
        <f>IF(AI58=$V$67,DCHT!O14,0)</f>
        <v>0</v>
      </c>
      <c r="AJ69" s="563"/>
      <c r="AK69" s="577">
        <f>SUM(X69:AI69)</f>
        <v>0</v>
      </c>
    </row>
    <row r="70" spans="8:37" x14ac:dyDescent="0.25">
      <c r="H70" s="572">
        <f t="shared" si="18"/>
        <v>0</v>
      </c>
      <c r="I70" s="563">
        <f t="shared" si="19"/>
        <v>0</v>
      </c>
      <c r="J70" s="563">
        <f t="shared" si="20"/>
        <v>0</v>
      </c>
      <c r="K70" s="563">
        <f t="shared" si="21"/>
        <v>0</v>
      </c>
      <c r="L70" s="563">
        <f t="shared" si="22"/>
        <v>0</v>
      </c>
      <c r="M70" s="577">
        <f t="shared" si="23"/>
        <v>0</v>
      </c>
      <c r="O70" s="910">
        <v>35</v>
      </c>
      <c r="P70" s="1038">
        <f>COUNTIF(DCHT!$D$19:$O$19,O70)</f>
        <v>0</v>
      </c>
      <c r="Q70" s="910">
        <v>35</v>
      </c>
      <c r="S70" s="917">
        <v>70</v>
      </c>
      <c r="T70" s="917">
        <f>VLOOKUP(S70,$O$60:$P$64,2,FALSE)+VLOOKUP(S70,$O$66:$P$70,2,FALSE)+VLOOKUP(S70,$O$72:$P$76,2,FALSE)+VLOOKUP(S70,$R$60:$S$64,2,FALSE)</f>
        <v>3</v>
      </c>
      <c r="V70" s="923"/>
      <c r="W70" s="563" t="str">
        <f t="shared" ref="W70:AI70" si="25">W60</f>
        <v>pha b</v>
      </c>
      <c r="X70" s="563">
        <f t="shared" si="25"/>
        <v>95</v>
      </c>
      <c r="Y70" s="563">
        <f t="shared" si="25"/>
        <v>70</v>
      </c>
      <c r="Z70" s="563">
        <f t="shared" si="25"/>
        <v>70</v>
      </c>
      <c r="AA70" s="563">
        <f t="shared" si="25"/>
        <v>70</v>
      </c>
      <c r="AB70" s="563">
        <f t="shared" si="25"/>
        <v>0</v>
      </c>
      <c r="AC70" s="563">
        <f t="shared" si="25"/>
        <v>0</v>
      </c>
      <c r="AD70" s="563">
        <f t="shared" si="25"/>
        <v>0</v>
      </c>
      <c r="AE70" s="563">
        <f t="shared" si="25"/>
        <v>0</v>
      </c>
      <c r="AF70" s="563">
        <f t="shared" si="25"/>
        <v>0</v>
      </c>
      <c r="AG70" s="563">
        <f t="shared" si="25"/>
        <v>0</v>
      </c>
      <c r="AH70" s="563">
        <f t="shared" si="25"/>
        <v>0</v>
      </c>
      <c r="AI70" s="563">
        <f t="shared" si="25"/>
        <v>0</v>
      </c>
      <c r="AJ70" s="563"/>
      <c r="AK70" s="577"/>
    </row>
    <row r="71" spans="8:37" x14ac:dyDescent="0.25">
      <c r="H71" s="572">
        <f t="shared" si="18"/>
        <v>0</v>
      </c>
      <c r="I71" s="563">
        <f t="shared" si="19"/>
        <v>0</v>
      </c>
      <c r="J71" s="563">
        <f t="shared" si="20"/>
        <v>0</v>
      </c>
      <c r="K71" s="563">
        <f t="shared" si="21"/>
        <v>0</v>
      </c>
      <c r="L71" s="563">
        <f t="shared" si="22"/>
        <v>0</v>
      </c>
      <c r="M71" s="577">
        <f t="shared" si="23"/>
        <v>0</v>
      </c>
      <c r="P71" s="957" t="s">
        <v>3605</v>
      </c>
      <c r="Q71" s="910"/>
      <c r="S71" s="917">
        <v>50</v>
      </c>
      <c r="T71" s="917">
        <f>VLOOKUP(S71,$O$60:$P$64,2,FALSE)+VLOOKUP(S71,$O$66:$P$70,2,FALSE)+VLOOKUP(S71,$O$72:$P$76,2,FALSE)+VLOOKUP(S71,$R$60:$S$64,2,FALSE)</f>
        <v>0</v>
      </c>
      <c r="V71" s="923"/>
      <c r="W71" s="563"/>
      <c r="X71" s="563">
        <f>IF(X60=$V$67,DCHT!D20,0)</f>
        <v>0.20761299999999999</v>
      </c>
      <c r="Y71" s="563">
        <f>IF(Y60=$V$67,DCHT!E20,0)</f>
        <v>0</v>
      </c>
      <c r="Z71" s="563">
        <f>IF(Z60=$V$67,DCHT!F20,0)</f>
        <v>0</v>
      </c>
      <c r="AA71" s="563">
        <f>IF(AA60=$V$67,DCHT!G20,0)</f>
        <v>0</v>
      </c>
      <c r="AB71" s="563">
        <f>IF(AB60=$V$67,DCHT!H20,0)</f>
        <v>0</v>
      </c>
      <c r="AC71" s="563">
        <f>IF(AC60=$V$67,DCHT!I20,0)</f>
        <v>0</v>
      </c>
      <c r="AD71" s="563">
        <f>IF(AD60=$V$67,DCHT!J20,0)</f>
        <v>0</v>
      </c>
      <c r="AE71" s="563">
        <f>IF(AE60=$V$67,DCHT!K20,0)</f>
        <v>0</v>
      </c>
      <c r="AF71" s="563">
        <f>IF(AF60=$V$67,DCHT!L20,0)</f>
        <v>0</v>
      </c>
      <c r="AG71" s="563">
        <f>IF(AG60=$V$67,DCHT!M20,0)</f>
        <v>0</v>
      </c>
      <c r="AH71" s="563">
        <f>IF(AH60=$V$67,DCHT!N20,0)</f>
        <v>0</v>
      </c>
      <c r="AI71" s="563">
        <f>IF(AI60=$V$67,DCHT!O20,0)</f>
        <v>0</v>
      </c>
      <c r="AJ71" s="563"/>
      <c r="AK71" s="577">
        <f>SUM(X71:AI71)</f>
        <v>0.20761299999999999</v>
      </c>
    </row>
    <row r="72" spans="8:37" x14ac:dyDescent="0.25">
      <c r="H72" s="572">
        <f t="shared" si="18"/>
        <v>0</v>
      </c>
      <c r="I72" s="563">
        <f t="shared" si="19"/>
        <v>0</v>
      </c>
      <c r="J72" s="563">
        <f t="shared" si="20"/>
        <v>0</v>
      </c>
      <c r="K72" s="563">
        <f t="shared" si="21"/>
        <v>0</v>
      </c>
      <c r="L72" s="563">
        <f t="shared" si="22"/>
        <v>0</v>
      </c>
      <c r="M72" s="577">
        <f t="shared" si="23"/>
        <v>0</v>
      </c>
      <c r="O72" s="910">
        <v>120</v>
      </c>
      <c r="P72" s="957">
        <f>COUNTIF(DCHT!$D$26:$O$26,O72)</f>
        <v>4</v>
      </c>
      <c r="Q72" s="910">
        <v>120</v>
      </c>
      <c r="S72" s="917">
        <v>35</v>
      </c>
      <c r="T72" s="917">
        <f>VLOOKUP(S72,$O$60:$P$64,2,FALSE)+VLOOKUP(S72,$O$66:$P$70,2,FALSE)+VLOOKUP(S72,$O$72:$P$76,2,FALSE)+VLOOKUP(S72,$R$60:$S$64,2,FALSE)</f>
        <v>0</v>
      </c>
      <c r="V72" s="923"/>
      <c r="W72" s="563" t="str">
        <f t="shared" ref="W72:AI72" si="26">W62</f>
        <v>pha c</v>
      </c>
      <c r="X72" s="563">
        <f t="shared" si="26"/>
        <v>120</v>
      </c>
      <c r="Y72" s="563">
        <f t="shared" si="26"/>
        <v>120</v>
      </c>
      <c r="Z72" s="563">
        <f t="shared" si="26"/>
        <v>120</v>
      </c>
      <c r="AA72" s="563">
        <f t="shared" si="26"/>
        <v>120</v>
      </c>
      <c r="AB72" s="563">
        <f t="shared" si="26"/>
        <v>0</v>
      </c>
      <c r="AC72" s="563">
        <f t="shared" si="26"/>
        <v>0</v>
      </c>
      <c r="AD72" s="563">
        <f t="shared" si="26"/>
        <v>0</v>
      </c>
      <c r="AE72" s="563">
        <f t="shared" si="26"/>
        <v>0</v>
      </c>
      <c r="AF72" s="563">
        <f t="shared" si="26"/>
        <v>0</v>
      </c>
      <c r="AG72" s="563">
        <f t="shared" si="26"/>
        <v>0</v>
      </c>
      <c r="AH72" s="563">
        <f t="shared" si="26"/>
        <v>0</v>
      </c>
      <c r="AI72" s="563">
        <f t="shared" si="26"/>
        <v>0</v>
      </c>
      <c r="AJ72" s="563"/>
      <c r="AK72" s="577"/>
    </row>
    <row r="73" spans="8:37" x14ac:dyDescent="0.25">
      <c r="H73" s="572">
        <f t="shared" si="18"/>
        <v>0</v>
      </c>
      <c r="I73" s="563">
        <f t="shared" si="19"/>
        <v>0</v>
      </c>
      <c r="J73" s="563">
        <f t="shared" si="20"/>
        <v>0</v>
      </c>
      <c r="K73" s="563">
        <f t="shared" si="21"/>
        <v>0</v>
      </c>
      <c r="L73" s="563">
        <f t="shared" si="22"/>
        <v>0</v>
      </c>
      <c r="M73" s="577">
        <f t="shared" si="23"/>
        <v>0</v>
      </c>
      <c r="O73" s="910">
        <v>95</v>
      </c>
      <c r="P73" s="957">
        <f>COUNTIF(DCHT!$D$26:$O$26,O73)</f>
        <v>0</v>
      </c>
      <c r="Q73" s="910">
        <v>95</v>
      </c>
      <c r="V73" s="923"/>
      <c r="W73" s="563"/>
      <c r="X73" s="563">
        <f>IF(X62=$V$67,DCHT!D27,0)</f>
        <v>0</v>
      </c>
      <c r="Y73" s="563">
        <f>IF(Y62=$V$67,DCHT!E27,0)</f>
        <v>0</v>
      </c>
      <c r="Z73" s="563">
        <f>IF(Z62=$V$67,DCHT!F27,0)</f>
        <v>0</v>
      </c>
      <c r="AA73" s="563">
        <f>IF(AA62=$V$67,DCHT!G27,0)</f>
        <v>0</v>
      </c>
      <c r="AB73" s="563">
        <f>IF(AB62=$V$67,DCHT!H27,0)</f>
        <v>0</v>
      </c>
      <c r="AC73" s="563">
        <f>IF(AC62=$V$67,DCHT!I27,0)</f>
        <v>0</v>
      </c>
      <c r="AD73" s="563">
        <f>IF(AD62=$V$67,DCHT!J27,0)</f>
        <v>0</v>
      </c>
      <c r="AE73" s="563">
        <f>IF(AE62=$V$67,DCHT!K27,0)</f>
        <v>0</v>
      </c>
      <c r="AF73" s="563">
        <f>IF(AF62=$V$67,DCHT!L27,0)</f>
        <v>0</v>
      </c>
      <c r="AG73" s="563">
        <f>IF(AG62=$V$67,DCHT!M27,0)</f>
        <v>0</v>
      </c>
      <c r="AH73" s="563">
        <f>IF(AH62=$V$67,DCHT!N27,0)</f>
        <v>0</v>
      </c>
      <c r="AI73" s="563">
        <f>IF(AI62=$V$67,DCHT!O27,0)</f>
        <v>0</v>
      </c>
      <c r="AJ73" s="563"/>
      <c r="AK73" s="577">
        <f>SUM(X73:AI73)</f>
        <v>0</v>
      </c>
    </row>
    <row r="74" spans="8:37" x14ac:dyDescent="0.25">
      <c r="H74" s="572">
        <f t="shared" si="18"/>
        <v>0</v>
      </c>
      <c r="I74" s="563">
        <f t="shared" si="19"/>
        <v>0</v>
      </c>
      <c r="J74" s="563">
        <f t="shared" si="20"/>
        <v>0</v>
      </c>
      <c r="K74" s="563">
        <f t="shared" si="21"/>
        <v>0</v>
      </c>
      <c r="L74" s="563">
        <f t="shared" si="22"/>
        <v>0</v>
      </c>
      <c r="M74" s="577">
        <f t="shared" si="23"/>
        <v>0</v>
      </c>
      <c r="O74" s="910">
        <v>70</v>
      </c>
      <c r="P74" s="957">
        <f>COUNTIF(DCHT!$D$26:$O$26,O74)</f>
        <v>0</v>
      </c>
      <c r="Q74" s="910">
        <v>70</v>
      </c>
      <c r="S74" s="46" t="s">
        <v>3609</v>
      </c>
      <c r="V74" s="923"/>
      <c r="W74" s="563" t="str">
        <f t="shared" ref="W74:AI74" si="27">W64</f>
        <v>trung tính</v>
      </c>
      <c r="X74" s="563">
        <f t="shared" si="27"/>
        <v>120</v>
      </c>
      <c r="Y74" s="563">
        <f t="shared" si="27"/>
        <v>120</v>
      </c>
      <c r="Z74" s="563">
        <f t="shared" si="27"/>
        <v>95</v>
      </c>
      <c r="AA74" s="563">
        <f t="shared" si="27"/>
        <v>95</v>
      </c>
      <c r="AB74" s="563">
        <f t="shared" si="27"/>
        <v>0</v>
      </c>
      <c r="AC74" s="563">
        <f t="shared" si="27"/>
        <v>0</v>
      </c>
      <c r="AD74" s="563">
        <f t="shared" si="27"/>
        <v>0</v>
      </c>
      <c r="AE74" s="563">
        <f t="shared" si="27"/>
        <v>0</v>
      </c>
      <c r="AF74" s="563">
        <f t="shared" si="27"/>
        <v>0</v>
      </c>
      <c r="AG74" s="563">
        <f t="shared" si="27"/>
        <v>0</v>
      </c>
      <c r="AH74" s="563">
        <f t="shared" si="27"/>
        <v>0</v>
      </c>
      <c r="AI74" s="563">
        <f t="shared" si="27"/>
        <v>0</v>
      </c>
      <c r="AJ74" s="563"/>
      <c r="AK74" s="577"/>
    </row>
    <row r="75" spans="8:37" x14ac:dyDescent="0.25">
      <c r="H75" s="572">
        <f t="shared" si="18"/>
        <v>0</v>
      </c>
      <c r="I75" s="563">
        <f t="shared" si="19"/>
        <v>0</v>
      </c>
      <c r="J75" s="563">
        <f t="shared" si="20"/>
        <v>0</v>
      </c>
      <c r="K75" s="563">
        <f t="shared" si="21"/>
        <v>0</v>
      </c>
      <c r="L75" s="563">
        <f t="shared" si="22"/>
        <v>0</v>
      </c>
      <c r="M75" s="577">
        <f t="shared" si="23"/>
        <v>0</v>
      </c>
      <c r="O75" s="910">
        <v>50</v>
      </c>
      <c r="P75" s="957">
        <f>COUNTIF(DCHT!$D$26:$O$26,O75)</f>
        <v>0</v>
      </c>
      <c r="Q75" s="910">
        <v>50</v>
      </c>
      <c r="S75" s="917">
        <v>120</v>
      </c>
      <c r="T75" s="46">
        <f>AK66</f>
        <v>3.971184</v>
      </c>
      <c r="V75" s="923"/>
      <c r="W75" s="563"/>
      <c r="X75" s="563">
        <f>IF(X64=$V$67,DCHT!D33,0)</f>
        <v>0</v>
      </c>
      <c r="Y75" s="563">
        <f>IF(Y64=$V$67,DCHT!E33,0)</f>
        <v>0</v>
      </c>
      <c r="Z75" s="563">
        <f>IF(Z64=$V$67,DCHT!F33,0)</f>
        <v>0.30082700000000001</v>
      </c>
      <c r="AA75" s="563">
        <f>IF(AA64=$V$67,DCHT!G33,0)</f>
        <v>0.30082700000000001</v>
      </c>
      <c r="AB75" s="563">
        <f>IF(AB64=$V$67,DCHT!H33,0)</f>
        <v>0</v>
      </c>
      <c r="AC75" s="563">
        <f>IF(AC64=$V$67,DCHT!I33,0)</f>
        <v>0</v>
      </c>
      <c r="AD75" s="563">
        <f>IF(AD64=$V$67,DCHT!J33,0)</f>
        <v>0</v>
      </c>
      <c r="AE75" s="563">
        <f>IF(AE64=$V$67,DCHT!K33,0)</f>
        <v>0</v>
      </c>
      <c r="AF75" s="563">
        <f>IF(AF64=$V$67,DCHT!L33,0)</f>
        <v>0</v>
      </c>
      <c r="AG75" s="563">
        <f>IF(AG64=$V$67,DCHT!M33,0)</f>
        <v>0</v>
      </c>
      <c r="AH75" s="563">
        <f>IF(AH64=$V$67,DCHT!N33,0)</f>
        <v>0</v>
      </c>
      <c r="AI75" s="563">
        <f>IF(AI64=$V$67,DCHT!O33,0)</f>
        <v>0</v>
      </c>
      <c r="AJ75" s="563"/>
      <c r="AK75" s="577">
        <f>SUM(X75:AI75)</f>
        <v>0.60165400000000002</v>
      </c>
    </row>
    <row r="76" spans="8:37" ht="15.75" thickBot="1" x14ac:dyDescent="0.3">
      <c r="H76" s="572">
        <f t="shared" si="18"/>
        <v>0</v>
      </c>
      <c r="I76" s="563">
        <f t="shared" si="19"/>
        <v>0</v>
      </c>
      <c r="J76" s="563">
        <f t="shared" si="20"/>
        <v>0</v>
      </c>
      <c r="K76" s="563">
        <f t="shared" si="21"/>
        <v>0</v>
      </c>
      <c r="L76" s="563">
        <f t="shared" si="22"/>
        <v>0</v>
      </c>
      <c r="M76" s="577">
        <f t="shared" si="23"/>
        <v>0</v>
      </c>
      <c r="O76" s="910">
        <v>35</v>
      </c>
      <c r="P76" s="957">
        <f>COUNTIF(DCHT!$D$26:$O$26,O76)</f>
        <v>0</v>
      </c>
      <c r="Q76" s="910">
        <v>35</v>
      </c>
      <c r="S76" s="917">
        <v>95</v>
      </c>
      <c r="T76" s="46">
        <f>AK76</f>
        <v>0.80926699999999996</v>
      </c>
      <c r="V76" s="924"/>
      <c r="W76" s="583"/>
      <c r="X76" s="583"/>
      <c r="Y76" s="583"/>
      <c r="Z76" s="583"/>
      <c r="AA76" s="583"/>
      <c r="AB76" s="583"/>
      <c r="AC76" s="583"/>
      <c r="AD76" s="583"/>
      <c r="AE76" s="583"/>
      <c r="AF76" s="583"/>
      <c r="AG76" s="583"/>
      <c r="AH76" s="583"/>
      <c r="AI76" s="583"/>
      <c r="AJ76" s="583"/>
      <c r="AK76" s="584">
        <f>SUM((AK69:AK75))</f>
        <v>0.80926699999999996</v>
      </c>
    </row>
    <row r="77" spans="8:37" x14ac:dyDescent="0.25">
      <c r="H77" s="572">
        <f t="shared" si="18"/>
        <v>0</v>
      </c>
      <c r="I77" s="563">
        <f t="shared" si="19"/>
        <v>0</v>
      </c>
      <c r="J77" s="563">
        <f t="shared" si="20"/>
        <v>0</v>
      </c>
      <c r="K77" s="563">
        <f t="shared" si="21"/>
        <v>0</v>
      </c>
      <c r="L77" s="563">
        <f t="shared" si="22"/>
        <v>0</v>
      </c>
      <c r="M77" s="577">
        <f t="shared" si="23"/>
        <v>0</v>
      </c>
      <c r="S77" s="917">
        <v>70</v>
      </c>
      <c r="T77" s="46">
        <f>AK86</f>
        <v>0.646254</v>
      </c>
      <c r="V77" s="922">
        <v>70</v>
      </c>
      <c r="W77" s="919"/>
      <c r="X77" s="919"/>
      <c r="Y77" s="919"/>
      <c r="Z77" s="919"/>
      <c r="AA77" s="919"/>
      <c r="AB77" s="919"/>
      <c r="AC77" s="919"/>
      <c r="AD77" s="919"/>
      <c r="AE77" s="919"/>
      <c r="AF77" s="919"/>
      <c r="AG77" s="919"/>
      <c r="AH77" s="919"/>
      <c r="AI77" s="919"/>
      <c r="AJ77" s="919"/>
      <c r="AK77" s="920"/>
    </row>
    <row r="78" spans="8:37" x14ac:dyDescent="0.25">
      <c r="H78" s="572">
        <f t="shared" si="18"/>
        <v>0</v>
      </c>
      <c r="I78" s="563">
        <f t="shared" si="19"/>
        <v>0</v>
      </c>
      <c r="J78" s="563">
        <f t="shared" si="20"/>
        <v>0</v>
      </c>
      <c r="K78" s="563">
        <f t="shared" si="21"/>
        <v>0</v>
      </c>
      <c r="L78" s="563">
        <f t="shared" si="22"/>
        <v>0</v>
      </c>
      <c r="M78" s="577">
        <f t="shared" si="23"/>
        <v>0</v>
      </c>
      <c r="S78" s="917">
        <v>50</v>
      </c>
      <c r="T78" s="46">
        <f>AK96</f>
        <v>0</v>
      </c>
      <c r="V78" s="923"/>
      <c r="W78" s="563" t="str">
        <f t="shared" ref="W78:AI78" si="28">W68</f>
        <v>pha a</v>
      </c>
      <c r="X78" s="563">
        <f t="shared" si="28"/>
        <v>120</v>
      </c>
      <c r="Y78" s="563">
        <f t="shared" si="28"/>
        <v>120</v>
      </c>
      <c r="Z78" s="563">
        <f t="shared" si="28"/>
        <v>120</v>
      </c>
      <c r="AA78" s="563">
        <f t="shared" si="28"/>
        <v>120</v>
      </c>
      <c r="AB78" s="563">
        <f t="shared" si="28"/>
        <v>0</v>
      </c>
      <c r="AC78" s="563">
        <f t="shared" si="28"/>
        <v>0</v>
      </c>
      <c r="AD78" s="563">
        <f t="shared" si="28"/>
        <v>0</v>
      </c>
      <c r="AE78" s="563">
        <f t="shared" si="28"/>
        <v>0</v>
      </c>
      <c r="AF78" s="563">
        <f t="shared" si="28"/>
        <v>0</v>
      </c>
      <c r="AG78" s="563">
        <f t="shared" si="28"/>
        <v>0</v>
      </c>
      <c r="AH78" s="563">
        <f t="shared" si="28"/>
        <v>0</v>
      </c>
      <c r="AI78" s="563">
        <f t="shared" si="28"/>
        <v>0</v>
      </c>
      <c r="AJ78" s="563"/>
      <c r="AK78" s="577"/>
    </row>
    <row r="79" spans="8:37" x14ac:dyDescent="0.25">
      <c r="H79" s="572">
        <f t="shared" si="18"/>
        <v>0</v>
      </c>
      <c r="I79" s="563">
        <f t="shared" si="19"/>
        <v>0</v>
      </c>
      <c r="J79" s="563">
        <f t="shared" si="20"/>
        <v>0</v>
      </c>
      <c r="K79" s="563">
        <f t="shared" si="21"/>
        <v>0</v>
      </c>
      <c r="L79" s="563">
        <f t="shared" si="22"/>
        <v>0</v>
      </c>
      <c r="M79" s="577">
        <f t="shared" si="23"/>
        <v>0</v>
      </c>
      <c r="S79" s="917">
        <v>35</v>
      </c>
      <c r="T79" s="46">
        <f>AK106</f>
        <v>0</v>
      </c>
      <c r="V79" s="923"/>
      <c r="W79" s="563"/>
      <c r="X79" s="563">
        <f>IF(X58=$V$77,DCHT!D14,0)</f>
        <v>0</v>
      </c>
      <c r="Y79" s="563">
        <f>IF(Y58=$V$77,DCHT!E14,0)</f>
        <v>0</v>
      </c>
      <c r="Z79" s="563">
        <f>IF(Z58=$V$77,DCHT!F14,0)</f>
        <v>0</v>
      </c>
      <c r="AA79" s="563">
        <f>IF(AA58=$V$77,DCHT!G14,0)</f>
        <v>0</v>
      </c>
      <c r="AB79" s="563">
        <f>IF(AB58=$V$77,DCHT!H14,0)</f>
        <v>0</v>
      </c>
      <c r="AC79" s="563">
        <f>IF(AC58=$V$77,DCHT!I14,0)</f>
        <v>0</v>
      </c>
      <c r="AD79" s="563">
        <f>IF(AD58=$V$77,DCHT!J14,0)</f>
        <v>0</v>
      </c>
      <c r="AE79" s="563">
        <f>IF(AE58=$V$77,DCHT!K14,0)</f>
        <v>0</v>
      </c>
      <c r="AF79" s="563">
        <f>IF(AF58=$V$77,DCHT!L14,0)</f>
        <v>0</v>
      </c>
      <c r="AG79" s="563">
        <f>IF(AG58=$V$77,DCHT!M14,0)</f>
        <v>0</v>
      </c>
      <c r="AH79" s="563">
        <f>IF(AH58=$V$77,DCHT!N14,0)</f>
        <v>0</v>
      </c>
      <c r="AI79" s="563">
        <f>IF(AI58=$V$77,DCHT!O14,0)</f>
        <v>0</v>
      </c>
      <c r="AJ79" s="563"/>
      <c r="AK79" s="577">
        <f>SUM(X79:AI79)</f>
        <v>0</v>
      </c>
    </row>
    <row r="80" spans="8:37" x14ac:dyDescent="0.25">
      <c r="H80" s="572">
        <f t="shared" si="18"/>
        <v>0</v>
      </c>
      <c r="I80" s="563">
        <f t="shared" si="19"/>
        <v>0</v>
      </c>
      <c r="J80" s="563">
        <f t="shared" si="20"/>
        <v>0</v>
      </c>
      <c r="K80" s="563">
        <f t="shared" si="21"/>
        <v>0</v>
      </c>
      <c r="L80" s="563">
        <f t="shared" si="22"/>
        <v>0</v>
      </c>
      <c r="M80" s="577">
        <f t="shared" si="23"/>
        <v>0</v>
      </c>
      <c r="S80" s="1038"/>
      <c r="T80" s="1038"/>
      <c r="V80" s="923"/>
      <c r="W80" s="563" t="str">
        <f t="shared" ref="W80:AI80" si="29">W70</f>
        <v>pha b</v>
      </c>
      <c r="X80" s="563">
        <f t="shared" si="29"/>
        <v>95</v>
      </c>
      <c r="Y80" s="563">
        <f t="shared" si="29"/>
        <v>70</v>
      </c>
      <c r="Z80" s="563">
        <f t="shared" si="29"/>
        <v>70</v>
      </c>
      <c r="AA80" s="563">
        <f t="shared" si="29"/>
        <v>70</v>
      </c>
      <c r="AB80" s="563">
        <f t="shared" si="29"/>
        <v>0</v>
      </c>
      <c r="AC80" s="563">
        <f t="shared" si="29"/>
        <v>0</v>
      </c>
      <c r="AD80" s="563">
        <f t="shared" si="29"/>
        <v>0</v>
      </c>
      <c r="AE80" s="563">
        <f t="shared" si="29"/>
        <v>0</v>
      </c>
      <c r="AF80" s="563">
        <f t="shared" si="29"/>
        <v>0</v>
      </c>
      <c r="AG80" s="563">
        <f t="shared" si="29"/>
        <v>0</v>
      </c>
      <c r="AH80" s="563">
        <f t="shared" si="29"/>
        <v>0</v>
      </c>
      <c r="AI80" s="563">
        <f t="shared" si="29"/>
        <v>0</v>
      </c>
      <c r="AJ80" s="563"/>
      <c r="AK80" s="577"/>
    </row>
    <row r="81" spans="8:37" x14ac:dyDescent="0.25">
      <c r="H81" s="572">
        <f t="shared" si="18"/>
        <v>0</v>
      </c>
      <c r="I81" s="563">
        <f t="shared" si="19"/>
        <v>0</v>
      </c>
      <c r="J81" s="563">
        <f t="shared" si="20"/>
        <v>0</v>
      </c>
      <c r="K81" s="563">
        <f t="shared" si="21"/>
        <v>0</v>
      </c>
      <c r="L81" s="563">
        <f t="shared" si="22"/>
        <v>0</v>
      </c>
      <c r="M81" s="577">
        <f t="shared" si="23"/>
        <v>0</v>
      </c>
      <c r="S81" s="1038"/>
      <c r="T81" s="1038"/>
      <c r="V81" s="923"/>
      <c r="W81" s="563"/>
      <c r="X81" s="563">
        <f>IF(X60=$V$77,DCHT!D20,0)</f>
        <v>0</v>
      </c>
      <c r="Y81" s="563">
        <f>IF(Y60=$V$77,DCHT!E20,0)</f>
        <v>0.184198</v>
      </c>
      <c r="Z81" s="563">
        <f>IF(Z60=$V$77,DCHT!F20,0)</f>
        <v>0.215418</v>
      </c>
      <c r="AA81" s="563">
        <f>IF(AA60=$V$77,DCHT!G20,0)</f>
        <v>0.246638</v>
      </c>
      <c r="AB81" s="563">
        <f>IF(AB60=$V$77,DCHT!H20,0)</f>
        <v>0</v>
      </c>
      <c r="AC81" s="563">
        <f>IF(AC60=$V$77,DCHT!I20,0)</f>
        <v>0</v>
      </c>
      <c r="AD81" s="563">
        <f>IF(AD60=$V$77,DCHT!J20,0)</f>
        <v>0</v>
      </c>
      <c r="AE81" s="563">
        <f>IF(AE60=$V$77,DCHT!K20,0)</f>
        <v>0</v>
      </c>
      <c r="AF81" s="563">
        <f>IF(AF60=$V$77,DCHT!L20,0)</f>
        <v>0</v>
      </c>
      <c r="AG81" s="563">
        <f>IF(AG60=$V$77,DCHT!M20,0)</f>
        <v>0</v>
      </c>
      <c r="AH81" s="563">
        <f>IF(AH60=$V$77,DCHT!N20,0)</f>
        <v>0</v>
      </c>
      <c r="AI81" s="563">
        <f>IF(AI60=$V$77,DCHT!O20,0)</f>
        <v>0</v>
      </c>
      <c r="AJ81" s="563"/>
      <c r="AK81" s="577">
        <f>SUM(X81:AI81)</f>
        <v>0.646254</v>
      </c>
    </row>
    <row r="82" spans="8:37" ht="15.75" thickBot="1" x14ac:dyDescent="0.3">
      <c r="H82" s="572">
        <f>IF(C18=$H$65,F18,0)</f>
        <v>0</v>
      </c>
      <c r="I82" s="563">
        <f t="shared" si="19"/>
        <v>0</v>
      </c>
      <c r="J82" s="563">
        <f t="shared" si="20"/>
        <v>0</v>
      </c>
      <c r="K82" s="563">
        <f t="shared" si="21"/>
        <v>0</v>
      </c>
      <c r="L82" s="563">
        <f t="shared" si="22"/>
        <v>0</v>
      </c>
      <c r="M82" s="577">
        <f t="shared" si="23"/>
        <v>0</v>
      </c>
      <c r="S82" s="1038"/>
      <c r="T82" s="1038"/>
      <c r="V82" s="923"/>
      <c r="W82" s="563" t="str">
        <f t="shared" ref="W82:AI82" si="30">W72</f>
        <v>pha c</v>
      </c>
      <c r="X82" s="563">
        <f t="shared" si="30"/>
        <v>120</v>
      </c>
      <c r="Y82" s="563">
        <f t="shared" si="30"/>
        <v>120</v>
      </c>
      <c r="Z82" s="563">
        <f t="shared" si="30"/>
        <v>120</v>
      </c>
      <c r="AA82" s="563">
        <f t="shared" si="30"/>
        <v>120</v>
      </c>
      <c r="AB82" s="563">
        <f t="shared" si="30"/>
        <v>0</v>
      </c>
      <c r="AC82" s="563">
        <f t="shared" si="30"/>
        <v>0</v>
      </c>
      <c r="AD82" s="563">
        <f t="shared" si="30"/>
        <v>0</v>
      </c>
      <c r="AE82" s="563">
        <f t="shared" si="30"/>
        <v>0</v>
      </c>
      <c r="AF82" s="563">
        <f t="shared" si="30"/>
        <v>0</v>
      </c>
      <c r="AG82" s="563">
        <f t="shared" si="30"/>
        <v>0</v>
      </c>
      <c r="AH82" s="563">
        <f t="shared" si="30"/>
        <v>0</v>
      </c>
      <c r="AI82" s="563">
        <f t="shared" si="30"/>
        <v>0</v>
      </c>
      <c r="AJ82" s="563"/>
      <c r="AK82" s="577"/>
    </row>
    <row r="83" spans="8:37" ht="15.75" thickBot="1" x14ac:dyDescent="0.3">
      <c r="H83" s="585">
        <f t="shared" ref="H83:M83" si="31">SUM(H66:H82)</f>
        <v>0</v>
      </c>
      <c r="I83" s="586">
        <f t="shared" si="31"/>
        <v>0</v>
      </c>
      <c r="J83" s="586">
        <f t="shared" si="31"/>
        <v>0</v>
      </c>
      <c r="K83" s="586">
        <f t="shared" si="31"/>
        <v>12</v>
      </c>
      <c r="L83" s="586">
        <f t="shared" si="31"/>
        <v>0</v>
      </c>
      <c r="M83" s="587">
        <f t="shared" si="31"/>
        <v>0</v>
      </c>
      <c r="S83" s="1038"/>
      <c r="T83" s="1038"/>
      <c r="V83" s="923"/>
      <c r="W83" s="563"/>
      <c r="X83" s="563">
        <f>IF(X62=$V$77,DCHT!D27,0)</f>
        <v>0</v>
      </c>
      <c r="Y83" s="563">
        <f>IF(Y62=$V$77,DCHT!E27,0)</f>
        <v>0</v>
      </c>
      <c r="Z83" s="563">
        <f>IF(Z62=$V$77,DCHT!F27,0)</f>
        <v>0</v>
      </c>
      <c r="AA83" s="563">
        <f>IF(AA62=$V$77,DCHT!G27,0)</f>
        <v>0</v>
      </c>
      <c r="AB83" s="563">
        <f>IF(AB62=$V$77,DCHT!H27,0)</f>
        <v>0</v>
      </c>
      <c r="AC83" s="563">
        <f>IF(AC62=$V$77,DCHT!I27,0)</f>
        <v>0</v>
      </c>
      <c r="AD83" s="563">
        <f>IF(AD62=$V$77,DCHT!J27,0)</f>
        <v>0</v>
      </c>
      <c r="AE83" s="563">
        <f>IF(AE62=$V$77,DCHT!K27,0)</f>
        <v>0</v>
      </c>
      <c r="AF83" s="563">
        <f>IF(AF62=$V$77,DCHT!L27,0)</f>
        <v>0</v>
      </c>
      <c r="AG83" s="563">
        <f>IF(AG62=$V$77,DCHT!M27,0)</f>
        <v>0</v>
      </c>
      <c r="AH83" s="563">
        <f>IF(AH62=$V$77,DCHT!N27,0)</f>
        <v>0</v>
      </c>
      <c r="AI83" s="563">
        <f>IF(AI62=$V$77,DCHT!O27,0)</f>
        <v>0</v>
      </c>
      <c r="AJ83" s="563"/>
      <c r="AK83" s="577">
        <f>SUM(X83:AI83)</f>
        <v>0</v>
      </c>
    </row>
    <row r="84" spans="8:37" ht="15.75" thickBot="1" x14ac:dyDescent="0.3">
      <c r="V84" s="923"/>
      <c r="W84" s="563" t="str">
        <f t="shared" ref="W84:AI84" si="32">W74</f>
        <v>trung tính</v>
      </c>
      <c r="X84" s="563">
        <f t="shared" si="32"/>
        <v>120</v>
      </c>
      <c r="Y84" s="563">
        <f t="shared" si="32"/>
        <v>120</v>
      </c>
      <c r="Z84" s="563">
        <f t="shared" si="32"/>
        <v>95</v>
      </c>
      <c r="AA84" s="563">
        <f t="shared" si="32"/>
        <v>95</v>
      </c>
      <c r="AB84" s="563">
        <f t="shared" si="32"/>
        <v>0</v>
      </c>
      <c r="AC84" s="563">
        <f t="shared" si="32"/>
        <v>0</v>
      </c>
      <c r="AD84" s="563">
        <f t="shared" si="32"/>
        <v>0</v>
      </c>
      <c r="AE84" s="563">
        <f t="shared" si="32"/>
        <v>0</v>
      </c>
      <c r="AF84" s="563">
        <f t="shared" si="32"/>
        <v>0</v>
      </c>
      <c r="AG84" s="563">
        <f t="shared" si="32"/>
        <v>0</v>
      </c>
      <c r="AH84" s="563">
        <f t="shared" si="32"/>
        <v>0</v>
      </c>
      <c r="AI84" s="563">
        <f t="shared" si="32"/>
        <v>0</v>
      </c>
      <c r="AJ84" s="563"/>
      <c r="AK84" s="577"/>
    </row>
    <row r="85" spans="8:37" ht="15.75" thickBot="1" x14ac:dyDescent="0.3">
      <c r="H85" s="1547" t="s">
        <v>991</v>
      </c>
      <c r="I85" s="1548"/>
      <c r="J85" s="1548"/>
      <c r="K85" s="1548"/>
      <c r="L85" s="1548"/>
      <c r="M85" s="1549"/>
      <c r="V85" s="923"/>
      <c r="W85" s="563"/>
      <c r="X85" s="563">
        <f>IF(X64=$V$77,DCHT!D33,0)</f>
        <v>0</v>
      </c>
      <c r="Y85" s="563">
        <f>IF(Y64=$V$77,DCHT!E33,0)</f>
        <v>0</v>
      </c>
      <c r="Z85" s="563">
        <f>IF(Z64=$V$77,DCHT!F33,0)</f>
        <v>0</v>
      </c>
      <c r="AA85" s="563">
        <f>IF(AA64=$V$77,DCHT!G33,0)</f>
        <v>0</v>
      </c>
      <c r="AB85" s="563">
        <f>IF(AB64=$V$77,DCHT!H33,0)</f>
        <v>0</v>
      </c>
      <c r="AC85" s="563">
        <f>IF(AC64=$V$77,DCHT!I33,0)</f>
        <v>0</v>
      </c>
      <c r="AD85" s="563">
        <f>IF(AD64=$V$77,DCHT!J33,0)</f>
        <v>0</v>
      </c>
      <c r="AE85" s="563">
        <f>IF(AE64=$V$77,DCHT!K33,0)</f>
        <v>0</v>
      </c>
      <c r="AF85" s="563">
        <f>IF(AF64=$V$77,DCHT!L33,0)</f>
        <v>0</v>
      </c>
      <c r="AG85" s="563">
        <f>IF(AG64=$V$77,DCHT!M33,0)</f>
        <v>0</v>
      </c>
      <c r="AH85" s="563">
        <f>IF(AH64=$V$77,DCHT!N33,0)</f>
        <v>0</v>
      </c>
      <c r="AI85" s="563">
        <f>IF(AI64=$V$77,DCHT!O33,0)</f>
        <v>0</v>
      </c>
      <c r="AJ85" s="563"/>
      <c r="AK85" s="577">
        <f>SUM(X85:AI85)</f>
        <v>0</v>
      </c>
    </row>
    <row r="86" spans="8:37" ht="15.75" thickBot="1" x14ac:dyDescent="0.3">
      <c r="H86" s="585">
        <f t="shared" ref="H86:M86" si="33">H65</f>
        <v>6</v>
      </c>
      <c r="I86" s="586">
        <f t="shared" si="33"/>
        <v>8</v>
      </c>
      <c r="J86" s="586">
        <f t="shared" si="33"/>
        <v>10</v>
      </c>
      <c r="K86" s="586">
        <f t="shared" si="33"/>
        <v>12</v>
      </c>
      <c r="L86" s="586">
        <f t="shared" si="33"/>
        <v>14</v>
      </c>
      <c r="M86" s="587">
        <f t="shared" si="33"/>
        <v>16</v>
      </c>
      <c r="V86" s="924"/>
      <c r="W86" s="583"/>
      <c r="X86" s="583"/>
      <c r="Y86" s="583"/>
      <c r="Z86" s="583"/>
      <c r="AA86" s="583"/>
      <c r="AB86" s="583"/>
      <c r="AC86" s="583"/>
      <c r="AD86" s="583"/>
      <c r="AE86" s="583"/>
      <c r="AF86" s="583"/>
      <c r="AG86" s="583"/>
      <c r="AH86" s="583"/>
      <c r="AI86" s="583"/>
      <c r="AJ86" s="583"/>
      <c r="AK86" s="584">
        <f>SUM(AK79:AK85)</f>
        <v>0.646254</v>
      </c>
    </row>
    <row r="87" spans="8:37" x14ac:dyDescent="0.25">
      <c r="H87" s="572">
        <f>IF(C2=$H$86,G2,0)</f>
        <v>0</v>
      </c>
      <c r="I87" s="563">
        <f>IF(C2=$I$86,G2,0)</f>
        <v>0</v>
      </c>
      <c r="J87" s="563">
        <f>IF(C2=$J$86,G2,0)</f>
        <v>0</v>
      </c>
      <c r="K87" s="563">
        <f>IF(C2=$K$86,G2,0)</f>
        <v>2</v>
      </c>
      <c r="L87" s="563">
        <f>IF(C2=$L$86,G2,0)</f>
        <v>0</v>
      </c>
      <c r="M87" s="577">
        <f>IF(C2=$M$86,G2,0)</f>
        <v>0</v>
      </c>
      <c r="V87" s="922">
        <v>50</v>
      </c>
      <c r="W87" s="919"/>
      <c r="X87" s="919"/>
      <c r="Y87" s="919"/>
      <c r="Z87" s="919"/>
      <c r="AA87" s="919"/>
      <c r="AB87" s="919"/>
      <c r="AC87" s="919"/>
      <c r="AD87" s="919"/>
      <c r="AE87" s="919"/>
      <c r="AF87" s="919"/>
      <c r="AG87" s="919"/>
      <c r="AH87" s="919"/>
      <c r="AI87" s="919"/>
      <c r="AJ87" s="919"/>
      <c r="AK87" s="920"/>
    </row>
    <row r="88" spans="8:37" x14ac:dyDescent="0.25">
      <c r="H88" s="572">
        <f t="shared" ref="H88:H101" si="34">IF(C3=$H$86,G3,0)</f>
        <v>0</v>
      </c>
      <c r="I88" s="563">
        <f t="shared" ref="I88:I103" si="35">IF(C3=$I$86,G3,0)</f>
        <v>0</v>
      </c>
      <c r="J88" s="563">
        <f t="shared" ref="J88:J103" si="36">IF(C3=$J$86,G3,0)</f>
        <v>0</v>
      </c>
      <c r="K88" s="563">
        <f t="shared" ref="K88:K103" si="37">IF(C3=$K$86,G3,0)</f>
        <v>12</v>
      </c>
      <c r="L88" s="563">
        <f t="shared" ref="L88:L103" si="38">IF(C3=$L$86,G3,0)</f>
        <v>0</v>
      </c>
      <c r="M88" s="577">
        <f t="shared" ref="M88:M103" si="39">IF(C3=$M$86,G3,0)</f>
        <v>0</v>
      </c>
      <c r="V88" s="923"/>
      <c r="W88" s="563" t="str">
        <f t="shared" ref="W88:AI88" si="40">W78</f>
        <v>pha a</v>
      </c>
      <c r="X88" s="563">
        <f t="shared" si="40"/>
        <v>120</v>
      </c>
      <c r="Y88" s="563">
        <f t="shared" si="40"/>
        <v>120</v>
      </c>
      <c r="Z88" s="563">
        <f t="shared" si="40"/>
        <v>120</v>
      </c>
      <c r="AA88" s="563">
        <f t="shared" si="40"/>
        <v>120</v>
      </c>
      <c r="AB88" s="563">
        <f t="shared" si="40"/>
        <v>0</v>
      </c>
      <c r="AC88" s="563">
        <f t="shared" si="40"/>
        <v>0</v>
      </c>
      <c r="AD88" s="563">
        <f t="shared" si="40"/>
        <v>0</v>
      </c>
      <c r="AE88" s="563">
        <f t="shared" si="40"/>
        <v>0</v>
      </c>
      <c r="AF88" s="563">
        <f t="shared" si="40"/>
        <v>0</v>
      </c>
      <c r="AG88" s="563">
        <f t="shared" si="40"/>
        <v>0</v>
      </c>
      <c r="AH88" s="563">
        <f t="shared" si="40"/>
        <v>0</v>
      </c>
      <c r="AI88" s="563">
        <f t="shared" si="40"/>
        <v>0</v>
      </c>
      <c r="AJ88" s="563"/>
      <c r="AK88" s="577"/>
    </row>
    <row r="89" spans="8:37" x14ac:dyDescent="0.25">
      <c r="H89" s="572">
        <f t="shared" si="34"/>
        <v>0</v>
      </c>
      <c r="I89" s="563">
        <f t="shared" si="35"/>
        <v>0</v>
      </c>
      <c r="J89" s="563">
        <f t="shared" si="36"/>
        <v>0</v>
      </c>
      <c r="K89" s="563">
        <f t="shared" si="37"/>
        <v>0</v>
      </c>
      <c r="L89" s="563">
        <f t="shared" si="38"/>
        <v>0</v>
      </c>
      <c r="M89" s="577">
        <f t="shared" si="39"/>
        <v>0</v>
      </c>
      <c r="V89" s="923"/>
      <c r="W89" s="563"/>
      <c r="X89" s="563">
        <f>IF(X58=$V$87,DCHT!D14,0)</f>
        <v>0</v>
      </c>
      <c r="Y89" s="563">
        <f>IF(Y58=$V$87,DCHT!E14,0)</f>
        <v>0</v>
      </c>
      <c r="Z89" s="563">
        <f>IF(Z58=$V$87,DCHT!F14,0)</f>
        <v>0</v>
      </c>
      <c r="AA89" s="563">
        <f>IF(AA58=$V$87,DCHT!G14,0)</f>
        <v>0</v>
      </c>
      <c r="AB89" s="563">
        <f>IF(AB58=$V$87,DCHT!H14,0)</f>
        <v>0</v>
      </c>
      <c r="AC89" s="563">
        <f>IF(AC58=$V$87,DCHT!I14,0)</f>
        <v>0</v>
      </c>
      <c r="AD89" s="563">
        <f>IF(AD58=$V$87,DCHT!J14,0)</f>
        <v>0</v>
      </c>
      <c r="AE89" s="563">
        <f>IF(AE58=$V$87,DCHT!K14,0)</f>
        <v>0</v>
      </c>
      <c r="AF89" s="563">
        <f>IF(AF58=$V$87,DCHT!L14,0)</f>
        <v>0</v>
      </c>
      <c r="AG89" s="563">
        <f>IF(AG58=$V$87,DCHT!M14,0)</f>
        <v>0</v>
      </c>
      <c r="AH89" s="563">
        <f>IF(AH58=$V$87,DCHT!N14,0)</f>
        <v>0</v>
      </c>
      <c r="AI89" s="563">
        <f>IF(AI58=$V$87,DCHT!O14,0)</f>
        <v>0</v>
      </c>
      <c r="AJ89" s="563"/>
      <c r="AK89" s="577">
        <f>SUM(X89:AI89)</f>
        <v>0</v>
      </c>
    </row>
    <row r="90" spans="8:37" x14ac:dyDescent="0.25">
      <c r="H90" s="572">
        <f t="shared" si="34"/>
        <v>0</v>
      </c>
      <c r="I90" s="563">
        <f t="shared" si="35"/>
        <v>0</v>
      </c>
      <c r="J90" s="563">
        <f t="shared" si="36"/>
        <v>0</v>
      </c>
      <c r="K90" s="563">
        <f t="shared" si="37"/>
        <v>0</v>
      </c>
      <c r="L90" s="563">
        <f t="shared" si="38"/>
        <v>0</v>
      </c>
      <c r="M90" s="577">
        <f t="shared" si="39"/>
        <v>0</v>
      </c>
      <c r="V90" s="923"/>
      <c r="W90" s="563" t="str">
        <f t="shared" ref="W90:AI90" si="41">W80</f>
        <v>pha b</v>
      </c>
      <c r="X90" s="563">
        <f t="shared" si="41"/>
        <v>95</v>
      </c>
      <c r="Y90" s="563">
        <f t="shared" si="41"/>
        <v>70</v>
      </c>
      <c r="Z90" s="563">
        <f t="shared" si="41"/>
        <v>70</v>
      </c>
      <c r="AA90" s="563">
        <f t="shared" si="41"/>
        <v>70</v>
      </c>
      <c r="AB90" s="563">
        <f t="shared" si="41"/>
        <v>0</v>
      </c>
      <c r="AC90" s="563">
        <f t="shared" si="41"/>
        <v>0</v>
      </c>
      <c r="AD90" s="563">
        <f t="shared" si="41"/>
        <v>0</v>
      </c>
      <c r="AE90" s="563">
        <f t="shared" si="41"/>
        <v>0</v>
      </c>
      <c r="AF90" s="563">
        <f t="shared" si="41"/>
        <v>0</v>
      </c>
      <c r="AG90" s="563">
        <f t="shared" si="41"/>
        <v>0</v>
      </c>
      <c r="AH90" s="563">
        <f t="shared" si="41"/>
        <v>0</v>
      </c>
      <c r="AI90" s="563">
        <f t="shared" si="41"/>
        <v>0</v>
      </c>
      <c r="AJ90" s="563"/>
      <c r="AK90" s="577"/>
    </row>
    <row r="91" spans="8:37" x14ac:dyDescent="0.25">
      <c r="H91" s="572">
        <f t="shared" si="34"/>
        <v>0</v>
      </c>
      <c r="I91" s="563">
        <f t="shared" si="35"/>
        <v>0</v>
      </c>
      <c r="J91" s="563">
        <f t="shared" si="36"/>
        <v>0</v>
      </c>
      <c r="K91" s="563">
        <f t="shared" si="37"/>
        <v>0</v>
      </c>
      <c r="L91" s="563">
        <f t="shared" si="38"/>
        <v>0</v>
      </c>
      <c r="M91" s="577">
        <f t="shared" si="39"/>
        <v>0</v>
      </c>
      <c r="V91" s="923"/>
      <c r="W91" s="563"/>
      <c r="X91" s="563">
        <f>IF(X60=$V$87,DCHT!D20,0)</f>
        <v>0</v>
      </c>
      <c r="Y91" s="563">
        <f>IF(Y60=$V$87,DCHT!E20,0)</f>
        <v>0</v>
      </c>
      <c r="Z91" s="563">
        <f>IF(Z60=$V$87,DCHT!F20,0)</f>
        <v>0</v>
      </c>
      <c r="AA91" s="563">
        <f>IF(AA60=$V$87,DCHT!G20,0)</f>
        <v>0</v>
      </c>
      <c r="AB91" s="563">
        <f>IF(AB60=$V$87,DCHT!H20,0)</f>
        <v>0</v>
      </c>
      <c r="AC91" s="563">
        <f>IF(AC60=$V$87,DCHT!I20,0)</f>
        <v>0</v>
      </c>
      <c r="AD91" s="563">
        <f>IF(AD60=$V$87,DCHT!J20,0)</f>
        <v>0</v>
      </c>
      <c r="AE91" s="563">
        <f>IF(AE60=$V$87,DCHT!K20,0)</f>
        <v>0</v>
      </c>
      <c r="AF91" s="563">
        <f>IF(AF60=$V$87,DCHT!L20,0)</f>
        <v>0</v>
      </c>
      <c r="AG91" s="563">
        <f>IF(AG60=$V$87,DCHT!M20,0)</f>
        <v>0</v>
      </c>
      <c r="AH91" s="563">
        <f>IF(AH60=$V$87,DCHT!N20,0)</f>
        <v>0</v>
      </c>
      <c r="AI91" s="563">
        <f>IF(AI60=$V$87,DCHT!O20,0)</f>
        <v>0</v>
      </c>
      <c r="AJ91" s="563"/>
      <c r="AK91" s="577">
        <f>SUM(X91:AI91)</f>
        <v>0</v>
      </c>
    </row>
    <row r="92" spans="8:37" x14ac:dyDescent="0.25">
      <c r="H92" s="572">
        <f t="shared" si="34"/>
        <v>0</v>
      </c>
      <c r="I92" s="563">
        <f t="shared" si="35"/>
        <v>0</v>
      </c>
      <c r="J92" s="563">
        <f t="shared" si="36"/>
        <v>8</v>
      </c>
      <c r="K92" s="563">
        <f t="shared" si="37"/>
        <v>0</v>
      </c>
      <c r="L92" s="563">
        <f t="shared" si="38"/>
        <v>0</v>
      </c>
      <c r="M92" s="577">
        <f t="shared" si="39"/>
        <v>0</v>
      </c>
      <c r="V92" s="923"/>
      <c r="W92" s="563" t="str">
        <f t="shared" ref="W92:AI92" si="42">W82</f>
        <v>pha c</v>
      </c>
      <c r="X92" s="563">
        <f t="shared" si="42"/>
        <v>120</v>
      </c>
      <c r="Y92" s="563">
        <f t="shared" si="42"/>
        <v>120</v>
      </c>
      <c r="Z92" s="563">
        <f t="shared" si="42"/>
        <v>120</v>
      </c>
      <c r="AA92" s="563">
        <f t="shared" si="42"/>
        <v>120</v>
      </c>
      <c r="AB92" s="563">
        <f t="shared" si="42"/>
        <v>0</v>
      </c>
      <c r="AC92" s="563">
        <f t="shared" si="42"/>
        <v>0</v>
      </c>
      <c r="AD92" s="563">
        <f t="shared" si="42"/>
        <v>0</v>
      </c>
      <c r="AE92" s="563">
        <f t="shared" si="42"/>
        <v>0</v>
      </c>
      <c r="AF92" s="563">
        <f t="shared" si="42"/>
        <v>0</v>
      </c>
      <c r="AG92" s="563">
        <f t="shared" si="42"/>
        <v>0</v>
      </c>
      <c r="AH92" s="563">
        <f t="shared" si="42"/>
        <v>0</v>
      </c>
      <c r="AI92" s="563">
        <f t="shared" si="42"/>
        <v>0</v>
      </c>
      <c r="AJ92" s="563"/>
      <c r="AK92" s="577"/>
    </row>
    <row r="93" spans="8:37" x14ac:dyDescent="0.25">
      <c r="H93" s="572">
        <f t="shared" si="34"/>
        <v>0</v>
      </c>
      <c r="I93" s="563">
        <f t="shared" si="35"/>
        <v>0</v>
      </c>
      <c r="J93" s="563">
        <f t="shared" si="36"/>
        <v>52</v>
      </c>
      <c r="K93" s="563">
        <f t="shared" si="37"/>
        <v>0</v>
      </c>
      <c r="L93" s="563">
        <f t="shared" si="38"/>
        <v>0</v>
      </c>
      <c r="M93" s="577">
        <f t="shared" si="39"/>
        <v>0</v>
      </c>
      <c r="V93" s="923"/>
      <c r="W93" s="563"/>
      <c r="X93" s="563">
        <f>IF(X62=$V$87,DCHT!D27,0)</f>
        <v>0</v>
      </c>
      <c r="Y93" s="563">
        <f>IF(Y62=$V$87,DCHT!E27,0)</f>
        <v>0</v>
      </c>
      <c r="Z93" s="563">
        <f>IF(Z62=$V$87,DCHT!F27,0)</f>
        <v>0</v>
      </c>
      <c r="AA93" s="563">
        <f>IF(AA62=$V$87,DCHT!G27,0)</f>
        <v>0</v>
      </c>
      <c r="AB93" s="563">
        <f>IF(AB62=$V$87,DCHT!H27,0)</f>
        <v>0</v>
      </c>
      <c r="AC93" s="563">
        <f>IF(AC62=$V$87,DCHT!I27,0)</f>
        <v>0</v>
      </c>
      <c r="AD93" s="563">
        <f>IF(AD62=$V$87,DCHT!J27,0)</f>
        <v>0</v>
      </c>
      <c r="AE93" s="563">
        <f>IF(AE62=$V$87,DCHT!K27,0)</f>
        <v>0</v>
      </c>
      <c r="AF93" s="563">
        <f>IF(AF62=$V$87,DCHT!L27,0)</f>
        <v>0</v>
      </c>
      <c r="AG93" s="563">
        <f>IF(AG62=$V$87,DCHT!M27,0)</f>
        <v>0</v>
      </c>
      <c r="AH93" s="563">
        <f>IF(AH62=$V$87,DCHT!N27,0)</f>
        <v>0</v>
      </c>
      <c r="AI93" s="563">
        <f>IF(AI62=$V$87,DCHT!O27,0)</f>
        <v>0</v>
      </c>
      <c r="AJ93" s="563"/>
      <c r="AK93" s="577">
        <f>SUM(X93:AI93)</f>
        <v>0</v>
      </c>
    </row>
    <row r="94" spans="8:37" x14ac:dyDescent="0.25">
      <c r="H94" s="572">
        <f t="shared" si="34"/>
        <v>0</v>
      </c>
      <c r="I94" s="563">
        <f t="shared" si="35"/>
        <v>0</v>
      </c>
      <c r="J94" s="563">
        <f t="shared" si="36"/>
        <v>2</v>
      </c>
      <c r="K94" s="563">
        <f t="shared" si="37"/>
        <v>0</v>
      </c>
      <c r="L94" s="563">
        <f t="shared" si="38"/>
        <v>0</v>
      </c>
      <c r="M94" s="577">
        <f t="shared" si="39"/>
        <v>0</v>
      </c>
      <c r="V94" s="923"/>
      <c r="W94" s="563" t="str">
        <f t="shared" ref="W94:AI94" si="43">W84</f>
        <v>trung tính</v>
      </c>
      <c r="X94" s="563">
        <f t="shared" si="43"/>
        <v>120</v>
      </c>
      <c r="Y94" s="563">
        <f t="shared" si="43"/>
        <v>120</v>
      </c>
      <c r="Z94" s="563">
        <f t="shared" si="43"/>
        <v>95</v>
      </c>
      <c r="AA94" s="563">
        <f t="shared" si="43"/>
        <v>95</v>
      </c>
      <c r="AB94" s="563">
        <f t="shared" si="43"/>
        <v>0</v>
      </c>
      <c r="AC94" s="563">
        <f t="shared" si="43"/>
        <v>0</v>
      </c>
      <c r="AD94" s="563">
        <f t="shared" si="43"/>
        <v>0</v>
      </c>
      <c r="AE94" s="563">
        <f t="shared" si="43"/>
        <v>0</v>
      </c>
      <c r="AF94" s="563">
        <f t="shared" si="43"/>
        <v>0</v>
      </c>
      <c r="AG94" s="563">
        <f t="shared" si="43"/>
        <v>0</v>
      </c>
      <c r="AH94" s="563">
        <f t="shared" si="43"/>
        <v>0</v>
      </c>
      <c r="AI94" s="563">
        <f t="shared" si="43"/>
        <v>0</v>
      </c>
      <c r="AJ94" s="563"/>
      <c r="AK94" s="577"/>
    </row>
    <row r="95" spans="8:37" x14ac:dyDescent="0.25">
      <c r="H95" s="572">
        <f t="shared" si="34"/>
        <v>0</v>
      </c>
      <c r="I95" s="563">
        <f t="shared" si="35"/>
        <v>0</v>
      </c>
      <c r="J95" s="563">
        <f t="shared" si="36"/>
        <v>0</v>
      </c>
      <c r="K95" s="563">
        <f t="shared" si="37"/>
        <v>0</v>
      </c>
      <c r="L95" s="563">
        <f t="shared" si="38"/>
        <v>4</v>
      </c>
      <c r="M95" s="577">
        <f t="shared" si="39"/>
        <v>0</v>
      </c>
      <c r="V95" s="923"/>
      <c r="W95" s="563"/>
      <c r="X95" s="563">
        <f>IF(X64=$V$87,DCHT!D33,0)</f>
        <v>0</v>
      </c>
      <c r="Y95" s="563">
        <f>IF(Y64=$V$87,DCHT!E33,0)</f>
        <v>0</v>
      </c>
      <c r="Z95" s="563">
        <f>IF(Z64=$V$87,DCHT!F33,0)</f>
        <v>0</v>
      </c>
      <c r="AA95" s="563">
        <f>IF(AA64=$V$87,DCHT!G33,0)</f>
        <v>0</v>
      </c>
      <c r="AB95" s="563">
        <f>IF(AB64=$V$87,DCHT!H33,0)</f>
        <v>0</v>
      </c>
      <c r="AC95" s="563">
        <f>IF(AC64=$V$87,DCHT!I33,0)</f>
        <v>0</v>
      </c>
      <c r="AD95" s="563">
        <f>IF(AD64=$V$87,DCHT!J33,0)</f>
        <v>0</v>
      </c>
      <c r="AE95" s="563">
        <f>IF(AE64=$V$87,DCHT!K33,0)</f>
        <v>0</v>
      </c>
      <c r="AF95" s="563">
        <f>IF(AF64=$V$87,DCHT!L33,0)</f>
        <v>0</v>
      </c>
      <c r="AG95" s="563">
        <f>IF(AG64=$V$87,DCHT!M33,0)</f>
        <v>0</v>
      </c>
      <c r="AH95" s="563">
        <f>IF(AH64=$V$87,DCHT!N33,0)</f>
        <v>0</v>
      </c>
      <c r="AI95" s="563">
        <f>IF(AI64=$V$87,DCHT!O33,0)</f>
        <v>0</v>
      </c>
      <c r="AJ95" s="563"/>
      <c r="AK95" s="577">
        <f>SUM(X95:AI95)</f>
        <v>0</v>
      </c>
    </row>
    <row r="96" spans="8:37" ht="15.75" thickBot="1" x14ac:dyDescent="0.3">
      <c r="H96" s="572">
        <f t="shared" si="34"/>
        <v>0</v>
      </c>
      <c r="I96" s="563">
        <f t="shared" si="35"/>
        <v>0</v>
      </c>
      <c r="J96" s="563">
        <f t="shared" si="36"/>
        <v>0</v>
      </c>
      <c r="K96" s="563">
        <f t="shared" si="37"/>
        <v>0</v>
      </c>
      <c r="L96" s="563">
        <f t="shared" si="38"/>
        <v>0</v>
      </c>
      <c r="M96" s="577">
        <f t="shared" si="39"/>
        <v>0</v>
      </c>
      <c r="V96" s="924"/>
      <c r="W96" s="583"/>
      <c r="X96" s="583"/>
      <c r="Y96" s="583"/>
      <c r="Z96" s="583"/>
      <c r="AA96" s="583"/>
      <c r="AB96" s="583"/>
      <c r="AC96" s="583"/>
      <c r="AD96" s="583"/>
      <c r="AE96" s="583"/>
      <c r="AF96" s="583"/>
      <c r="AG96" s="583"/>
      <c r="AH96" s="583"/>
      <c r="AI96" s="583"/>
      <c r="AJ96" s="583"/>
      <c r="AK96" s="584">
        <f>SUM(AK89:AK95)</f>
        <v>0</v>
      </c>
    </row>
    <row r="97" spans="8:40" x14ac:dyDescent="0.25">
      <c r="H97" s="572">
        <f t="shared" si="34"/>
        <v>0</v>
      </c>
      <c r="I97" s="563">
        <f t="shared" si="35"/>
        <v>0</v>
      </c>
      <c r="J97" s="563">
        <f t="shared" si="36"/>
        <v>0</v>
      </c>
      <c r="K97" s="563">
        <f t="shared" si="37"/>
        <v>0</v>
      </c>
      <c r="L97" s="563">
        <f t="shared" si="38"/>
        <v>0</v>
      </c>
      <c r="M97" s="577">
        <f t="shared" si="39"/>
        <v>0</v>
      </c>
      <c r="V97" s="922">
        <v>35</v>
      </c>
      <c r="W97" s="919"/>
      <c r="X97" s="919"/>
      <c r="Y97" s="919"/>
      <c r="Z97" s="919"/>
      <c r="AA97" s="919"/>
      <c r="AB97" s="919"/>
      <c r="AC97" s="919"/>
      <c r="AD97" s="919"/>
      <c r="AE97" s="919"/>
      <c r="AF97" s="919"/>
      <c r="AG97" s="919"/>
      <c r="AH97" s="919"/>
      <c r="AI97" s="919"/>
      <c r="AJ97" s="919"/>
      <c r="AK97" s="920"/>
    </row>
    <row r="98" spans="8:40" x14ac:dyDescent="0.25">
      <c r="H98" s="572">
        <f t="shared" si="34"/>
        <v>0</v>
      </c>
      <c r="I98" s="563">
        <f t="shared" si="35"/>
        <v>0</v>
      </c>
      <c r="J98" s="563">
        <f t="shared" si="36"/>
        <v>0</v>
      </c>
      <c r="K98" s="563">
        <f t="shared" si="37"/>
        <v>0</v>
      </c>
      <c r="L98" s="563">
        <f t="shared" si="38"/>
        <v>0</v>
      </c>
      <c r="M98" s="577">
        <f t="shared" si="39"/>
        <v>0</v>
      </c>
      <c r="V98" s="923"/>
      <c r="W98" s="563" t="str">
        <f t="shared" ref="W98:AI98" si="44">W88</f>
        <v>pha a</v>
      </c>
      <c r="X98" s="563">
        <f t="shared" si="44"/>
        <v>120</v>
      </c>
      <c r="Y98" s="563">
        <f t="shared" si="44"/>
        <v>120</v>
      </c>
      <c r="Z98" s="563">
        <f t="shared" si="44"/>
        <v>120</v>
      </c>
      <c r="AA98" s="563">
        <f t="shared" si="44"/>
        <v>120</v>
      </c>
      <c r="AB98" s="563">
        <f t="shared" si="44"/>
        <v>0</v>
      </c>
      <c r="AC98" s="563">
        <f t="shared" si="44"/>
        <v>0</v>
      </c>
      <c r="AD98" s="563">
        <f t="shared" si="44"/>
        <v>0</v>
      </c>
      <c r="AE98" s="563">
        <f t="shared" si="44"/>
        <v>0</v>
      </c>
      <c r="AF98" s="563">
        <f t="shared" si="44"/>
        <v>0</v>
      </c>
      <c r="AG98" s="563">
        <f t="shared" si="44"/>
        <v>0</v>
      </c>
      <c r="AH98" s="563">
        <f t="shared" si="44"/>
        <v>0</v>
      </c>
      <c r="AI98" s="563">
        <f t="shared" si="44"/>
        <v>0</v>
      </c>
      <c r="AJ98" s="563"/>
      <c r="AK98" s="577"/>
    </row>
    <row r="99" spans="8:40" x14ac:dyDescent="0.25">
      <c r="H99" s="572">
        <f t="shared" si="34"/>
        <v>0</v>
      </c>
      <c r="I99" s="563">
        <f t="shared" si="35"/>
        <v>0</v>
      </c>
      <c r="J99" s="563">
        <f t="shared" si="36"/>
        <v>0</v>
      </c>
      <c r="K99" s="563">
        <f t="shared" si="37"/>
        <v>8</v>
      </c>
      <c r="L99" s="563">
        <f t="shared" si="38"/>
        <v>0</v>
      </c>
      <c r="M99" s="577">
        <f t="shared" si="39"/>
        <v>0</v>
      </c>
      <c r="V99" s="923"/>
      <c r="W99" s="563"/>
      <c r="X99" s="563">
        <f>IF(X58=$V$97,DCHT!D14,0)</f>
        <v>0</v>
      </c>
      <c r="Y99" s="563">
        <f>IF(Y58=$V$97,DCHT!E14,0)</f>
        <v>0</v>
      </c>
      <c r="Z99" s="563">
        <f>IF(Z58=$V$97,DCHT!F14,0)</f>
        <v>0</v>
      </c>
      <c r="AA99" s="563">
        <f>IF(AA58=$V$97,DCHT!G14,0)</f>
        <v>0</v>
      </c>
      <c r="AB99" s="563">
        <f>IF(AB58=$V$97,DCHT!H14,0)</f>
        <v>0</v>
      </c>
      <c r="AC99" s="563">
        <f>IF(AC58=$V$97,DCHT!I14,0)</f>
        <v>0</v>
      </c>
      <c r="AD99" s="563">
        <f>IF(AD58=$V$97,DCHT!J14,0)</f>
        <v>0</v>
      </c>
      <c r="AE99" s="563">
        <f>IF(AE58=$V$97,DCHT!K14,0)</f>
        <v>0</v>
      </c>
      <c r="AF99" s="563">
        <f>IF(AF58=$V$97,DCHT!L14,0)</f>
        <v>0</v>
      </c>
      <c r="AG99" s="563">
        <f>IF(AG58=$V$97,DCHT!M14,0)</f>
        <v>0</v>
      </c>
      <c r="AH99" s="563">
        <f>IF(AH58=$V$97,DCHT!N14,0)</f>
        <v>0</v>
      </c>
      <c r="AI99" s="563">
        <f>IF(AI58=$V$97,DCHT!O14,0)</f>
        <v>0</v>
      </c>
      <c r="AJ99" s="563"/>
      <c r="AK99" s="577">
        <f>SUM(X99:AI99)</f>
        <v>0</v>
      </c>
    </row>
    <row r="100" spans="8:40" x14ac:dyDescent="0.25">
      <c r="H100" s="572">
        <f t="shared" si="34"/>
        <v>0</v>
      </c>
      <c r="I100" s="563">
        <f t="shared" si="35"/>
        <v>0</v>
      </c>
      <c r="J100" s="563">
        <f t="shared" si="36"/>
        <v>0</v>
      </c>
      <c r="K100" s="563">
        <f t="shared" si="37"/>
        <v>16</v>
      </c>
      <c r="L100" s="563">
        <f t="shared" si="38"/>
        <v>0</v>
      </c>
      <c r="M100" s="577">
        <f t="shared" si="39"/>
        <v>0</v>
      </c>
      <c r="V100" s="923"/>
      <c r="W100" s="563" t="str">
        <f t="shared" ref="W100:AI100" si="45">W90</f>
        <v>pha b</v>
      </c>
      <c r="X100" s="563">
        <f t="shared" si="45"/>
        <v>95</v>
      </c>
      <c r="Y100" s="563">
        <f t="shared" si="45"/>
        <v>70</v>
      </c>
      <c r="Z100" s="563">
        <f t="shared" si="45"/>
        <v>70</v>
      </c>
      <c r="AA100" s="563">
        <f t="shared" si="45"/>
        <v>70</v>
      </c>
      <c r="AB100" s="563">
        <f t="shared" si="45"/>
        <v>0</v>
      </c>
      <c r="AC100" s="563">
        <f t="shared" si="45"/>
        <v>0</v>
      </c>
      <c r="AD100" s="563">
        <f t="shared" si="45"/>
        <v>0</v>
      </c>
      <c r="AE100" s="563">
        <f t="shared" si="45"/>
        <v>0</v>
      </c>
      <c r="AF100" s="563">
        <f t="shared" si="45"/>
        <v>0</v>
      </c>
      <c r="AG100" s="563">
        <f t="shared" si="45"/>
        <v>0</v>
      </c>
      <c r="AH100" s="563">
        <f t="shared" si="45"/>
        <v>0</v>
      </c>
      <c r="AI100" s="563">
        <f t="shared" si="45"/>
        <v>0</v>
      </c>
      <c r="AJ100" s="563"/>
      <c r="AK100" s="577"/>
    </row>
    <row r="101" spans="8:40" x14ac:dyDescent="0.25">
      <c r="H101" s="572">
        <f t="shared" si="34"/>
        <v>0</v>
      </c>
      <c r="I101" s="563">
        <f t="shared" si="35"/>
        <v>0</v>
      </c>
      <c r="J101" s="563">
        <f t="shared" si="36"/>
        <v>1</v>
      </c>
      <c r="K101" s="563">
        <f t="shared" si="37"/>
        <v>0</v>
      </c>
      <c r="L101" s="563">
        <f t="shared" si="38"/>
        <v>0</v>
      </c>
      <c r="M101" s="577">
        <f t="shared" si="39"/>
        <v>0</v>
      </c>
      <c r="V101" s="923"/>
      <c r="W101" s="563"/>
      <c r="X101" s="563">
        <f>IF(X60=$V$97,DCHT!D20,0)</f>
        <v>0</v>
      </c>
      <c r="Y101" s="563">
        <f>IF(Y60=$V$97,DCHT!E20,0)</f>
        <v>0</v>
      </c>
      <c r="Z101" s="563">
        <f>IF(Z60=$V$97,DCHT!F20,0)</f>
        <v>0</v>
      </c>
      <c r="AA101" s="563">
        <f>IF(AA60=$V$97,DCHT!G20,0)</f>
        <v>0</v>
      </c>
      <c r="AB101" s="563">
        <f>IF(AB60=$V$97,DCHT!H20,0)</f>
        <v>0</v>
      </c>
      <c r="AC101" s="563">
        <f>IF(AC60=$V$97,DCHT!I20,0)</f>
        <v>0</v>
      </c>
      <c r="AD101" s="563">
        <f>IF(AD60=$V$97,DCHT!J20,0)</f>
        <v>0</v>
      </c>
      <c r="AE101" s="563">
        <f>IF(AE60=$V$97,DCHT!K20,0)</f>
        <v>0</v>
      </c>
      <c r="AF101" s="563">
        <f>IF(AF60=$V$97,DCHT!L20,0)</f>
        <v>0</v>
      </c>
      <c r="AG101" s="563">
        <f>IF(AG60=$V$97,DCHT!M20,0)</f>
        <v>0</v>
      </c>
      <c r="AH101" s="563">
        <f>IF(AH60=$V$97,DCHT!N20,0)</f>
        <v>0</v>
      </c>
      <c r="AI101" s="563">
        <f>IF(AI60=$V$97,DCHT!O20,0)</f>
        <v>0</v>
      </c>
      <c r="AJ101" s="563"/>
      <c r="AK101" s="577">
        <f>SUM(X101:AI101)</f>
        <v>0</v>
      </c>
    </row>
    <row r="102" spans="8:40" x14ac:dyDescent="0.25">
      <c r="H102" s="572">
        <f>IF(C17=$H$86,G17,0)</f>
        <v>0</v>
      </c>
      <c r="I102" s="563">
        <f t="shared" si="35"/>
        <v>0</v>
      </c>
      <c r="J102" s="563">
        <f t="shared" si="36"/>
        <v>0</v>
      </c>
      <c r="K102" s="563">
        <f t="shared" si="37"/>
        <v>4</v>
      </c>
      <c r="L102" s="563">
        <f t="shared" si="38"/>
        <v>0</v>
      </c>
      <c r="M102" s="577">
        <f t="shared" si="39"/>
        <v>0</v>
      </c>
      <c r="V102" s="923"/>
      <c r="W102" s="563" t="str">
        <f t="shared" ref="W102:AI102" si="46">W92</f>
        <v>pha c</v>
      </c>
      <c r="X102" s="563">
        <f t="shared" si="46"/>
        <v>120</v>
      </c>
      <c r="Y102" s="563">
        <f t="shared" si="46"/>
        <v>120</v>
      </c>
      <c r="Z102" s="563">
        <f t="shared" si="46"/>
        <v>120</v>
      </c>
      <c r="AA102" s="563">
        <f t="shared" si="46"/>
        <v>120</v>
      </c>
      <c r="AB102" s="563">
        <f t="shared" si="46"/>
        <v>0</v>
      </c>
      <c r="AC102" s="563">
        <f t="shared" si="46"/>
        <v>0</v>
      </c>
      <c r="AD102" s="563">
        <f t="shared" si="46"/>
        <v>0</v>
      </c>
      <c r="AE102" s="563">
        <f t="shared" si="46"/>
        <v>0</v>
      </c>
      <c r="AF102" s="563">
        <f t="shared" si="46"/>
        <v>0</v>
      </c>
      <c r="AG102" s="563">
        <f t="shared" si="46"/>
        <v>0</v>
      </c>
      <c r="AH102" s="563">
        <f t="shared" si="46"/>
        <v>0</v>
      </c>
      <c r="AI102" s="563">
        <f t="shared" si="46"/>
        <v>0</v>
      </c>
      <c r="AJ102" s="563"/>
      <c r="AK102" s="577"/>
    </row>
    <row r="103" spans="8:40" ht="15.75" thickBot="1" x14ac:dyDescent="0.3">
      <c r="H103" s="578">
        <f>IF(C18=$H$86,G18,0)</f>
        <v>0</v>
      </c>
      <c r="I103" s="583">
        <f t="shared" si="35"/>
        <v>0</v>
      </c>
      <c r="J103" s="583">
        <f t="shared" si="36"/>
        <v>0</v>
      </c>
      <c r="K103" s="583">
        <f t="shared" si="37"/>
        <v>0</v>
      </c>
      <c r="L103" s="583">
        <f t="shared" si="38"/>
        <v>0</v>
      </c>
      <c r="M103" s="584">
        <f t="shared" si="39"/>
        <v>0</v>
      </c>
      <c r="V103" s="923"/>
      <c r="W103" s="563"/>
      <c r="X103" s="563">
        <f>IF(X62=$V$97,DCHT!D27,0)</f>
        <v>0</v>
      </c>
      <c r="Y103" s="563">
        <f>IF(Y62=$V$97,DCHT!E27,0)</f>
        <v>0</v>
      </c>
      <c r="Z103" s="563">
        <f>IF(Z62=$V$97,DCHT!F27,0)</f>
        <v>0</v>
      </c>
      <c r="AA103" s="563">
        <f>IF(AA62=$V$97,DCHT!G27,0)</f>
        <v>0</v>
      </c>
      <c r="AB103" s="563">
        <f>IF(AB62=$V$97,DCHT!H27,0)</f>
        <v>0</v>
      </c>
      <c r="AC103" s="563">
        <f>IF(AC62=$V$97,DCHT!I27,0)</f>
        <v>0</v>
      </c>
      <c r="AD103" s="563">
        <f>IF(AD62=$V$97,DCHT!J27,0)</f>
        <v>0</v>
      </c>
      <c r="AE103" s="563">
        <f>IF(AE62=$V$97,DCHT!K27,0)</f>
        <v>0</v>
      </c>
      <c r="AF103" s="563">
        <f>IF(AF62=$V$97,DCHT!L27,0)</f>
        <v>0</v>
      </c>
      <c r="AG103" s="563">
        <f>IF(AG62=$V$97,DCHT!M27,0)</f>
        <v>0</v>
      </c>
      <c r="AH103" s="563">
        <f>IF(AH62=$V$97,DCHT!N27,0)</f>
        <v>0</v>
      </c>
      <c r="AI103" s="563">
        <f>IF(AI62=$V$97,DCHT!O27,0)</f>
        <v>0</v>
      </c>
      <c r="AJ103" s="563"/>
      <c r="AK103" s="577">
        <f>SUM(X103:AI103)</f>
        <v>0</v>
      </c>
    </row>
    <row r="104" spans="8:40" ht="15.75" thickBot="1" x14ac:dyDescent="0.3">
      <c r="H104" s="585">
        <f t="shared" ref="H104:M104" si="47">SUM(H87:H103)</f>
        <v>0</v>
      </c>
      <c r="I104" s="585">
        <f t="shared" si="47"/>
        <v>0</v>
      </c>
      <c r="J104" s="585">
        <f t="shared" si="47"/>
        <v>63</v>
      </c>
      <c r="K104" s="585">
        <f t="shared" si="47"/>
        <v>42</v>
      </c>
      <c r="L104" s="585">
        <f t="shared" si="47"/>
        <v>4</v>
      </c>
      <c r="M104" s="591">
        <f t="shared" si="47"/>
        <v>0</v>
      </c>
      <c r="V104" s="923"/>
      <c r="W104" s="563" t="str">
        <f t="shared" ref="W104:AI104" si="48">W94</f>
        <v>trung tính</v>
      </c>
      <c r="X104" s="563">
        <f t="shared" si="48"/>
        <v>120</v>
      </c>
      <c r="Y104" s="563">
        <f t="shared" si="48"/>
        <v>120</v>
      </c>
      <c r="Z104" s="563">
        <f t="shared" si="48"/>
        <v>95</v>
      </c>
      <c r="AA104" s="563">
        <f t="shared" si="48"/>
        <v>95</v>
      </c>
      <c r="AB104" s="563">
        <f t="shared" si="48"/>
        <v>0</v>
      </c>
      <c r="AC104" s="563">
        <f t="shared" si="48"/>
        <v>0</v>
      </c>
      <c r="AD104" s="563">
        <f t="shared" si="48"/>
        <v>0</v>
      </c>
      <c r="AE104" s="563">
        <f t="shared" si="48"/>
        <v>0</v>
      </c>
      <c r="AF104" s="563">
        <f t="shared" si="48"/>
        <v>0</v>
      </c>
      <c r="AG104" s="563">
        <f t="shared" si="48"/>
        <v>0</v>
      </c>
      <c r="AH104" s="563">
        <f t="shared" si="48"/>
        <v>0</v>
      </c>
      <c r="AI104" s="563">
        <f t="shared" si="48"/>
        <v>0</v>
      </c>
      <c r="AJ104" s="563"/>
      <c r="AK104" s="577"/>
    </row>
    <row r="105" spans="8:40" x14ac:dyDescent="0.25">
      <c r="V105" s="923"/>
      <c r="W105" s="563"/>
      <c r="X105" s="563">
        <f>IF(X64=$V$97,DCHT!D33,0)</f>
        <v>0</v>
      </c>
      <c r="Y105" s="563">
        <f>IF(Y64=$V$97,DCHT!E33,0)</f>
        <v>0</v>
      </c>
      <c r="Z105" s="563">
        <f>IF(Z64=$V$97,DCHT!F33,0)</f>
        <v>0</v>
      </c>
      <c r="AA105" s="563">
        <f>IF(AA64=$V$97,DCHT!G33,0)</f>
        <v>0</v>
      </c>
      <c r="AB105" s="563">
        <f>IF(AB64=$V$97,DCHT!H33,0)</f>
        <v>0</v>
      </c>
      <c r="AC105" s="563">
        <f>IF(AC64=$V$97,DCHT!I33,0)</f>
        <v>0</v>
      </c>
      <c r="AD105" s="563">
        <f>IF(AD64=$V$97,DCHT!J33,0)</f>
        <v>0</v>
      </c>
      <c r="AE105" s="563">
        <f>IF(AE64=$V$97,DCHT!K33,0)</f>
        <v>0</v>
      </c>
      <c r="AF105" s="563">
        <f>IF(AF64=$V$97,DCHT!L33,0)</f>
        <v>0</v>
      </c>
      <c r="AG105" s="563">
        <f>IF(AG64=$V$97,DCHT!M33,0)</f>
        <v>0</v>
      </c>
      <c r="AH105" s="563">
        <f>IF(AH64=$V$97,DCHT!N33,0)</f>
        <v>0</v>
      </c>
      <c r="AI105" s="563">
        <f>IF(AI64=$V$97,DCHT!O33,0)</f>
        <v>0</v>
      </c>
      <c r="AJ105" s="563"/>
      <c r="AK105" s="577">
        <f>SUM(X105:AI105)</f>
        <v>0</v>
      </c>
    </row>
    <row r="106" spans="8:40" ht="15.75" thickBot="1" x14ac:dyDescent="0.3">
      <c r="V106" s="924"/>
      <c r="W106" s="583"/>
      <c r="X106" s="583"/>
      <c r="Y106" s="583"/>
      <c r="Z106" s="583"/>
      <c r="AA106" s="583"/>
      <c r="AB106" s="583"/>
      <c r="AC106" s="583"/>
      <c r="AD106" s="583"/>
      <c r="AE106" s="583"/>
      <c r="AF106" s="583"/>
      <c r="AG106" s="583"/>
      <c r="AH106" s="583"/>
      <c r="AI106" s="583"/>
      <c r="AJ106" s="583"/>
      <c r="AK106" s="584">
        <f>SUM(AK99:AK105)</f>
        <v>0</v>
      </c>
    </row>
    <row r="108" spans="8:40" x14ac:dyDescent="0.25">
      <c r="V108" s="1038"/>
      <c r="W108" s="1038"/>
      <c r="X108" s="1038"/>
      <c r="Y108" s="1038"/>
      <c r="Z108" s="1038"/>
      <c r="AA108" s="1038"/>
      <c r="AB108" s="1038"/>
      <c r="AC108" s="1038"/>
      <c r="AD108" s="1038"/>
      <c r="AE108" s="1038"/>
      <c r="AF108" s="1038"/>
      <c r="AG108" s="1038"/>
      <c r="AH108" s="1038"/>
      <c r="AI108" s="1038"/>
      <c r="AJ108" s="1038"/>
      <c r="AK108" s="1038"/>
      <c r="AL108" s="1038"/>
      <c r="AM108" s="1038"/>
      <c r="AN108" s="1038"/>
    </row>
    <row r="109" spans="8:40" x14ac:dyDescent="0.25">
      <c r="V109" s="1038"/>
      <c r="W109" s="1038"/>
      <c r="X109" s="1038"/>
      <c r="Y109" s="1038"/>
      <c r="Z109" s="1038"/>
      <c r="AA109" s="1038"/>
      <c r="AB109" s="1038"/>
      <c r="AC109" s="1038"/>
      <c r="AD109" s="1038"/>
      <c r="AE109" s="1038"/>
      <c r="AF109" s="1038"/>
      <c r="AG109" s="1038"/>
      <c r="AH109" s="1038"/>
      <c r="AI109" s="1038"/>
      <c r="AJ109" s="1038"/>
      <c r="AK109" s="1038"/>
      <c r="AL109" s="1038"/>
      <c r="AM109" s="1038"/>
      <c r="AN109" s="1038"/>
    </row>
    <row r="110" spans="8:40" x14ac:dyDescent="0.25">
      <c r="V110" s="1038"/>
      <c r="W110" s="1038"/>
      <c r="X110" s="1038"/>
      <c r="Y110" s="1038"/>
      <c r="Z110" s="1038"/>
      <c r="AA110" s="1038"/>
      <c r="AB110" s="1038"/>
      <c r="AC110" s="1038"/>
      <c r="AD110" s="1038"/>
      <c r="AE110" s="1038"/>
      <c r="AF110" s="1038"/>
      <c r="AG110" s="1038"/>
      <c r="AH110" s="1038"/>
      <c r="AI110" s="1038"/>
      <c r="AJ110" s="1038"/>
      <c r="AK110" s="1038"/>
      <c r="AL110" s="1038"/>
      <c r="AM110" s="1038"/>
      <c r="AN110" s="1038"/>
    </row>
    <row r="111" spans="8:40" x14ac:dyDescent="0.25">
      <c r="V111" s="1038"/>
      <c r="W111" s="1038"/>
      <c r="X111" s="1038"/>
      <c r="Y111" s="1038"/>
      <c r="Z111" s="1038"/>
      <c r="AA111" s="1038"/>
      <c r="AB111" s="1038"/>
      <c r="AC111" s="1038"/>
      <c r="AD111" s="1038"/>
      <c r="AE111" s="1038"/>
      <c r="AF111" s="1038"/>
      <c r="AG111" s="1038"/>
      <c r="AH111" s="1038"/>
      <c r="AI111" s="1038"/>
      <c r="AJ111" s="1038"/>
      <c r="AK111" s="1038"/>
      <c r="AL111" s="1038"/>
      <c r="AM111" s="1038"/>
      <c r="AN111" s="1038"/>
    </row>
    <row r="112" spans="8:40" x14ac:dyDescent="0.25">
      <c r="V112" s="1038"/>
      <c r="W112" s="1038"/>
      <c r="X112" s="1038"/>
      <c r="Y112" s="1038"/>
      <c r="Z112" s="1038"/>
      <c r="AA112" s="1038"/>
      <c r="AB112" s="1038"/>
      <c r="AC112" s="1038"/>
      <c r="AD112" s="1038"/>
      <c r="AE112" s="1038"/>
      <c r="AF112" s="1038"/>
      <c r="AG112" s="1038"/>
      <c r="AH112" s="1038"/>
      <c r="AI112" s="1038"/>
      <c r="AJ112" s="1038"/>
      <c r="AK112" s="1038"/>
      <c r="AL112" s="1038"/>
      <c r="AM112" s="1038"/>
      <c r="AN112" s="1038"/>
    </row>
    <row r="113" spans="22:40" x14ac:dyDescent="0.25">
      <c r="V113" s="1038"/>
      <c r="W113" s="1038"/>
      <c r="X113" s="1038"/>
      <c r="Y113" s="1038"/>
      <c r="Z113" s="1038"/>
      <c r="AA113" s="1038"/>
      <c r="AB113" s="1038"/>
      <c r="AC113" s="1038"/>
      <c r="AD113" s="1038"/>
      <c r="AE113" s="1038"/>
      <c r="AF113" s="1038"/>
      <c r="AG113" s="1038"/>
      <c r="AH113" s="1038"/>
      <c r="AI113" s="1038"/>
      <c r="AJ113" s="1038"/>
      <c r="AK113" s="1038"/>
      <c r="AL113" s="1038"/>
      <c r="AM113" s="1038"/>
      <c r="AN113" s="1038"/>
    </row>
    <row r="114" spans="22:40" x14ac:dyDescent="0.25">
      <c r="V114" s="1038"/>
      <c r="W114" s="1038"/>
      <c r="X114" s="1038"/>
      <c r="Y114" s="1038"/>
      <c r="Z114" s="1038"/>
      <c r="AA114" s="1038"/>
      <c r="AB114" s="1038"/>
      <c r="AC114" s="1038"/>
      <c r="AD114" s="1038"/>
      <c r="AE114" s="1038"/>
      <c r="AF114" s="1038"/>
      <c r="AG114" s="1038"/>
      <c r="AH114" s="1038"/>
      <c r="AI114" s="1038"/>
      <c r="AJ114" s="1038"/>
      <c r="AK114" s="1038"/>
      <c r="AL114" s="1038"/>
      <c r="AM114" s="1038"/>
      <c r="AN114" s="1038"/>
    </row>
    <row r="115" spans="22:40" x14ac:dyDescent="0.25">
      <c r="V115" s="1038"/>
      <c r="W115" s="1038"/>
      <c r="X115" s="1038"/>
      <c r="Y115" s="1038"/>
      <c r="Z115" s="1038"/>
      <c r="AA115" s="1038"/>
      <c r="AB115" s="1038"/>
      <c r="AC115" s="1038"/>
      <c r="AD115" s="1038"/>
      <c r="AE115" s="1038"/>
      <c r="AF115" s="1038"/>
      <c r="AG115" s="1038"/>
      <c r="AH115" s="1038"/>
      <c r="AI115" s="1038"/>
      <c r="AJ115" s="1038"/>
      <c r="AK115" s="1038"/>
      <c r="AL115" s="1038"/>
      <c r="AM115" s="1038"/>
      <c r="AN115" s="1038"/>
    </row>
    <row r="116" spans="22:40" x14ac:dyDescent="0.25">
      <c r="V116" s="1038"/>
      <c r="W116" s="1038"/>
      <c r="X116" s="1038"/>
      <c r="Y116" s="1038"/>
      <c r="Z116" s="1038"/>
      <c r="AA116" s="1038"/>
      <c r="AB116" s="1038"/>
      <c r="AC116" s="1038"/>
      <c r="AD116" s="1038"/>
      <c r="AE116" s="1038"/>
      <c r="AF116" s="1038"/>
      <c r="AG116" s="1038"/>
      <c r="AH116" s="1038"/>
      <c r="AI116" s="1038"/>
      <c r="AJ116" s="1038"/>
      <c r="AK116" s="1038"/>
      <c r="AL116" s="1038"/>
      <c r="AM116" s="1038"/>
      <c r="AN116" s="1038"/>
    </row>
    <row r="117" spans="22:40" x14ac:dyDescent="0.25">
      <c r="V117" s="1038"/>
      <c r="W117" s="1038"/>
      <c r="X117" s="1038"/>
      <c r="Y117" s="1038"/>
      <c r="Z117" s="1038"/>
      <c r="AA117" s="1038"/>
      <c r="AB117" s="1038"/>
      <c r="AC117" s="1038"/>
      <c r="AD117" s="1038"/>
      <c r="AE117" s="1038"/>
      <c r="AF117" s="1038"/>
      <c r="AG117" s="1038"/>
      <c r="AH117" s="1038"/>
      <c r="AI117" s="1038"/>
      <c r="AJ117" s="1038"/>
      <c r="AK117" s="1038"/>
      <c r="AL117" s="1038"/>
      <c r="AM117" s="1038"/>
      <c r="AN117" s="1038"/>
    </row>
    <row r="118" spans="22:40" x14ac:dyDescent="0.25">
      <c r="V118" s="1038"/>
      <c r="W118" s="1038"/>
      <c r="X118" s="1038"/>
      <c r="Y118" s="1038"/>
      <c r="Z118" s="1038"/>
      <c r="AA118" s="1038"/>
      <c r="AB118" s="1038"/>
      <c r="AC118" s="1038"/>
      <c r="AD118" s="1038"/>
      <c r="AE118" s="1038"/>
      <c r="AF118" s="1038"/>
      <c r="AG118" s="1038"/>
      <c r="AH118" s="1038"/>
      <c r="AI118" s="1038"/>
      <c r="AJ118" s="1038"/>
      <c r="AK118" s="1038"/>
      <c r="AL118" s="1038"/>
      <c r="AM118" s="1038"/>
      <c r="AN118" s="1038"/>
    </row>
    <row r="119" spans="22:40" x14ac:dyDescent="0.25">
      <c r="V119" s="1038"/>
      <c r="W119" s="1038"/>
      <c r="X119" s="1038"/>
      <c r="Y119" s="1038"/>
      <c r="Z119" s="1038"/>
      <c r="AA119" s="1038"/>
      <c r="AB119" s="1038"/>
      <c r="AC119" s="1038"/>
      <c r="AD119" s="1038"/>
      <c r="AE119" s="1038"/>
      <c r="AF119" s="1038"/>
      <c r="AG119" s="1038"/>
      <c r="AH119" s="1038"/>
      <c r="AI119" s="1038"/>
      <c r="AJ119" s="1038"/>
      <c r="AK119" s="1038"/>
      <c r="AL119" s="1038"/>
      <c r="AM119" s="1038"/>
      <c r="AN119" s="1038"/>
    </row>
    <row r="120" spans="22:40" x14ac:dyDescent="0.25">
      <c r="V120" s="1038"/>
      <c r="W120" s="1038"/>
      <c r="X120" s="1038"/>
      <c r="Y120" s="1038"/>
      <c r="Z120" s="1038"/>
      <c r="AA120" s="1038"/>
      <c r="AB120" s="1038"/>
      <c r="AC120" s="1038"/>
      <c r="AD120" s="1038"/>
      <c r="AE120" s="1038"/>
      <c r="AF120" s="1038"/>
      <c r="AG120" s="1038"/>
      <c r="AH120" s="1038"/>
      <c r="AI120" s="1038"/>
      <c r="AJ120" s="1038"/>
      <c r="AK120" s="1038"/>
      <c r="AL120" s="1038"/>
      <c r="AM120" s="1038"/>
      <c r="AN120" s="1038"/>
    </row>
    <row r="121" spans="22:40" x14ac:dyDescent="0.25">
      <c r="V121" s="1038"/>
      <c r="W121" s="1038"/>
      <c r="X121" s="1038"/>
      <c r="Y121" s="1038"/>
      <c r="Z121" s="1038"/>
      <c r="AA121" s="1038"/>
      <c r="AB121" s="1038"/>
      <c r="AC121" s="1038"/>
      <c r="AD121" s="1038"/>
      <c r="AE121" s="1038"/>
      <c r="AF121" s="1038"/>
      <c r="AG121" s="1038"/>
      <c r="AH121" s="1038"/>
      <c r="AI121" s="1038"/>
      <c r="AJ121" s="1038"/>
      <c r="AK121" s="1038"/>
      <c r="AL121" s="1038"/>
      <c r="AM121" s="1038"/>
      <c r="AN121" s="1038"/>
    </row>
  </sheetData>
  <mergeCells count="11">
    <mergeCell ref="R54:R56"/>
    <mergeCell ref="H22:M22"/>
    <mergeCell ref="H43:M43"/>
    <mergeCell ref="H64:M64"/>
    <mergeCell ref="H85:M85"/>
    <mergeCell ref="O20:O21"/>
    <mergeCell ref="O5:O6"/>
    <mergeCell ref="O8:O9"/>
    <mergeCell ref="O11:O12"/>
    <mergeCell ref="O14:O15"/>
    <mergeCell ref="O17:O18"/>
  </mergeCells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1271"/>
  <sheetViews>
    <sheetView workbookViewId="0">
      <pane ySplit="1" topLeftCell="A1153" activePane="bottomLeft" state="frozen"/>
      <selection pane="bottomLeft" activeCell="D1170" sqref="C1163:D1170"/>
    </sheetView>
  </sheetViews>
  <sheetFormatPr defaultRowHeight="15" x14ac:dyDescent="0.25"/>
  <cols>
    <col min="1" max="1" width="12.7109375" style="545" customWidth="1"/>
    <col min="2" max="2" width="31.140625" style="545" customWidth="1"/>
    <col min="3" max="3" width="50.140625" style="545" customWidth="1"/>
    <col min="4" max="4" width="12.42578125" style="545" customWidth="1"/>
    <col min="5" max="5" width="16.5703125" style="545" customWidth="1"/>
    <col min="6" max="7" width="9.140625" style="545"/>
    <col min="8" max="8" width="45.42578125" style="545" customWidth="1"/>
    <col min="13" max="13" width="5.85546875" style="545" customWidth="1"/>
    <col min="14" max="256" width="9.140625" style="545"/>
    <col min="257" max="257" width="12.7109375" style="545" customWidth="1"/>
    <col min="258" max="258" width="23.140625" style="545" customWidth="1"/>
    <col min="259" max="259" width="43.5703125" style="545" customWidth="1"/>
    <col min="260" max="260" width="6.42578125" style="545" customWidth="1"/>
    <col min="261" max="261" width="8.5703125" style="545" customWidth="1"/>
    <col min="262" max="266" width="9.140625" style="545"/>
    <col min="267" max="267" width="9.5703125" style="545" customWidth="1"/>
    <col min="268" max="268" width="10" style="545" customWidth="1"/>
    <col min="269" max="269" width="5.85546875" style="545" customWidth="1"/>
    <col min="270" max="512" width="9.140625" style="545"/>
    <col min="513" max="513" width="12.7109375" style="545" customWidth="1"/>
    <col min="514" max="514" width="23.140625" style="545" customWidth="1"/>
    <col min="515" max="515" width="43.5703125" style="545" customWidth="1"/>
    <col min="516" max="516" width="6.42578125" style="545" customWidth="1"/>
    <col min="517" max="517" width="8.5703125" style="545" customWidth="1"/>
    <col min="518" max="522" width="9.140625" style="545"/>
    <col min="523" max="523" width="9.5703125" style="545" customWidth="1"/>
    <col min="524" max="524" width="10" style="545" customWidth="1"/>
    <col min="525" max="525" width="5.85546875" style="545" customWidth="1"/>
    <col min="526" max="768" width="9.140625" style="545"/>
    <col min="769" max="769" width="12.7109375" style="545" customWidth="1"/>
    <col min="770" max="770" width="23.140625" style="545" customWidth="1"/>
    <col min="771" max="771" width="43.5703125" style="545" customWidth="1"/>
    <col min="772" max="772" width="6.42578125" style="545" customWidth="1"/>
    <col min="773" max="773" width="8.5703125" style="545" customWidth="1"/>
    <col min="774" max="778" width="9.140625" style="545"/>
    <col min="779" max="779" width="9.5703125" style="545" customWidth="1"/>
    <col min="780" max="780" width="10" style="545" customWidth="1"/>
    <col min="781" max="781" width="5.85546875" style="545" customWidth="1"/>
    <col min="782" max="1024" width="9.140625" style="545"/>
    <col min="1025" max="1025" width="12.7109375" style="545" customWidth="1"/>
    <col min="1026" max="1026" width="23.140625" style="545" customWidth="1"/>
    <col min="1027" max="1027" width="43.5703125" style="545" customWidth="1"/>
    <col min="1028" max="1028" width="6.42578125" style="545" customWidth="1"/>
    <col min="1029" max="1029" width="8.5703125" style="545" customWidth="1"/>
    <col min="1030" max="1034" width="9.140625" style="545"/>
    <col min="1035" max="1035" width="9.5703125" style="545" customWidth="1"/>
    <col min="1036" max="1036" width="10" style="545" customWidth="1"/>
    <col min="1037" max="1037" width="5.85546875" style="545" customWidth="1"/>
    <col min="1038" max="1280" width="9.140625" style="545"/>
    <col min="1281" max="1281" width="12.7109375" style="545" customWidth="1"/>
    <col min="1282" max="1282" width="23.140625" style="545" customWidth="1"/>
    <col min="1283" max="1283" width="43.5703125" style="545" customWidth="1"/>
    <col min="1284" max="1284" width="6.42578125" style="545" customWidth="1"/>
    <col min="1285" max="1285" width="8.5703125" style="545" customWidth="1"/>
    <col min="1286" max="1290" width="9.140625" style="545"/>
    <col min="1291" max="1291" width="9.5703125" style="545" customWidth="1"/>
    <col min="1292" max="1292" width="10" style="545" customWidth="1"/>
    <col min="1293" max="1293" width="5.85546875" style="545" customWidth="1"/>
    <col min="1294" max="1536" width="9.140625" style="545"/>
    <col min="1537" max="1537" width="12.7109375" style="545" customWidth="1"/>
    <col min="1538" max="1538" width="23.140625" style="545" customWidth="1"/>
    <col min="1539" max="1539" width="43.5703125" style="545" customWidth="1"/>
    <col min="1540" max="1540" width="6.42578125" style="545" customWidth="1"/>
    <col min="1541" max="1541" width="8.5703125" style="545" customWidth="1"/>
    <col min="1542" max="1546" width="9.140625" style="545"/>
    <col min="1547" max="1547" width="9.5703125" style="545" customWidth="1"/>
    <col min="1548" max="1548" width="10" style="545" customWidth="1"/>
    <col min="1549" max="1549" width="5.85546875" style="545" customWidth="1"/>
    <col min="1550" max="1792" width="9.140625" style="545"/>
    <col min="1793" max="1793" width="12.7109375" style="545" customWidth="1"/>
    <col min="1794" max="1794" width="23.140625" style="545" customWidth="1"/>
    <col min="1795" max="1795" width="43.5703125" style="545" customWidth="1"/>
    <col min="1796" max="1796" width="6.42578125" style="545" customWidth="1"/>
    <col min="1797" max="1797" width="8.5703125" style="545" customWidth="1"/>
    <col min="1798" max="1802" width="9.140625" style="545"/>
    <col min="1803" max="1803" width="9.5703125" style="545" customWidth="1"/>
    <col min="1804" max="1804" width="10" style="545" customWidth="1"/>
    <col min="1805" max="1805" width="5.85546875" style="545" customWidth="1"/>
    <col min="1806" max="2048" width="9.140625" style="545"/>
    <col min="2049" max="2049" width="12.7109375" style="545" customWidth="1"/>
    <col min="2050" max="2050" width="23.140625" style="545" customWidth="1"/>
    <col min="2051" max="2051" width="43.5703125" style="545" customWidth="1"/>
    <col min="2052" max="2052" width="6.42578125" style="545" customWidth="1"/>
    <col min="2053" max="2053" width="8.5703125" style="545" customWidth="1"/>
    <col min="2054" max="2058" width="9.140625" style="545"/>
    <col min="2059" max="2059" width="9.5703125" style="545" customWidth="1"/>
    <col min="2060" max="2060" width="10" style="545" customWidth="1"/>
    <col min="2061" max="2061" width="5.85546875" style="545" customWidth="1"/>
    <col min="2062" max="2304" width="9.140625" style="545"/>
    <col min="2305" max="2305" width="12.7109375" style="545" customWidth="1"/>
    <col min="2306" max="2306" width="23.140625" style="545" customWidth="1"/>
    <col min="2307" max="2307" width="43.5703125" style="545" customWidth="1"/>
    <col min="2308" max="2308" width="6.42578125" style="545" customWidth="1"/>
    <col min="2309" max="2309" width="8.5703125" style="545" customWidth="1"/>
    <col min="2310" max="2314" width="9.140625" style="545"/>
    <col min="2315" max="2315" width="9.5703125" style="545" customWidth="1"/>
    <col min="2316" max="2316" width="10" style="545" customWidth="1"/>
    <col min="2317" max="2317" width="5.85546875" style="545" customWidth="1"/>
    <col min="2318" max="2560" width="9.140625" style="545"/>
    <col min="2561" max="2561" width="12.7109375" style="545" customWidth="1"/>
    <col min="2562" max="2562" width="23.140625" style="545" customWidth="1"/>
    <col min="2563" max="2563" width="43.5703125" style="545" customWidth="1"/>
    <col min="2564" max="2564" width="6.42578125" style="545" customWidth="1"/>
    <col min="2565" max="2565" width="8.5703125" style="545" customWidth="1"/>
    <col min="2566" max="2570" width="9.140625" style="545"/>
    <col min="2571" max="2571" width="9.5703125" style="545" customWidth="1"/>
    <col min="2572" max="2572" width="10" style="545" customWidth="1"/>
    <col min="2573" max="2573" width="5.85546875" style="545" customWidth="1"/>
    <col min="2574" max="2816" width="9.140625" style="545"/>
    <col min="2817" max="2817" width="12.7109375" style="545" customWidth="1"/>
    <col min="2818" max="2818" width="23.140625" style="545" customWidth="1"/>
    <col min="2819" max="2819" width="43.5703125" style="545" customWidth="1"/>
    <col min="2820" max="2820" width="6.42578125" style="545" customWidth="1"/>
    <col min="2821" max="2821" width="8.5703125" style="545" customWidth="1"/>
    <col min="2822" max="2826" width="9.140625" style="545"/>
    <col min="2827" max="2827" width="9.5703125" style="545" customWidth="1"/>
    <col min="2828" max="2828" width="10" style="545" customWidth="1"/>
    <col min="2829" max="2829" width="5.85546875" style="545" customWidth="1"/>
    <col min="2830" max="3072" width="9.140625" style="545"/>
    <col min="3073" max="3073" width="12.7109375" style="545" customWidth="1"/>
    <col min="3074" max="3074" width="23.140625" style="545" customWidth="1"/>
    <col min="3075" max="3075" width="43.5703125" style="545" customWidth="1"/>
    <col min="3076" max="3076" width="6.42578125" style="545" customWidth="1"/>
    <col min="3077" max="3077" width="8.5703125" style="545" customWidth="1"/>
    <col min="3078" max="3082" width="9.140625" style="545"/>
    <col min="3083" max="3083" width="9.5703125" style="545" customWidth="1"/>
    <col min="3084" max="3084" width="10" style="545" customWidth="1"/>
    <col min="3085" max="3085" width="5.85546875" style="545" customWidth="1"/>
    <col min="3086" max="3328" width="9.140625" style="545"/>
    <col min="3329" max="3329" width="12.7109375" style="545" customWidth="1"/>
    <col min="3330" max="3330" width="23.140625" style="545" customWidth="1"/>
    <col min="3331" max="3331" width="43.5703125" style="545" customWidth="1"/>
    <col min="3332" max="3332" width="6.42578125" style="545" customWidth="1"/>
    <col min="3333" max="3333" width="8.5703125" style="545" customWidth="1"/>
    <col min="3334" max="3338" width="9.140625" style="545"/>
    <col min="3339" max="3339" width="9.5703125" style="545" customWidth="1"/>
    <col min="3340" max="3340" width="10" style="545" customWidth="1"/>
    <col min="3341" max="3341" width="5.85546875" style="545" customWidth="1"/>
    <col min="3342" max="3584" width="9.140625" style="545"/>
    <col min="3585" max="3585" width="12.7109375" style="545" customWidth="1"/>
    <col min="3586" max="3586" width="23.140625" style="545" customWidth="1"/>
    <col min="3587" max="3587" width="43.5703125" style="545" customWidth="1"/>
    <col min="3588" max="3588" width="6.42578125" style="545" customWidth="1"/>
    <col min="3589" max="3589" width="8.5703125" style="545" customWidth="1"/>
    <col min="3590" max="3594" width="9.140625" style="545"/>
    <col min="3595" max="3595" width="9.5703125" style="545" customWidth="1"/>
    <col min="3596" max="3596" width="10" style="545" customWidth="1"/>
    <col min="3597" max="3597" width="5.85546875" style="545" customWidth="1"/>
    <col min="3598" max="3840" width="9.140625" style="545"/>
    <col min="3841" max="3841" width="12.7109375" style="545" customWidth="1"/>
    <col min="3842" max="3842" width="23.140625" style="545" customWidth="1"/>
    <col min="3843" max="3843" width="43.5703125" style="545" customWidth="1"/>
    <col min="3844" max="3844" width="6.42578125" style="545" customWidth="1"/>
    <col min="3845" max="3845" width="8.5703125" style="545" customWidth="1"/>
    <col min="3846" max="3850" width="9.140625" style="545"/>
    <col min="3851" max="3851" width="9.5703125" style="545" customWidth="1"/>
    <col min="3852" max="3852" width="10" style="545" customWidth="1"/>
    <col min="3853" max="3853" width="5.85546875" style="545" customWidth="1"/>
    <col min="3854" max="4096" width="9.140625" style="545"/>
    <col min="4097" max="4097" width="12.7109375" style="545" customWidth="1"/>
    <col min="4098" max="4098" width="23.140625" style="545" customWidth="1"/>
    <col min="4099" max="4099" width="43.5703125" style="545" customWidth="1"/>
    <col min="4100" max="4100" width="6.42578125" style="545" customWidth="1"/>
    <col min="4101" max="4101" width="8.5703125" style="545" customWidth="1"/>
    <col min="4102" max="4106" width="9.140625" style="545"/>
    <col min="4107" max="4107" width="9.5703125" style="545" customWidth="1"/>
    <col min="4108" max="4108" width="10" style="545" customWidth="1"/>
    <col min="4109" max="4109" width="5.85546875" style="545" customWidth="1"/>
    <col min="4110" max="4352" width="9.140625" style="545"/>
    <col min="4353" max="4353" width="12.7109375" style="545" customWidth="1"/>
    <col min="4354" max="4354" width="23.140625" style="545" customWidth="1"/>
    <col min="4355" max="4355" width="43.5703125" style="545" customWidth="1"/>
    <col min="4356" max="4356" width="6.42578125" style="545" customWidth="1"/>
    <col min="4357" max="4357" width="8.5703125" style="545" customWidth="1"/>
    <col min="4358" max="4362" width="9.140625" style="545"/>
    <col min="4363" max="4363" width="9.5703125" style="545" customWidth="1"/>
    <col min="4364" max="4364" width="10" style="545" customWidth="1"/>
    <col min="4365" max="4365" width="5.85546875" style="545" customWidth="1"/>
    <col min="4366" max="4608" width="9.140625" style="545"/>
    <col min="4609" max="4609" width="12.7109375" style="545" customWidth="1"/>
    <col min="4610" max="4610" width="23.140625" style="545" customWidth="1"/>
    <col min="4611" max="4611" width="43.5703125" style="545" customWidth="1"/>
    <col min="4612" max="4612" width="6.42578125" style="545" customWidth="1"/>
    <col min="4613" max="4613" width="8.5703125" style="545" customWidth="1"/>
    <col min="4614" max="4618" width="9.140625" style="545"/>
    <col min="4619" max="4619" width="9.5703125" style="545" customWidth="1"/>
    <col min="4620" max="4620" width="10" style="545" customWidth="1"/>
    <col min="4621" max="4621" width="5.85546875" style="545" customWidth="1"/>
    <col min="4622" max="4864" width="9.140625" style="545"/>
    <col min="4865" max="4865" width="12.7109375" style="545" customWidth="1"/>
    <col min="4866" max="4866" width="23.140625" style="545" customWidth="1"/>
    <col min="4867" max="4867" width="43.5703125" style="545" customWidth="1"/>
    <col min="4868" max="4868" width="6.42578125" style="545" customWidth="1"/>
    <col min="4869" max="4869" width="8.5703125" style="545" customWidth="1"/>
    <col min="4870" max="4874" width="9.140625" style="545"/>
    <col min="4875" max="4875" width="9.5703125" style="545" customWidth="1"/>
    <col min="4876" max="4876" width="10" style="545" customWidth="1"/>
    <col min="4877" max="4877" width="5.85546875" style="545" customWidth="1"/>
    <col min="4878" max="5120" width="9.140625" style="545"/>
    <col min="5121" max="5121" width="12.7109375" style="545" customWidth="1"/>
    <col min="5122" max="5122" width="23.140625" style="545" customWidth="1"/>
    <col min="5123" max="5123" width="43.5703125" style="545" customWidth="1"/>
    <col min="5124" max="5124" width="6.42578125" style="545" customWidth="1"/>
    <col min="5125" max="5125" width="8.5703125" style="545" customWidth="1"/>
    <col min="5126" max="5130" width="9.140625" style="545"/>
    <col min="5131" max="5131" width="9.5703125" style="545" customWidth="1"/>
    <col min="5132" max="5132" width="10" style="545" customWidth="1"/>
    <col min="5133" max="5133" width="5.85546875" style="545" customWidth="1"/>
    <col min="5134" max="5376" width="9.140625" style="545"/>
    <col min="5377" max="5377" width="12.7109375" style="545" customWidth="1"/>
    <col min="5378" max="5378" width="23.140625" style="545" customWidth="1"/>
    <col min="5379" max="5379" width="43.5703125" style="545" customWidth="1"/>
    <col min="5380" max="5380" width="6.42578125" style="545" customWidth="1"/>
    <col min="5381" max="5381" width="8.5703125" style="545" customWidth="1"/>
    <col min="5382" max="5386" width="9.140625" style="545"/>
    <col min="5387" max="5387" width="9.5703125" style="545" customWidth="1"/>
    <col min="5388" max="5388" width="10" style="545" customWidth="1"/>
    <col min="5389" max="5389" width="5.85546875" style="545" customWidth="1"/>
    <col min="5390" max="5632" width="9.140625" style="545"/>
    <col min="5633" max="5633" width="12.7109375" style="545" customWidth="1"/>
    <col min="5634" max="5634" width="23.140625" style="545" customWidth="1"/>
    <col min="5635" max="5635" width="43.5703125" style="545" customWidth="1"/>
    <col min="5636" max="5636" width="6.42578125" style="545" customWidth="1"/>
    <col min="5637" max="5637" width="8.5703125" style="545" customWidth="1"/>
    <col min="5638" max="5642" width="9.140625" style="545"/>
    <col min="5643" max="5643" width="9.5703125" style="545" customWidth="1"/>
    <col min="5644" max="5644" width="10" style="545" customWidth="1"/>
    <col min="5645" max="5645" width="5.85546875" style="545" customWidth="1"/>
    <col min="5646" max="5888" width="9.140625" style="545"/>
    <col min="5889" max="5889" width="12.7109375" style="545" customWidth="1"/>
    <col min="5890" max="5890" width="23.140625" style="545" customWidth="1"/>
    <col min="5891" max="5891" width="43.5703125" style="545" customWidth="1"/>
    <col min="5892" max="5892" width="6.42578125" style="545" customWidth="1"/>
    <col min="5893" max="5893" width="8.5703125" style="545" customWidth="1"/>
    <col min="5894" max="5898" width="9.140625" style="545"/>
    <col min="5899" max="5899" width="9.5703125" style="545" customWidth="1"/>
    <col min="5900" max="5900" width="10" style="545" customWidth="1"/>
    <col min="5901" max="5901" width="5.85546875" style="545" customWidth="1"/>
    <col min="5902" max="6144" width="9.140625" style="545"/>
    <col min="6145" max="6145" width="12.7109375" style="545" customWidth="1"/>
    <col min="6146" max="6146" width="23.140625" style="545" customWidth="1"/>
    <col min="6147" max="6147" width="43.5703125" style="545" customWidth="1"/>
    <col min="6148" max="6148" width="6.42578125" style="545" customWidth="1"/>
    <col min="6149" max="6149" width="8.5703125" style="545" customWidth="1"/>
    <col min="6150" max="6154" width="9.140625" style="545"/>
    <col min="6155" max="6155" width="9.5703125" style="545" customWidth="1"/>
    <col min="6156" max="6156" width="10" style="545" customWidth="1"/>
    <col min="6157" max="6157" width="5.85546875" style="545" customWidth="1"/>
    <col min="6158" max="6400" width="9.140625" style="545"/>
    <col min="6401" max="6401" width="12.7109375" style="545" customWidth="1"/>
    <col min="6402" max="6402" width="23.140625" style="545" customWidth="1"/>
    <col min="6403" max="6403" width="43.5703125" style="545" customWidth="1"/>
    <col min="6404" max="6404" width="6.42578125" style="545" customWidth="1"/>
    <col min="6405" max="6405" width="8.5703125" style="545" customWidth="1"/>
    <col min="6406" max="6410" width="9.140625" style="545"/>
    <col min="6411" max="6411" width="9.5703125" style="545" customWidth="1"/>
    <col min="6412" max="6412" width="10" style="545" customWidth="1"/>
    <col min="6413" max="6413" width="5.85546875" style="545" customWidth="1"/>
    <col min="6414" max="6656" width="9.140625" style="545"/>
    <col min="6657" max="6657" width="12.7109375" style="545" customWidth="1"/>
    <col min="6658" max="6658" width="23.140625" style="545" customWidth="1"/>
    <col min="6659" max="6659" width="43.5703125" style="545" customWidth="1"/>
    <col min="6660" max="6660" width="6.42578125" style="545" customWidth="1"/>
    <col min="6661" max="6661" width="8.5703125" style="545" customWidth="1"/>
    <col min="6662" max="6666" width="9.140625" style="545"/>
    <col min="6667" max="6667" width="9.5703125" style="545" customWidth="1"/>
    <col min="6668" max="6668" width="10" style="545" customWidth="1"/>
    <col min="6669" max="6669" width="5.85546875" style="545" customWidth="1"/>
    <col min="6670" max="6912" width="9.140625" style="545"/>
    <col min="6913" max="6913" width="12.7109375" style="545" customWidth="1"/>
    <col min="6914" max="6914" width="23.140625" style="545" customWidth="1"/>
    <col min="6915" max="6915" width="43.5703125" style="545" customWidth="1"/>
    <col min="6916" max="6916" width="6.42578125" style="545" customWidth="1"/>
    <col min="6917" max="6917" width="8.5703125" style="545" customWidth="1"/>
    <col min="6918" max="6922" width="9.140625" style="545"/>
    <col min="6923" max="6923" width="9.5703125" style="545" customWidth="1"/>
    <col min="6924" max="6924" width="10" style="545" customWidth="1"/>
    <col min="6925" max="6925" width="5.85546875" style="545" customWidth="1"/>
    <col min="6926" max="7168" width="9.140625" style="545"/>
    <col min="7169" max="7169" width="12.7109375" style="545" customWidth="1"/>
    <col min="7170" max="7170" width="23.140625" style="545" customWidth="1"/>
    <col min="7171" max="7171" width="43.5703125" style="545" customWidth="1"/>
    <col min="7172" max="7172" width="6.42578125" style="545" customWidth="1"/>
    <col min="7173" max="7173" width="8.5703125" style="545" customWidth="1"/>
    <col min="7174" max="7178" width="9.140625" style="545"/>
    <col min="7179" max="7179" width="9.5703125" style="545" customWidth="1"/>
    <col min="7180" max="7180" width="10" style="545" customWidth="1"/>
    <col min="7181" max="7181" width="5.85546875" style="545" customWidth="1"/>
    <col min="7182" max="7424" width="9.140625" style="545"/>
    <col min="7425" max="7425" width="12.7109375" style="545" customWidth="1"/>
    <col min="7426" max="7426" width="23.140625" style="545" customWidth="1"/>
    <col min="7427" max="7427" width="43.5703125" style="545" customWidth="1"/>
    <col min="7428" max="7428" width="6.42578125" style="545" customWidth="1"/>
    <col min="7429" max="7429" width="8.5703125" style="545" customWidth="1"/>
    <col min="7430" max="7434" width="9.140625" style="545"/>
    <col min="7435" max="7435" width="9.5703125" style="545" customWidth="1"/>
    <col min="7436" max="7436" width="10" style="545" customWidth="1"/>
    <col min="7437" max="7437" width="5.85546875" style="545" customWidth="1"/>
    <col min="7438" max="7680" width="9.140625" style="545"/>
    <col min="7681" max="7681" width="12.7109375" style="545" customWidth="1"/>
    <col min="7682" max="7682" width="23.140625" style="545" customWidth="1"/>
    <col min="7683" max="7683" width="43.5703125" style="545" customWidth="1"/>
    <col min="7684" max="7684" width="6.42578125" style="545" customWidth="1"/>
    <col min="7685" max="7685" width="8.5703125" style="545" customWidth="1"/>
    <col min="7686" max="7690" width="9.140625" style="545"/>
    <col min="7691" max="7691" width="9.5703125" style="545" customWidth="1"/>
    <col min="7692" max="7692" width="10" style="545" customWidth="1"/>
    <col min="7693" max="7693" width="5.85546875" style="545" customWidth="1"/>
    <col min="7694" max="7936" width="9.140625" style="545"/>
    <col min="7937" max="7937" width="12.7109375" style="545" customWidth="1"/>
    <col min="7938" max="7938" width="23.140625" style="545" customWidth="1"/>
    <col min="7939" max="7939" width="43.5703125" style="545" customWidth="1"/>
    <col min="7940" max="7940" width="6.42578125" style="545" customWidth="1"/>
    <col min="7941" max="7941" width="8.5703125" style="545" customWidth="1"/>
    <col min="7942" max="7946" width="9.140625" style="545"/>
    <col min="7947" max="7947" width="9.5703125" style="545" customWidth="1"/>
    <col min="7948" max="7948" width="10" style="545" customWidth="1"/>
    <col min="7949" max="7949" width="5.85546875" style="545" customWidth="1"/>
    <col min="7950" max="8192" width="9.140625" style="545"/>
    <col min="8193" max="8193" width="12.7109375" style="545" customWidth="1"/>
    <col min="8194" max="8194" width="23.140625" style="545" customWidth="1"/>
    <col min="8195" max="8195" width="43.5703125" style="545" customWidth="1"/>
    <col min="8196" max="8196" width="6.42578125" style="545" customWidth="1"/>
    <col min="8197" max="8197" width="8.5703125" style="545" customWidth="1"/>
    <col min="8198" max="8202" width="9.140625" style="545"/>
    <col min="8203" max="8203" width="9.5703125" style="545" customWidth="1"/>
    <col min="8204" max="8204" width="10" style="545" customWidth="1"/>
    <col min="8205" max="8205" width="5.85546875" style="545" customWidth="1"/>
    <col min="8206" max="8448" width="9.140625" style="545"/>
    <col min="8449" max="8449" width="12.7109375" style="545" customWidth="1"/>
    <col min="8450" max="8450" width="23.140625" style="545" customWidth="1"/>
    <col min="8451" max="8451" width="43.5703125" style="545" customWidth="1"/>
    <col min="8452" max="8452" width="6.42578125" style="545" customWidth="1"/>
    <col min="8453" max="8453" width="8.5703125" style="545" customWidth="1"/>
    <col min="8454" max="8458" width="9.140625" style="545"/>
    <col min="8459" max="8459" width="9.5703125" style="545" customWidth="1"/>
    <col min="8460" max="8460" width="10" style="545" customWidth="1"/>
    <col min="8461" max="8461" width="5.85546875" style="545" customWidth="1"/>
    <col min="8462" max="8704" width="9.140625" style="545"/>
    <col min="8705" max="8705" width="12.7109375" style="545" customWidth="1"/>
    <col min="8706" max="8706" width="23.140625" style="545" customWidth="1"/>
    <col min="8707" max="8707" width="43.5703125" style="545" customWidth="1"/>
    <col min="8708" max="8708" width="6.42578125" style="545" customWidth="1"/>
    <col min="8709" max="8709" width="8.5703125" style="545" customWidth="1"/>
    <col min="8710" max="8714" width="9.140625" style="545"/>
    <col min="8715" max="8715" width="9.5703125" style="545" customWidth="1"/>
    <col min="8716" max="8716" width="10" style="545" customWidth="1"/>
    <col min="8717" max="8717" width="5.85546875" style="545" customWidth="1"/>
    <col min="8718" max="8960" width="9.140625" style="545"/>
    <col min="8961" max="8961" width="12.7109375" style="545" customWidth="1"/>
    <col min="8962" max="8962" width="23.140625" style="545" customWidth="1"/>
    <col min="8963" max="8963" width="43.5703125" style="545" customWidth="1"/>
    <col min="8964" max="8964" width="6.42578125" style="545" customWidth="1"/>
    <col min="8965" max="8965" width="8.5703125" style="545" customWidth="1"/>
    <col min="8966" max="8970" width="9.140625" style="545"/>
    <col min="8971" max="8971" width="9.5703125" style="545" customWidth="1"/>
    <col min="8972" max="8972" width="10" style="545" customWidth="1"/>
    <col min="8973" max="8973" width="5.85546875" style="545" customWidth="1"/>
    <col min="8974" max="9216" width="9.140625" style="545"/>
    <col min="9217" max="9217" width="12.7109375" style="545" customWidth="1"/>
    <col min="9218" max="9218" width="23.140625" style="545" customWidth="1"/>
    <col min="9219" max="9219" width="43.5703125" style="545" customWidth="1"/>
    <col min="9220" max="9220" width="6.42578125" style="545" customWidth="1"/>
    <col min="9221" max="9221" width="8.5703125" style="545" customWidth="1"/>
    <col min="9222" max="9226" width="9.140625" style="545"/>
    <col min="9227" max="9227" width="9.5703125" style="545" customWidth="1"/>
    <col min="9228" max="9228" width="10" style="545" customWidth="1"/>
    <col min="9229" max="9229" width="5.85546875" style="545" customWidth="1"/>
    <col min="9230" max="9472" width="9.140625" style="545"/>
    <col min="9473" max="9473" width="12.7109375" style="545" customWidth="1"/>
    <col min="9474" max="9474" width="23.140625" style="545" customWidth="1"/>
    <col min="9475" max="9475" width="43.5703125" style="545" customWidth="1"/>
    <col min="9476" max="9476" width="6.42578125" style="545" customWidth="1"/>
    <col min="9477" max="9477" width="8.5703125" style="545" customWidth="1"/>
    <col min="9478" max="9482" width="9.140625" style="545"/>
    <col min="9483" max="9483" width="9.5703125" style="545" customWidth="1"/>
    <col min="9484" max="9484" width="10" style="545" customWidth="1"/>
    <col min="9485" max="9485" width="5.85546875" style="545" customWidth="1"/>
    <col min="9486" max="9728" width="9.140625" style="545"/>
    <col min="9729" max="9729" width="12.7109375" style="545" customWidth="1"/>
    <col min="9730" max="9730" width="23.140625" style="545" customWidth="1"/>
    <col min="9731" max="9731" width="43.5703125" style="545" customWidth="1"/>
    <col min="9732" max="9732" width="6.42578125" style="545" customWidth="1"/>
    <col min="9733" max="9733" width="8.5703125" style="545" customWidth="1"/>
    <col min="9734" max="9738" width="9.140625" style="545"/>
    <col min="9739" max="9739" width="9.5703125" style="545" customWidth="1"/>
    <col min="9740" max="9740" width="10" style="545" customWidth="1"/>
    <col min="9741" max="9741" width="5.85546875" style="545" customWidth="1"/>
    <col min="9742" max="9984" width="9.140625" style="545"/>
    <col min="9985" max="9985" width="12.7109375" style="545" customWidth="1"/>
    <col min="9986" max="9986" width="23.140625" style="545" customWidth="1"/>
    <col min="9987" max="9987" width="43.5703125" style="545" customWidth="1"/>
    <col min="9988" max="9988" width="6.42578125" style="545" customWidth="1"/>
    <col min="9989" max="9989" width="8.5703125" style="545" customWidth="1"/>
    <col min="9990" max="9994" width="9.140625" style="545"/>
    <col min="9995" max="9995" width="9.5703125" style="545" customWidth="1"/>
    <col min="9996" max="9996" width="10" style="545" customWidth="1"/>
    <col min="9997" max="9997" width="5.85546875" style="545" customWidth="1"/>
    <col min="9998" max="10240" width="9.140625" style="545"/>
    <col min="10241" max="10241" width="12.7109375" style="545" customWidth="1"/>
    <col min="10242" max="10242" width="23.140625" style="545" customWidth="1"/>
    <col min="10243" max="10243" width="43.5703125" style="545" customWidth="1"/>
    <col min="10244" max="10244" width="6.42578125" style="545" customWidth="1"/>
    <col min="10245" max="10245" width="8.5703125" style="545" customWidth="1"/>
    <col min="10246" max="10250" width="9.140625" style="545"/>
    <col min="10251" max="10251" width="9.5703125" style="545" customWidth="1"/>
    <col min="10252" max="10252" width="10" style="545" customWidth="1"/>
    <col min="10253" max="10253" width="5.85546875" style="545" customWidth="1"/>
    <col min="10254" max="10496" width="9.140625" style="545"/>
    <col min="10497" max="10497" width="12.7109375" style="545" customWidth="1"/>
    <col min="10498" max="10498" width="23.140625" style="545" customWidth="1"/>
    <col min="10499" max="10499" width="43.5703125" style="545" customWidth="1"/>
    <col min="10500" max="10500" width="6.42578125" style="545" customWidth="1"/>
    <col min="10501" max="10501" width="8.5703125" style="545" customWidth="1"/>
    <col min="10502" max="10506" width="9.140625" style="545"/>
    <col min="10507" max="10507" width="9.5703125" style="545" customWidth="1"/>
    <col min="10508" max="10508" width="10" style="545" customWidth="1"/>
    <col min="10509" max="10509" width="5.85546875" style="545" customWidth="1"/>
    <col min="10510" max="10752" width="9.140625" style="545"/>
    <col min="10753" max="10753" width="12.7109375" style="545" customWidth="1"/>
    <col min="10754" max="10754" width="23.140625" style="545" customWidth="1"/>
    <col min="10755" max="10755" width="43.5703125" style="545" customWidth="1"/>
    <col min="10756" max="10756" width="6.42578125" style="545" customWidth="1"/>
    <col min="10757" max="10757" width="8.5703125" style="545" customWidth="1"/>
    <col min="10758" max="10762" width="9.140625" style="545"/>
    <col min="10763" max="10763" width="9.5703125" style="545" customWidth="1"/>
    <col min="10764" max="10764" width="10" style="545" customWidth="1"/>
    <col min="10765" max="10765" width="5.85546875" style="545" customWidth="1"/>
    <col min="10766" max="11008" width="9.140625" style="545"/>
    <col min="11009" max="11009" width="12.7109375" style="545" customWidth="1"/>
    <col min="11010" max="11010" width="23.140625" style="545" customWidth="1"/>
    <col min="11011" max="11011" width="43.5703125" style="545" customWidth="1"/>
    <col min="11012" max="11012" width="6.42578125" style="545" customWidth="1"/>
    <col min="11013" max="11013" width="8.5703125" style="545" customWidth="1"/>
    <col min="11014" max="11018" width="9.140625" style="545"/>
    <col min="11019" max="11019" width="9.5703125" style="545" customWidth="1"/>
    <col min="11020" max="11020" width="10" style="545" customWidth="1"/>
    <col min="11021" max="11021" width="5.85546875" style="545" customWidth="1"/>
    <col min="11022" max="11264" width="9.140625" style="545"/>
    <col min="11265" max="11265" width="12.7109375" style="545" customWidth="1"/>
    <col min="11266" max="11266" width="23.140625" style="545" customWidth="1"/>
    <col min="11267" max="11267" width="43.5703125" style="545" customWidth="1"/>
    <col min="11268" max="11268" width="6.42578125" style="545" customWidth="1"/>
    <col min="11269" max="11269" width="8.5703125" style="545" customWidth="1"/>
    <col min="11270" max="11274" width="9.140625" style="545"/>
    <col min="11275" max="11275" width="9.5703125" style="545" customWidth="1"/>
    <col min="11276" max="11276" width="10" style="545" customWidth="1"/>
    <col min="11277" max="11277" width="5.85546875" style="545" customWidth="1"/>
    <col min="11278" max="11520" width="9.140625" style="545"/>
    <col min="11521" max="11521" width="12.7109375" style="545" customWidth="1"/>
    <col min="11522" max="11522" width="23.140625" style="545" customWidth="1"/>
    <col min="11523" max="11523" width="43.5703125" style="545" customWidth="1"/>
    <col min="11524" max="11524" width="6.42578125" style="545" customWidth="1"/>
    <col min="11525" max="11525" width="8.5703125" style="545" customWidth="1"/>
    <col min="11526" max="11530" width="9.140625" style="545"/>
    <col min="11531" max="11531" width="9.5703125" style="545" customWidth="1"/>
    <col min="11532" max="11532" width="10" style="545" customWidth="1"/>
    <col min="11533" max="11533" width="5.85546875" style="545" customWidth="1"/>
    <col min="11534" max="11776" width="9.140625" style="545"/>
    <col min="11777" max="11777" width="12.7109375" style="545" customWidth="1"/>
    <col min="11778" max="11778" width="23.140625" style="545" customWidth="1"/>
    <col min="11779" max="11779" width="43.5703125" style="545" customWidth="1"/>
    <col min="11780" max="11780" width="6.42578125" style="545" customWidth="1"/>
    <col min="11781" max="11781" width="8.5703125" style="545" customWidth="1"/>
    <col min="11782" max="11786" width="9.140625" style="545"/>
    <col min="11787" max="11787" width="9.5703125" style="545" customWidth="1"/>
    <col min="11788" max="11788" width="10" style="545" customWidth="1"/>
    <col min="11789" max="11789" width="5.85546875" style="545" customWidth="1"/>
    <col min="11790" max="12032" width="9.140625" style="545"/>
    <col min="12033" max="12033" width="12.7109375" style="545" customWidth="1"/>
    <col min="12034" max="12034" width="23.140625" style="545" customWidth="1"/>
    <col min="12035" max="12035" width="43.5703125" style="545" customWidth="1"/>
    <col min="12036" max="12036" width="6.42578125" style="545" customWidth="1"/>
    <col min="12037" max="12037" width="8.5703125" style="545" customWidth="1"/>
    <col min="12038" max="12042" width="9.140625" style="545"/>
    <col min="12043" max="12043" width="9.5703125" style="545" customWidth="1"/>
    <col min="12044" max="12044" width="10" style="545" customWidth="1"/>
    <col min="12045" max="12045" width="5.85546875" style="545" customWidth="1"/>
    <col min="12046" max="12288" width="9.140625" style="545"/>
    <col min="12289" max="12289" width="12.7109375" style="545" customWidth="1"/>
    <col min="12290" max="12290" width="23.140625" style="545" customWidth="1"/>
    <col min="12291" max="12291" width="43.5703125" style="545" customWidth="1"/>
    <col min="12292" max="12292" width="6.42578125" style="545" customWidth="1"/>
    <col min="12293" max="12293" width="8.5703125" style="545" customWidth="1"/>
    <col min="12294" max="12298" width="9.140625" style="545"/>
    <col min="12299" max="12299" width="9.5703125" style="545" customWidth="1"/>
    <col min="12300" max="12300" width="10" style="545" customWidth="1"/>
    <col min="12301" max="12301" width="5.85546875" style="545" customWidth="1"/>
    <col min="12302" max="12544" width="9.140625" style="545"/>
    <col min="12545" max="12545" width="12.7109375" style="545" customWidth="1"/>
    <col min="12546" max="12546" width="23.140625" style="545" customWidth="1"/>
    <col min="12547" max="12547" width="43.5703125" style="545" customWidth="1"/>
    <col min="12548" max="12548" width="6.42578125" style="545" customWidth="1"/>
    <col min="12549" max="12549" width="8.5703125" style="545" customWidth="1"/>
    <col min="12550" max="12554" width="9.140625" style="545"/>
    <col min="12555" max="12555" width="9.5703125" style="545" customWidth="1"/>
    <col min="12556" max="12556" width="10" style="545" customWidth="1"/>
    <col min="12557" max="12557" width="5.85546875" style="545" customWidth="1"/>
    <col min="12558" max="12800" width="9.140625" style="545"/>
    <col min="12801" max="12801" width="12.7109375" style="545" customWidth="1"/>
    <col min="12802" max="12802" width="23.140625" style="545" customWidth="1"/>
    <col min="12803" max="12803" width="43.5703125" style="545" customWidth="1"/>
    <col min="12804" max="12804" width="6.42578125" style="545" customWidth="1"/>
    <col min="12805" max="12805" width="8.5703125" style="545" customWidth="1"/>
    <col min="12806" max="12810" width="9.140625" style="545"/>
    <col min="12811" max="12811" width="9.5703125" style="545" customWidth="1"/>
    <col min="12812" max="12812" width="10" style="545" customWidth="1"/>
    <col min="12813" max="12813" width="5.85546875" style="545" customWidth="1"/>
    <col min="12814" max="13056" width="9.140625" style="545"/>
    <col min="13057" max="13057" width="12.7109375" style="545" customWidth="1"/>
    <col min="13058" max="13058" width="23.140625" style="545" customWidth="1"/>
    <col min="13059" max="13059" width="43.5703125" style="545" customWidth="1"/>
    <col min="13060" max="13060" width="6.42578125" style="545" customWidth="1"/>
    <col min="13061" max="13061" width="8.5703125" style="545" customWidth="1"/>
    <col min="13062" max="13066" width="9.140625" style="545"/>
    <col min="13067" max="13067" width="9.5703125" style="545" customWidth="1"/>
    <col min="13068" max="13068" width="10" style="545" customWidth="1"/>
    <col min="13069" max="13069" width="5.85546875" style="545" customWidth="1"/>
    <col min="13070" max="13312" width="9.140625" style="545"/>
    <col min="13313" max="13313" width="12.7109375" style="545" customWidth="1"/>
    <col min="13314" max="13314" width="23.140625" style="545" customWidth="1"/>
    <col min="13315" max="13315" width="43.5703125" style="545" customWidth="1"/>
    <col min="13316" max="13316" width="6.42578125" style="545" customWidth="1"/>
    <col min="13317" max="13317" width="8.5703125" style="545" customWidth="1"/>
    <col min="13318" max="13322" width="9.140625" style="545"/>
    <col min="13323" max="13323" width="9.5703125" style="545" customWidth="1"/>
    <col min="13324" max="13324" width="10" style="545" customWidth="1"/>
    <col min="13325" max="13325" width="5.85546875" style="545" customWidth="1"/>
    <col min="13326" max="13568" width="9.140625" style="545"/>
    <col min="13569" max="13569" width="12.7109375" style="545" customWidth="1"/>
    <col min="13570" max="13570" width="23.140625" style="545" customWidth="1"/>
    <col min="13571" max="13571" width="43.5703125" style="545" customWidth="1"/>
    <col min="13572" max="13572" width="6.42578125" style="545" customWidth="1"/>
    <col min="13573" max="13573" width="8.5703125" style="545" customWidth="1"/>
    <col min="13574" max="13578" width="9.140625" style="545"/>
    <col min="13579" max="13579" width="9.5703125" style="545" customWidth="1"/>
    <col min="13580" max="13580" width="10" style="545" customWidth="1"/>
    <col min="13581" max="13581" width="5.85546875" style="545" customWidth="1"/>
    <col min="13582" max="13824" width="9.140625" style="545"/>
    <col min="13825" max="13825" width="12.7109375" style="545" customWidth="1"/>
    <col min="13826" max="13826" width="23.140625" style="545" customWidth="1"/>
    <col min="13827" max="13827" width="43.5703125" style="545" customWidth="1"/>
    <col min="13828" max="13828" width="6.42578125" style="545" customWidth="1"/>
    <col min="13829" max="13829" width="8.5703125" style="545" customWidth="1"/>
    <col min="13830" max="13834" width="9.140625" style="545"/>
    <col min="13835" max="13835" width="9.5703125" style="545" customWidth="1"/>
    <col min="13836" max="13836" width="10" style="545" customWidth="1"/>
    <col min="13837" max="13837" width="5.85546875" style="545" customWidth="1"/>
    <col min="13838" max="14080" width="9.140625" style="545"/>
    <col min="14081" max="14081" width="12.7109375" style="545" customWidth="1"/>
    <col min="14082" max="14082" width="23.140625" style="545" customWidth="1"/>
    <col min="14083" max="14083" width="43.5703125" style="545" customWidth="1"/>
    <col min="14084" max="14084" width="6.42578125" style="545" customWidth="1"/>
    <col min="14085" max="14085" width="8.5703125" style="545" customWidth="1"/>
    <col min="14086" max="14090" width="9.140625" style="545"/>
    <col min="14091" max="14091" width="9.5703125" style="545" customWidth="1"/>
    <col min="14092" max="14092" width="10" style="545" customWidth="1"/>
    <col min="14093" max="14093" width="5.85546875" style="545" customWidth="1"/>
    <col min="14094" max="14336" width="9.140625" style="545"/>
    <col min="14337" max="14337" width="12.7109375" style="545" customWidth="1"/>
    <col min="14338" max="14338" width="23.140625" style="545" customWidth="1"/>
    <col min="14339" max="14339" width="43.5703125" style="545" customWidth="1"/>
    <col min="14340" max="14340" width="6.42578125" style="545" customWidth="1"/>
    <col min="14341" max="14341" width="8.5703125" style="545" customWidth="1"/>
    <col min="14342" max="14346" width="9.140625" style="545"/>
    <col min="14347" max="14347" width="9.5703125" style="545" customWidth="1"/>
    <col min="14348" max="14348" width="10" style="545" customWidth="1"/>
    <col min="14349" max="14349" width="5.85546875" style="545" customWidth="1"/>
    <col min="14350" max="14592" width="9.140625" style="545"/>
    <col min="14593" max="14593" width="12.7109375" style="545" customWidth="1"/>
    <col min="14594" max="14594" width="23.140625" style="545" customWidth="1"/>
    <col min="14595" max="14595" width="43.5703125" style="545" customWidth="1"/>
    <col min="14596" max="14596" width="6.42578125" style="545" customWidth="1"/>
    <col min="14597" max="14597" width="8.5703125" style="545" customWidth="1"/>
    <col min="14598" max="14602" width="9.140625" style="545"/>
    <col min="14603" max="14603" width="9.5703125" style="545" customWidth="1"/>
    <col min="14604" max="14604" width="10" style="545" customWidth="1"/>
    <col min="14605" max="14605" width="5.85546875" style="545" customWidth="1"/>
    <col min="14606" max="14848" width="9.140625" style="545"/>
    <col min="14849" max="14849" width="12.7109375" style="545" customWidth="1"/>
    <col min="14850" max="14850" width="23.140625" style="545" customWidth="1"/>
    <col min="14851" max="14851" width="43.5703125" style="545" customWidth="1"/>
    <col min="14852" max="14852" width="6.42578125" style="545" customWidth="1"/>
    <col min="14853" max="14853" width="8.5703125" style="545" customWidth="1"/>
    <col min="14854" max="14858" width="9.140625" style="545"/>
    <col min="14859" max="14859" width="9.5703125" style="545" customWidth="1"/>
    <col min="14860" max="14860" width="10" style="545" customWidth="1"/>
    <col min="14861" max="14861" width="5.85546875" style="545" customWidth="1"/>
    <col min="14862" max="15104" width="9.140625" style="545"/>
    <col min="15105" max="15105" width="12.7109375" style="545" customWidth="1"/>
    <col min="15106" max="15106" width="23.140625" style="545" customWidth="1"/>
    <col min="15107" max="15107" width="43.5703125" style="545" customWidth="1"/>
    <col min="15108" max="15108" width="6.42578125" style="545" customWidth="1"/>
    <col min="15109" max="15109" width="8.5703125" style="545" customWidth="1"/>
    <col min="15110" max="15114" width="9.140625" style="545"/>
    <col min="15115" max="15115" width="9.5703125" style="545" customWidth="1"/>
    <col min="15116" max="15116" width="10" style="545" customWidth="1"/>
    <col min="15117" max="15117" width="5.85546875" style="545" customWidth="1"/>
    <col min="15118" max="15360" width="9.140625" style="545"/>
    <col min="15361" max="15361" width="12.7109375" style="545" customWidth="1"/>
    <col min="15362" max="15362" width="23.140625" style="545" customWidth="1"/>
    <col min="15363" max="15363" width="43.5703125" style="545" customWidth="1"/>
    <col min="15364" max="15364" width="6.42578125" style="545" customWidth="1"/>
    <col min="15365" max="15365" width="8.5703125" style="545" customWidth="1"/>
    <col min="15366" max="15370" width="9.140625" style="545"/>
    <col min="15371" max="15371" width="9.5703125" style="545" customWidth="1"/>
    <col min="15372" max="15372" width="10" style="545" customWidth="1"/>
    <col min="15373" max="15373" width="5.85546875" style="545" customWidth="1"/>
    <col min="15374" max="15616" width="9.140625" style="545"/>
    <col min="15617" max="15617" width="12.7109375" style="545" customWidth="1"/>
    <col min="15618" max="15618" width="23.140625" style="545" customWidth="1"/>
    <col min="15619" max="15619" width="43.5703125" style="545" customWidth="1"/>
    <col min="15620" max="15620" width="6.42578125" style="545" customWidth="1"/>
    <col min="15621" max="15621" width="8.5703125" style="545" customWidth="1"/>
    <col min="15622" max="15626" width="9.140625" style="545"/>
    <col min="15627" max="15627" width="9.5703125" style="545" customWidth="1"/>
    <col min="15628" max="15628" width="10" style="545" customWidth="1"/>
    <col min="15629" max="15629" width="5.85546875" style="545" customWidth="1"/>
    <col min="15630" max="15872" width="9.140625" style="545"/>
    <col min="15873" max="15873" width="12.7109375" style="545" customWidth="1"/>
    <col min="15874" max="15874" width="23.140625" style="545" customWidth="1"/>
    <col min="15875" max="15875" width="43.5703125" style="545" customWidth="1"/>
    <col min="15876" max="15876" width="6.42578125" style="545" customWidth="1"/>
    <col min="15877" max="15877" width="8.5703125" style="545" customWidth="1"/>
    <col min="15878" max="15882" width="9.140625" style="545"/>
    <col min="15883" max="15883" width="9.5703125" style="545" customWidth="1"/>
    <col min="15884" max="15884" width="10" style="545" customWidth="1"/>
    <col min="15885" max="15885" width="5.85546875" style="545" customWidth="1"/>
    <col min="15886" max="16128" width="9.140625" style="545"/>
    <col min="16129" max="16129" width="12.7109375" style="545" customWidth="1"/>
    <col min="16130" max="16130" width="23.140625" style="545" customWidth="1"/>
    <col min="16131" max="16131" width="43.5703125" style="545" customWidth="1"/>
    <col min="16132" max="16132" width="6.42578125" style="545" customWidth="1"/>
    <col min="16133" max="16133" width="8.5703125" style="545" customWidth="1"/>
    <col min="16134" max="16138" width="9.140625" style="545"/>
    <col min="16139" max="16139" width="9.5703125" style="545" customWidth="1"/>
    <col min="16140" max="16140" width="10" style="545" customWidth="1"/>
    <col min="16141" max="16141" width="5.85546875" style="545" customWidth="1"/>
    <col min="16142" max="16384" width="9.140625" style="545"/>
  </cols>
  <sheetData>
    <row r="1" spans="1:14" x14ac:dyDescent="0.25">
      <c r="A1" s="771"/>
      <c r="B1" s="771" t="s">
        <v>1148</v>
      </c>
      <c r="C1" s="771" t="s">
        <v>1149</v>
      </c>
      <c r="D1" s="771" t="s">
        <v>1150</v>
      </c>
      <c r="E1" s="771" t="s">
        <v>161</v>
      </c>
      <c r="M1" s="771"/>
      <c r="N1" s="771"/>
    </row>
    <row r="2" spans="1:14" x14ac:dyDescent="0.25">
      <c r="B2" s="772" t="s">
        <v>1151</v>
      </c>
      <c r="C2" s="772" t="s">
        <v>1152</v>
      </c>
      <c r="D2" s="545" t="s">
        <v>943</v>
      </c>
    </row>
    <row r="3" spans="1:14" x14ac:dyDescent="0.25">
      <c r="B3" s="772" t="s">
        <v>1153</v>
      </c>
      <c r="C3" s="772" t="s">
        <v>1154</v>
      </c>
      <c r="D3" s="545" t="s">
        <v>943</v>
      </c>
      <c r="H3" s="772"/>
    </row>
    <row r="4" spans="1:14" x14ac:dyDescent="0.25">
      <c r="B4" s="772" t="s">
        <v>1155</v>
      </c>
      <c r="C4" s="772" t="s">
        <v>1156</v>
      </c>
      <c r="D4" s="545" t="s">
        <v>943</v>
      </c>
      <c r="H4" s="772"/>
    </row>
    <row r="5" spans="1:14" x14ac:dyDescent="0.25">
      <c r="B5" s="772" t="s">
        <v>1157</v>
      </c>
      <c r="C5" s="772" t="s">
        <v>1158</v>
      </c>
      <c r="D5" s="545" t="s">
        <v>943</v>
      </c>
      <c r="H5" s="772"/>
    </row>
    <row r="6" spans="1:14" x14ac:dyDescent="0.25">
      <c r="B6" s="772" t="s">
        <v>1159</v>
      </c>
      <c r="C6" s="772" t="s">
        <v>1160</v>
      </c>
      <c r="D6" s="545" t="s">
        <v>943</v>
      </c>
      <c r="H6" s="772"/>
    </row>
    <row r="7" spans="1:14" x14ac:dyDescent="0.25">
      <c r="B7" s="772" t="s">
        <v>1161</v>
      </c>
      <c r="C7" s="772" t="s">
        <v>1162</v>
      </c>
      <c r="D7" s="545" t="s">
        <v>943</v>
      </c>
      <c r="H7" s="772"/>
    </row>
    <row r="8" spans="1:14" x14ac:dyDescent="0.25">
      <c r="B8" s="772" t="s">
        <v>1163</v>
      </c>
      <c r="C8" s="772" t="s">
        <v>1164</v>
      </c>
      <c r="D8" s="545" t="s">
        <v>943</v>
      </c>
      <c r="H8" s="772"/>
    </row>
    <row r="9" spans="1:14" x14ac:dyDescent="0.25">
      <c r="B9" s="772" t="s">
        <v>1165</v>
      </c>
      <c r="C9" s="772" t="s">
        <v>1166</v>
      </c>
      <c r="D9" s="545" t="s">
        <v>943</v>
      </c>
      <c r="H9" s="772"/>
    </row>
    <row r="10" spans="1:14" x14ac:dyDescent="0.25">
      <c r="B10" s="772" t="s">
        <v>1167</v>
      </c>
      <c r="C10" s="772" t="s">
        <v>1168</v>
      </c>
      <c r="D10" s="545" t="s">
        <v>943</v>
      </c>
      <c r="H10" s="772"/>
    </row>
    <row r="11" spans="1:14" x14ac:dyDescent="0.25">
      <c r="B11" s="772" t="s">
        <v>1169</v>
      </c>
      <c r="C11" s="772" t="s">
        <v>1170</v>
      </c>
      <c r="D11" s="545" t="s">
        <v>943</v>
      </c>
      <c r="H11" s="772"/>
    </row>
    <row r="12" spans="1:14" x14ac:dyDescent="0.25">
      <c r="B12" s="772" t="s">
        <v>1171</v>
      </c>
      <c r="C12" s="772" t="s">
        <v>1172</v>
      </c>
      <c r="D12" s="545" t="s">
        <v>943</v>
      </c>
      <c r="H12" s="772"/>
    </row>
    <row r="13" spans="1:14" x14ac:dyDescent="0.25">
      <c r="A13" s="773"/>
      <c r="B13" s="772" t="s">
        <v>1173</v>
      </c>
      <c r="C13" s="772" t="s">
        <v>1174</v>
      </c>
      <c r="D13" s="545" t="s">
        <v>943</v>
      </c>
      <c r="F13" s="772"/>
      <c r="G13" s="772"/>
      <c r="H13" s="772"/>
    </row>
    <row r="14" spans="1:14" x14ac:dyDescent="0.25">
      <c r="A14" s="773"/>
      <c r="B14" s="772" t="s">
        <v>1175</v>
      </c>
      <c r="C14" s="772" t="s">
        <v>1176</v>
      </c>
      <c r="D14" s="545" t="s">
        <v>943</v>
      </c>
      <c r="F14" s="772"/>
      <c r="G14" s="772"/>
      <c r="H14" s="772"/>
    </row>
    <row r="15" spans="1:14" x14ac:dyDescent="0.25">
      <c r="A15" s="773"/>
      <c r="B15" s="772" t="s">
        <v>1177</v>
      </c>
      <c r="C15" s="772" t="s">
        <v>1178</v>
      </c>
      <c r="D15" s="545" t="s">
        <v>943</v>
      </c>
      <c r="F15" s="772"/>
      <c r="G15" s="772"/>
      <c r="H15" s="772"/>
    </row>
    <row r="16" spans="1:14" x14ac:dyDescent="0.25">
      <c r="A16" s="773"/>
      <c r="B16" s="772" t="s">
        <v>1179</v>
      </c>
      <c r="C16" s="772" t="s">
        <v>1180</v>
      </c>
      <c r="D16" s="545" t="s">
        <v>943</v>
      </c>
      <c r="F16" s="772"/>
      <c r="G16" s="772"/>
      <c r="H16" s="772"/>
    </row>
    <row r="17" spans="1:8" x14ac:dyDescent="0.25">
      <c r="A17" s="773"/>
      <c r="B17" s="772" t="s">
        <v>1181</v>
      </c>
      <c r="C17" s="772" t="s">
        <v>1182</v>
      </c>
      <c r="D17" s="545" t="s">
        <v>943</v>
      </c>
      <c r="F17" s="772"/>
      <c r="G17" s="772"/>
      <c r="H17" s="772"/>
    </row>
    <row r="18" spans="1:8" x14ac:dyDescent="0.25">
      <c r="A18" s="773"/>
      <c r="B18" s="772" t="s">
        <v>1183</v>
      </c>
      <c r="C18" s="772" t="s">
        <v>1184</v>
      </c>
      <c r="D18" s="545" t="s">
        <v>943</v>
      </c>
      <c r="F18" s="772"/>
      <c r="G18" s="772"/>
      <c r="H18" s="772"/>
    </row>
    <row r="19" spans="1:8" x14ac:dyDescent="0.25">
      <c r="A19" s="773"/>
      <c r="B19" s="772" t="s">
        <v>1185</v>
      </c>
      <c r="C19" s="772" t="s">
        <v>1186</v>
      </c>
      <c r="D19" s="545" t="s">
        <v>943</v>
      </c>
      <c r="F19" s="772"/>
      <c r="G19" s="772"/>
    </row>
    <row r="20" spans="1:8" x14ac:dyDescent="0.25">
      <c r="A20" s="773"/>
      <c r="B20" s="772" t="s">
        <v>1187</v>
      </c>
      <c r="C20" s="772" t="s">
        <v>1188</v>
      </c>
      <c r="D20" s="545" t="s">
        <v>943</v>
      </c>
      <c r="F20" s="772"/>
      <c r="G20" s="772"/>
    </row>
    <row r="21" spans="1:8" x14ac:dyDescent="0.25">
      <c r="A21" s="773"/>
      <c r="B21" s="772" t="s">
        <v>1189</v>
      </c>
      <c r="C21" s="772" t="s">
        <v>1190</v>
      </c>
      <c r="D21" s="545" t="s">
        <v>943</v>
      </c>
      <c r="F21" s="772"/>
      <c r="G21" s="772"/>
    </row>
    <row r="22" spans="1:8" x14ac:dyDescent="0.25">
      <c r="A22" s="773"/>
      <c r="B22" s="772" t="s">
        <v>1191</v>
      </c>
      <c r="C22" s="772" t="s">
        <v>1192</v>
      </c>
      <c r="D22" s="545" t="s">
        <v>943</v>
      </c>
      <c r="F22" s="772"/>
      <c r="G22" s="772"/>
    </row>
    <row r="23" spans="1:8" x14ac:dyDescent="0.25">
      <c r="A23" s="773"/>
      <c r="B23" s="772" t="s">
        <v>1193</v>
      </c>
      <c r="C23" s="772" t="s">
        <v>1194</v>
      </c>
      <c r="D23" s="545" t="s">
        <v>943</v>
      </c>
      <c r="F23" s="772"/>
      <c r="G23" s="772"/>
    </row>
    <row r="24" spans="1:8" x14ac:dyDescent="0.25">
      <c r="A24" s="773"/>
      <c r="B24" s="772" t="s">
        <v>1195</v>
      </c>
      <c r="C24" s="772" t="s">
        <v>1196</v>
      </c>
      <c r="D24" s="545" t="s">
        <v>943</v>
      </c>
      <c r="F24" s="772"/>
      <c r="G24" s="772"/>
    </row>
    <row r="25" spans="1:8" x14ac:dyDescent="0.25">
      <c r="A25" s="773"/>
      <c r="B25" s="772" t="s">
        <v>1197</v>
      </c>
      <c r="C25" s="772" t="s">
        <v>1198</v>
      </c>
      <c r="D25" s="545" t="s">
        <v>943</v>
      </c>
      <c r="F25" s="772"/>
      <c r="G25" s="772"/>
    </row>
    <row r="26" spans="1:8" x14ac:dyDescent="0.25">
      <c r="A26" s="773"/>
      <c r="B26" s="772" t="s">
        <v>1199</v>
      </c>
      <c r="C26" s="772" t="s">
        <v>1200</v>
      </c>
      <c r="D26" s="545" t="s">
        <v>943</v>
      </c>
      <c r="F26" s="772"/>
      <c r="G26" s="772"/>
    </row>
    <row r="27" spans="1:8" x14ac:dyDescent="0.25">
      <c r="A27" s="773"/>
      <c r="B27" s="772" t="s">
        <v>1201</v>
      </c>
      <c r="C27" s="772" t="s">
        <v>1202</v>
      </c>
      <c r="D27" s="545" t="s">
        <v>943</v>
      </c>
      <c r="F27" s="772"/>
      <c r="G27" s="772"/>
      <c r="H27" s="772"/>
    </row>
    <row r="28" spans="1:8" x14ac:dyDescent="0.25">
      <c r="A28" s="773"/>
      <c r="B28" s="772" t="s">
        <v>1203</v>
      </c>
      <c r="C28" s="772" t="s">
        <v>1204</v>
      </c>
      <c r="D28" s="545" t="s">
        <v>943</v>
      </c>
      <c r="F28" s="772"/>
      <c r="G28" s="772"/>
      <c r="H28" s="772"/>
    </row>
    <row r="29" spans="1:8" x14ac:dyDescent="0.25">
      <c r="A29" s="773"/>
      <c r="B29" s="772" t="s">
        <v>1205</v>
      </c>
      <c r="C29" s="772" t="s">
        <v>1206</v>
      </c>
      <c r="D29" s="545" t="s">
        <v>943</v>
      </c>
      <c r="F29" s="772"/>
      <c r="G29" s="772"/>
      <c r="H29" s="772"/>
    </row>
    <row r="30" spans="1:8" x14ac:dyDescent="0.25">
      <c r="A30" s="773"/>
      <c r="B30" s="772" t="s">
        <v>1207</v>
      </c>
      <c r="C30" s="772" t="s">
        <v>1208</v>
      </c>
      <c r="D30" s="545" t="s">
        <v>943</v>
      </c>
      <c r="F30" s="772"/>
      <c r="G30" s="772"/>
      <c r="H30" s="772"/>
    </row>
    <row r="31" spans="1:8" x14ac:dyDescent="0.25">
      <c r="A31" s="773"/>
      <c r="B31" s="772" t="s">
        <v>1209</v>
      </c>
      <c r="C31" s="772" t="s">
        <v>1210</v>
      </c>
      <c r="D31" s="545" t="s">
        <v>943</v>
      </c>
      <c r="F31" s="772"/>
      <c r="G31" s="772"/>
      <c r="H31" s="772"/>
    </row>
    <row r="32" spans="1:8" x14ac:dyDescent="0.25">
      <c r="A32" s="773"/>
      <c r="B32" s="772" t="s">
        <v>1211</v>
      </c>
      <c r="C32" s="772" t="s">
        <v>1212</v>
      </c>
      <c r="D32" s="545" t="s">
        <v>943</v>
      </c>
      <c r="F32" s="772"/>
      <c r="G32" s="772"/>
      <c r="H32" s="772"/>
    </row>
    <row r="33" spans="1:8" x14ac:dyDescent="0.25">
      <c r="A33" s="773"/>
      <c r="B33" s="772" t="s">
        <v>1213</v>
      </c>
      <c r="C33" s="772" t="s">
        <v>1214</v>
      </c>
      <c r="D33" s="545" t="s">
        <v>943</v>
      </c>
      <c r="F33" s="772"/>
      <c r="G33" s="772"/>
      <c r="H33" s="772"/>
    </row>
    <row r="34" spans="1:8" x14ac:dyDescent="0.25">
      <c r="A34" s="773"/>
      <c r="B34" s="772" t="s">
        <v>1215</v>
      </c>
      <c r="C34" s="772" t="s">
        <v>1216</v>
      </c>
      <c r="D34" s="545" t="s">
        <v>943</v>
      </c>
      <c r="F34" s="772"/>
      <c r="G34" s="772"/>
      <c r="H34" s="772"/>
    </row>
    <row r="35" spans="1:8" x14ac:dyDescent="0.25">
      <c r="A35" s="773"/>
      <c r="B35" s="772" t="s">
        <v>1217</v>
      </c>
      <c r="C35" s="772" t="s">
        <v>1218</v>
      </c>
      <c r="D35" s="545" t="s">
        <v>943</v>
      </c>
      <c r="F35" s="772"/>
      <c r="G35" s="772"/>
      <c r="H35" s="772"/>
    </row>
    <row r="36" spans="1:8" x14ac:dyDescent="0.25">
      <c r="A36" s="773"/>
      <c r="B36" s="772" t="s">
        <v>1219</v>
      </c>
      <c r="C36" s="772" t="s">
        <v>1220</v>
      </c>
      <c r="D36" s="545" t="s">
        <v>943</v>
      </c>
      <c r="F36" s="772"/>
      <c r="G36" s="772"/>
      <c r="H36" s="772"/>
    </row>
    <row r="37" spans="1:8" x14ac:dyDescent="0.25">
      <c r="A37" s="773"/>
      <c r="B37" s="772" t="s">
        <v>1221</v>
      </c>
      <c r="C37" s="772" t="s">
        <v>1222</v>
      </c>
      <c r="D37" s="545" t="s">
        <v>943</v>
      </c>
      <c r="F37" s="772"/>
      <c r="G37" s="772"/>
      <c r="H37" s="772"/>
    </row>
    <row r="38" spans="1:8" x14ac:dyDescent="0.25">
      <c r="A38" s="773"/>
      <c r="B38" s="772" t="s">
        <v>1223</v>
      </c>
      <c r="C38" s="772" t="s">
        <v>1224</v>
      </c>
      <c r="D38" s="545" t="s">
        <v>943</v>
      </c>
      <c r="F38" s="772"/>
      <c r="G38" s="772"/>
      <c r="H38" s="772"/>
    </row>
    <row r="39" spans="1:8" x14ac:dyDescent="0.25">
      <c r="A39" s="773"/>
      <c r="B39" s="772" t="s">
        <v>1225</v>
      </c>
      <c r="C39" s="772" t="s">
        <v>1226</v>
      </c>
      <c r="D39" s="545" t="s">
        <v>943</v>
      </c>
      <c r="F39" s="772"/>
      <c r="G39" s="772"/>
      <c r="H39" s="772"/>
    </row>
    <row r="40" spans="1:8" x14ac:dyDescent="0.25">
      <c r="A40" s="773"/>
      <c r="B40" s="772" t="s">
        <v>1227</v>
      </c>
      <c r="C40" s="772" t="s">
        <v>1228</v>
      </c>
      <c r="D40" s="545" t="s">
        <v>943</v>
      </c>
      <c r="F40" s="772"/>
      <c r="G40" s="772"/>
      <c r="H40" s="772"/>
    </row>
    <row r="41" spans="1:8" x14ac:dyDescent="0.25">
      <c r="A41" s="773"/>
      <c r="B41" s="772" t="s">
        <v>1229</v>
      </c>
      <c r="C41" s="772" t="s">
        <v>1230</v>
      </c>
      <c r="D41" s="545" t="s">
        <v>943</v>
      </c>
      <c r="F41" s="772"/>
      <c r="G41" s="772"/>
      <c r="H41" s="772"/>
    </row>
    <row r="42" spans="1:8" x14ac:dyDescent="0.25">
      <c r="A42" s="773"/>
      <c r="B42" s="772" t="s">
        <v>1231</v>
      </c>
      <c r="C42" s="772" t="s">
        <v>1232</v>
      </c>
      <c r="D42" s="545" t="s">
        <v>943</v>
      </c>
      <c r="F42" s="772"/>
      <c r="G42" s="772"/>
      <c r="H42" s="772"/>
    </row>
    <row r="43" spans="1:8" x14ac:dyDescent="0.25">
      <c r="A43" s="773"/>
      <c r="B43" s="772" t="s">
        <v>1233</v>
      </c>
      <c r="C43" s="772" t="s">
        <v>1234</v>
      </c>
      <c r="D43" s="545" t="s">
        <v>943</v>
      </c>
      <c r="F43" s="772"/>
      <c r="G43" s="772"/>
      <c r="H43" s="772"/>
    </row>
    <row r="44" spans="1:8" x14ac:dyDescent="0.25">
      <c r="A44" s="773"/>
      <c r="B44" s="772" t="s">
        <v>1235</v>
      </c>
      <c r="C44" s="772" t="s">
        <v>1236</v>
      </c>
      <c r="D44" s="545" t="s">
        <v>943</v>
      </c>
      <c r="F44" s="772"/>
      <c r="G44" s="772"/>
      <c r="H44" s="772"/>
    </row>
    <row r="45" spans="1:8" x14ac:dyDescent="0.25">
      <c r="A45" s="773"/>
      <c r="B45" s="772" t="s">
        <v>1237</v>
      </c>
      <c r="C45" s="772" t="s">
        <v>1238</v>
      </c>
      <c r="D45" s="545" t="s">
        <v>943</v>
      </c>
      <c r="F45" s="772"/>
      <c r="G45" s="772"/>
    </row>
    <row r="46" spans="1:8" x14ac:dyDescent="0.25">
      <c r="A46" s="773"/>
      <c r="B46" s="772" t="s">
        <v>1239</v>
      </c>
      <c r="C46" s="772" t="s">
        <v>1240</v>
      </c>
      <c r="D46" s="545" t="s">
        <v>943</v>
      </c>
      <c r="F46" s="772"/>
      <c r="G46" s="772"/>
    </row>
    <row r="47" spans="1:8" x14ac:dyDescent="0.25">
      <c r="A47" s="773"/>
      <c r="B47" s="772" t="s">
        <v>1241</v>
      </c>
      <c r="C47" s="772" t="s">
        <v>1242</v>
      </c>
      <c r="D47" s="545" t="s">
        <v>943</v>
      </c>
      <c r="F47" s="772"/>
      <c r="G47" s="772"/>
    </row>
    <row r="48" spans="1:8" x14ac:dyDescent="0.25">
      <c r="A48" s="773"/>
      <c r="B48" s="772" t="s">
        <v>1243</v>
      </c>
      <c r="C48" s="772" t="s">
        <v>1244</v>
      </c>
      <c r="D48" s="545" t="s">
        <v>943</v>
      </c>
      <c r="F48" s="772"/>
      <c r="G48" s="772"/>
      <c r="H48" s="772"/>
    </row>
    <row r="49" spans="1:8" x14ac:dyDescent="0.25">
      <c r="A49" s="773"/>
      <c r="B49" s="772" t="s">
        <v>1245</v>
      </c>
      <c r="C49" s="772" t="s">
        <v>1246</v>
      </c>
      <c r="D49" s="545" t="s">
        <v>943</v>
      </c>
      <c r="F49" s="772"/>
      <c r="G49" s="772"/>
      <c r="H49" s="772"/>
    </row>
    <row r="50" spans="1:8" x14ac:dyDescent="0.25">
      <c r="A50" s="773"/>
      <c r="B50" s="772" t="s">
        <v>1247</v>
      </c>
      <c r="C50" s="772" t="s">
        <v>1248</v>
      </c>
      <c r="D50" s="545" t="s">
        <v>943</v>
      </c>
      <c r="F50" s="772"/>
      <c r="G50" s="772"/>
      <c r="H50" s="772"/>
    </row>
    <row r="51" spans="1:8" x14ac:dyDescent="0.25">
      <c r="A51" s="773"/>
      <c r="B51" s="772" t="s">
        <v>1249</v>
      </c>
      <c r="C51" s="772" t="s">
        <v>1250</v>
      </c>
      <c r="D51" s="545" t="s">
        <v>943</v>
      </c>
      <c r="F51" s="772"/>
      <c r="G51" s="772"/>
      <c r="H51" s="772"/>
    </row>
    <row r="52" spans="1:8" x14ac:dyDescent="0.25">
      <c r="A52" s="773"/>
      <c r="B52" s="772" t="s">
        <v>1251</v>
      </c>
      <c r="C52" s="772" t="s">
        <v>1252</v>
      </c>
      <c r="D52" s="545" t="s">
        <v>943</v>
      </c>
      <c r="F52" s="772"/>
      <c r="G52" s="772"/>
      <c r="H52" s="772"/>
    </row>
    <row r="53" spans="1:8" x14ac:dyDescent="0.25">
      <c r="A53" s="773"/>
      <c r="B53" s="772" t="s">
        <v>1253</v>
      </c>
      <c r="C53" s="772" t="s">
        <v>1254</v>
      </c>
      <c r="D53" s="545" t="s">
        <v>943</v>
      </c>
      <c r="F53" s="772"/>
      <c r="G53" s="772"/>
      <c r="H53" s="772"/>
    </row>
    <row r="54" spans="1:8" x14ac:dyDescent="0.25">
      <c r="A54" s="773"/>
      <c r="B54" s="772" t="s">
        <v>1255</v>
      </c>
      <c r="C54" s="772" t="s">
        <v>1256</v>
      </c>
      <c r="D54" s="545" t="s">
        <v>943</v>
      </c>
      <c r="F54" s="772"/>
      <c r="G54" s="772"/>
      <c r="H54" s="772"/>
    </row>
    <row r="55" spans="1:8" x14ac:dyDescent="0.25">
      <c r="A55" s="773"/>
      <c r="B55" s="772" t="s">
        <v>1257</v>
      </c>
      <c r="C55" s="772" t="s">
        <v>1258</v>
      </c>
      <c r="D55" s="545" t="s">
        <v>943</v>
      </c>
      <c r="F55" s="772"/>
      <c r="G55" s="772"/>
      <c r="H55" s="772"/>
    </row>
    <row r="56" spans="1:8" x14ac:dyDescent="0.25">
      <c r="A56" s="773"/>
      <c r="B56" s="772" t="s">
        <v>1259</v>
      </c>
      <c r="C56" s="772" t="s">
        <v>1260</v>
      </c>
      <c r="D56" s="545" t="s">
        <v>943</v>
      </c>
      <c r="F56" s="772"/>
      <c r="G56" s="772"/>
      <c r="H56" s="772"/>
    </row>
    <row r="57" spans="1:8" x14ac:dyDescent="0.25">
      <c r="A57" s="773"/>
      <c r="B57" s="772" t="s">
        <v>1261</v>
      </c>
      <c r="C57" s="772" t="s">
        <v>1262</v>
      </c>
      <c r="D57" s="545" t="s">
        <v>943</v>
      </c>
      <c r="F57" s="772"/>
      <c r="G57" s="772"/>
      <c r="H57" s="772"/>
    </row>
    <row r="58" spans="1:8" x14ac:dyDescent="0.25">
      <c r="A58" s="773"/>
      <c r="B58" s="772" t="s">
        <v>1263</v>
      </c>
      <c r="C58" s="772" t="s">
        <v>1264</v>
      </c>
      <c r="D58" s="545" t="s">
        <v>943</v>
      </c>
      <c r="F58" s="772"/>
      <c r="G58" s="772"/>
      <c r="H58" s="772"/>
    </row>
    <row r="59" spans="1:8" x14ac:dyDescent="0.25">
      <c r="A59" s="773"/>
      <c r="B59" s="772" t="s">
        <v>1265</v>
      </c>
      <c r="C59" s="772" t="s">
        <v>1266</v>
      </c>
      <c r="D59" s="545" t="s">
        <v>943</v>
      </c>
      <c r="F59" s="772"/>
      <c r="G59" s="772"/>
      <c r="H59" s="772"/>
    </row>
    <row r="60" spans="1:8" x14ac:dyDescent="0.25">
      <c r="A60" s="773"/>
      <c r="B60" s="772" t="s">
        <v>1267</v>
      </c>
      <c r="C60" s="772" t="s">
        <v>1268</v>
      </c>
      <c r="D60" s="545" t="s">
        <v>943</v>
      </c>
      <c r="F60" s="772"/>
      <c r="G60" s="772"/>
      <c r="H60" s="772"/>
    </row>
    <row r="61" spans="1:8" x14ac:dyDescent="0.25">
      <c r="A61" s="773"/>
      <c r="B61" s="772" t="s">
        <v>1269</v>
      </c>
      <c r="C61" s="772" t="s">
        <v>1270</v>
      </c>
      <c r="D61" s="545" t="s">
        <v>943</v>
      </c>
      <c r="F61" s="772"/>
      <c r="G61" s="772"/>
      <c r="H61" s="772"/>
    </row>
    <row r="62" spans="1:8" x14ac:dyDescent="0.25">
      <c r="A62" s="773"/>
      <c r="B62" s="772" t="s">
        <v>1271</v>
      </c>
      <c r="C62" s="772" t="s">
        <v>1272</v>
      </c>
      <c r="D62" s="545" t="s">
        <v>943</v>
      </c>
      <c r="F62" s="772"/>
      <c r="G62" s="772"/>
      <c r="H62" s="772"/>
    </row>
    <row r="63" spans="1:8" x14ac:dyDescent="0.25">
      <c r="A63" s="773"/>
      <c r="B63" s="772" t="s">
        <v>1273</v>
      </c>
      <c r="C63" s="772" t="s">
        <v>1274</v>
      </c>
      <c r="D63" s="545" t="s">
        <v>943</v>
      </c>
      <c r="F63" s="772"/>
      <c r="G63" s="772"/>
      <c r="H63" s="772"/>
    </row>
    <row r="64" spans="1:8" x14ac:dyDescent="0.25">
      <c r="A64" s="773"/>
      <c r="B64" s="772" t="s">
        <v>1275</v>
      </c>
      <c r="C64" s="772" t="s">
        <v>1276</v>
      </c>
      <c r="D64" s="545" t="s">
        <v>943</v>
      </c>
      <c r="F64" s="772"/>
      <c r="G64" s="772"/>
      <c r="H64" s="772"/>
    </row>
    <row r="65" spans="1:8" x14ac:dyDescent="0.25">
      <c r="A65" s="773"/>
      <c r="B65" s="772" t="s">
        <v>1277</v>
      </c>
      <c r="C65" s="772" t="s">
        <v>1278</v>
      </c>
      <c r="D65" s="545" t="s">
        <v>943</v>
      </c>
      <c r="F65" s="772"/>
      <c r="G65" s="772"/>
      <c r="H65" s="772"/>
    </row>
    <row r="66" spans="1:8" x14ac:dyDescent="0.25">
      <c r="A66" s="773"/>
      <c r="B66" s="772" t="s">
        <v>1279</v>
      </c>
      <c r="C66" s="772" t="s">
        <v>1280</v>
      </c>
      <c r="D66" s="545" t="s">
        <v>943</v>
      </c>
      <c r="F66" s="772"/>
      <c r="G66" s="772"/>
      <c r="H66" s="772"/>
    </row>
    <row r="67" spans="1:8" x14ac:dyDescent="0.25">
      <c r="A67" s="773"/>
      <c r="B67" s="772" t="s">
        <v>1281</v>
      </c>
      <c r="C67" s="772" t="s">
        <v>1282</v>
      </c>
      <c r="D67" s="545" t="s">
        <v>943</v>
      </c>
      <c r="F67" s="772"/>
      <c r="G67" s="772"/>
      <c r="H67" s="772"/>
    </row>
    <row r="68" spans="1:8" x14ac:dyDescent="0.25">
      <c r="A68" s="773"/>
      <c r="B68" s="772" t="s">
        <v>1283</v>
      </c>
      <c r="C68" s="772" t="s">
        <v>1284</v>
      </c>
      <c r="D68" s="545" t="s">
        <v>943</v>
      </c>
      <c r="F68" s="772"/>
      <c r="G68" s="772"/>
      <c r="H68" s="772"/>
    </row>
    <row r="69" spans="1:8" x14ac:dyDescent="0.25">
      <c r="A69" s="773"/>
      <c r="B69" s="772" t="s">
        <v>1285</v>
      </c>
      <c r="C69" s="772" t="s">
        <v>1286</v>
      </c>
      <c r="D69" s="545" t="s">
        <v>943</v>
      </c>
      <c r="F69" s="772"/>
      <c r="G69" s="772"/>
      <c r="H69" s="772"/>
    </row>
    <row r="70" spans="1:8" x14ac:dyDescent="0.25">
      <c r="A70" s="773"/>
      <c r="B70" s="772" t="s">
        <v>1287</v>
      </c>
      <c r="C70" s="772" t="s">
        <v>1288</v>
      </c>
      <c r="D70" s="545" t="s">
        <v>943</v>
      </c>
      <c r="F70" s="772"/>
      <c r="G70" s="772"/>
      <c r="H70" s="772"/>
    </row>
    <row r="71" spans="1:8" x14ac:dyDescent="0.25">
      <c r="A71" s="773"/>
      <c r="B71" s="772" t="s">
        <v>1289</v>
      </c>
      <c r="C71" s="772" t="s">
        <v>1290</v>
      </c>
      <c r="D71" s="545" t="s">
        <v>943</v>
      </c>
      <c r="F71" s="772"/>
      <c r="G71" s="772"/>
      <c r="H71" s="772"/>
    </row>
    <row r="72" spans="1:8" x14ac:dyDescent="0.25">
      <c r="A72" s="773"/>
      <c r="B72" s="772" t="s">
        <v>1291</v>
      </c>
      <c r="C72" s="772" t="s">
        <v>1292</v>
      </c>
      <c r="D72" s="545" t="s">
        <v>943</v>
      </c>
      <c r="F72" s="772"/>
      <c r="G72" s="772"/>
      <c r="H72" s="772"/>
    </row>
    <row r="73" spans="1:8" x14ac:dyDescent="0.25">
      <c r="A73" s="773"/>
      <c r="B73" s="772" t="s">
        <v>1293</v>
      </c>
      <c r="C73" s="772" t="s">
        <v>1294</v>
      </c>
      <c r="D73" s="545" t="s">
        <v>943</v>
      </c>
      <c r="F73" s="772"/>
      <c r="G73" s="772"/>
      <c r="H73" s="772"/>
    </row>
    <row r="74" spans="1:8" x14ac:dyDescent="0.25">
      <c r="A74" s="773"/>
      <c r="B74" s="772" t="s">
        <v>1295</v>
      </c>
      <c r="C74" s="772" t="s">
        <v>1296</v>
      </c>
      <c r="D74" s="545" t="s">
        <v>943</v>
      </c>
      <c r="F74" s="772"/>
      <c r="G74" s="772"/>
      <c r="H74" s="772"/>
    </row>
    <row r="75" spans="1:8" x14ac:dyDescent="0.25">
      <c r="A75" s="773"/>
      <c r="B75" s="772" t="s">
        <v>1297</v>
      </c>
      <c r="C75" s="772" t="s">
        <v>1298</v>
      </c>
      <c r="D75" s="545" t="s">
        <v>943</v>
      </c>
      <c r="F75" s="772"/>
      <c r="G75" s="772"/>
      <c r="H75" s="772"/>
    </row>
    <row r="76" spans="1:8" x14ac:dyDescent="0.25">
      <c r="A76" s="773"/>
      <c r="B76" s="772" t="s">
        <v>1299</v>
      </c>
      <c r="C76" s="772" t="s">
        <v>1300</v>
      </c>
      <c r="D76" s="545" t="s">
        <v>943</v>
      </c>
      <c r="F76" s="772"/>
      <c r="G76" s="772"/>
    </row>
    <row r="77" spans="1:8" x14ac:dyDescent="0.25">
      <c r="A77" s="773"/>
      <c r="B77" s="772" t="s">
        <v>1301</v>
      </c>
      <c r="C77" s="772" t="s">
        <v>1302</v>
      </c>
      <c r="D77" s="545" t="s">
        <v>943</v>
      </c>
      <c r="F77" s="772"/>
      <c r="G77" s="772"/>
    </row>
    <row r="78" spans="1:8" x14ac:dyDescent="0.25">
      <c r="A78" s="773"/>
      <c r="B78" s="772" t="s">
        <v>1303</v>
      </c>
      <c r="C78" s="772" t="s">
        <v>1304</v>
      </c>
      <c r="D78" s="545" t="s">
        <v>943</v>
      </c>
      <c r="F78" s="772"/>
      <c r="G78" s="772"/>
      <c r="H78" s="772"/>
    </row>
    <row r="79" spans="1:8" x14ac:dyDescent="0.25">
      <c r="A79" s="773"/>
      <c r="B79" s="772" t="s">
        <v>1305</v>
      </c>
      <c r="C79" s="772" t="s">
        <v>1306</v>
      </c>
      <c r="D79" s="545" t="s">
        <v>943</v>
      </c>
      <c r="F79" s="772"/>
      <c r="G79" s="772"/>
      <c r="H79" s="772"/>
    </row>
    <row r="80" spans="1:8" x14ac:dyDescent="0.25">
      <c r="A80" s="773"/>
      <c r="B80" s="772" t="s">
        <v>1307</v>
      </c>
      <c r="C80" s="772" t="s">
        <v>1308</v>
      </c>
      <c r="D80" s="545" t="s">
        <v>943</v>
      </c>
      <c r="F80" s="772"/>
      <c r="G80" s="772"/>
      <c r="H80" s="772"/>
    </row>
    <row r="81" spans="1:8" x14ac:dyDescent="0.25">
      <c r="A81" s="773"/>
      <c r="B81" s="772" t="s">
        <v>1309</v>
      </c>
      <c r="C81" s="772" t="s">
        <v>1310</v>
      </c>
      <c r="D81" s="545" t="s">
        <v>943</v>
      </c>
      <c r="F81" s="772"/>
      <c r="G81" s="772"/>
      <c r="H81" s="772"/>
    </row>
    <row r="82" spans="1:8" x14ac:dyDescent="0.25">
      <c r="A82" s="773"/>
      <c r="B82" s="772" t="s">
        <v>1311</v>
      </c>
      <c r="C82" s="772" t="s">
        <v>1312</v>
      </c>
      <c r="D82" s="545" t="s">
        <v>943</v>
      </c>
      <c r="F82" s="772"/>
      <c r="G82" s="772"/>
      <c r="H82" s="772"/>
    </row>
    <row r="83" spans="1:8" x14ac:dyDescent="0.25">
      <c r="A83" s="773"/>
      <c r="B83" s="772" t="s">
        <v>1313</v>
      </c>
      <c r="C83" s="772" t="s">
        <v>1314</v>
      </c>
      <c r="D83" s="545" t="s">
        <v>943</v>
      </c>
      <c r="F83" s="772"/>
      <c r="G83" s="772"/>
      <c r="H83" s="772"/>
    </row>
    <row r="84" spans="1:8" x14ac:dyDescent="0.25">
      <c r="A84" s="773"/>
      <c r="B84" s="772" t="s">
        <v>1315</v>
      </c>
      <c r="C84" s="772" t="s">
        <v>1316</v>
      </c>
      <c r="D84" s="545" t="s">
        <v>943</v>
      </c>
      <c r="F84" s="772"/>
      <c r="G84" s="772"/>
      <c r="H84" s="772"/>
    </row>
    <row r="85" spans="1:8" x14ac:dyDescent="0.25">
      <c r="A85" s="773"/>
      <c r="B85" s="772" t="s">
        <v>1317</v>
      </c>
      <c r="C85" s="772" t="s">
        <v>1318</v>
      </c>
      <c r="D85" s="545" t="s">
        <v>943</v>
      </c>
      <c r="F85" s="772"/>
      <c r="G85" s="772"/>
      <c r="H85" s="772"/>
    </row>
    <row r="86" spans="1:8" x14ac:dyDescent="0.25">
      <c r="A86" s="773"/>
      <c r="B86" s="772" t="s">
        <v>1319</v>
      </c>
      <c r="C86" s="772" t="s">
        <v>1320</v>
      </c>
      <c r="D86" s="545" t="s">
        <v>943</v>
      </c>
      <c r="E86" s="772"/>
      <c r="F86" s="772"/>
      <c r="G86" s="772"/>
      <c r="H86" s="772"/>
    </row>
    <row r="87" spans="1:8" x14ac:dyDescent="0.25">
      <c r="A87" s="773"/>
      <c r="B87" s="772" t="s">
        <v>1321</v>
      </c>
      <c r="C87" s="772" t="s">
        <v>1322</v>
      </c>
      <c r="D87" s="545" t="s">
        <v>943</v>
      </c>
      <c r="E87" s="772"/>
      <c r="F87" s="772"/>
      <c r="G87" s="772"/>
      <c r="H87" s="772"/>
    </row>
    <row r="88" spans="1:8" x14ac:dyDescent="0.25">
      <c r="A88" s="773"/>
      <c r="B88" s="772" t="s">
        <v>1323</v>
      </c>
      <c r="C88" s="772" t="s">
        <v>1324</v>
      </c>
      <c r="D88" s="545" t="s">
        <v>943</v>
      </c>
      <c r="E88" s="772"/>
      <c r="F88" s="772"/>
      <c r="G88" s="772"/>
      <c r="H88" s="772"/>
    </row>
    <row r="89" spans="1:8" x14ac:dyDescent="0.25">
      <c r="A89" s="773"/>
      <c r="B89" s="772" t="s">
        <v>1325</v>
      </c>
      <c r="C89" s="772" t="s">
        <v>1326</v>
      </c>
      <c r="D89" s="545" t="s">
        <v>943</v>
      </c>
      <c r="E89" s="772"/>
      <c r="F89" s="772"/>
      <c r="G89" s="772"/>
      <c r="H89" s="772"/>
    </row>
    <row r="90" spans="1:8" x14ac:dyDescent="0.25">
      <c r="A90" s="773"/>
      <c r="B90" s="772" t="s">
        <v>1327</v>
      </c>
      <c r="C90" s="772" t="s">
        <v>1328</v>
      </c>
      <c r="D90" s="545" t="s">
        <v>943</v>
      </c>
      <c r="E90" s="772"/>
      <c r="F90" s="772"/>
      <c r="G90" s="772"/>
      <c r="H90" s="772"/>
    </row>
    <row r="91" spans="1:8" x14ac:dyDescent="0.25">
      <c r="A91" s="773"/>
      <c r="B91" s="772" t="s">
        <v>1329</v>
      </c>
      <c r="C91" s="772" t="s">
        <v>1330</v>
      </c>
      <c r="D91" s="545" t="s">
        <v>943</v>
      </c>
      <c r="E91" s="772"/>
      <c r="F91" s="772"/>
      <c r="G91" s="772"/>
      <c r="H91" s="772"/>
    </row>
    <row r="92" spans="1:8" x14ac:dyDescent="0.25">
      <c r="A92" s="773"/>
      <c r="B92" s="772" t="s">
        <v>1331</v>
      </c>
      <c r="C92" s="772" t="s">
        <v>1332</v>
      </c>
      <c r="D92" s="545" t="s">
        <v>943</v>
      </c>
      <c r="E92" s="772"/>
      <c r="F92" s="772"/>
      <c r="G92" s="772"/>
      <c r="H92" s="772"/>
    </row>
    <row r="93" spans="1:8" x14ac:dyDescent="0.25">
      <c r="A93" s="773"/>
      <c r="B93" s="772" t="s">
        <v>1333</v>
      </c>
      <c r="C93" s="772" t="s">
        <v>1334</v>
      </c>
      <c r="D93" s="545" t="s">
        <v>943</v>
      </c>
      <c r="E93" s="772"/>
      <c r="F93" s="772"/>
      <c r="G93" s="772"/>
      <c r="H93" s="772"/>
    </row>
    <row r="94" spans="1:8" x14ac:dyDescent="0.25">
      <c r="A94" s="773"/>
      <c r="B94" s="772" t="s">
        <v>1335</v>
      </c>
      <c r="C94" s="772" t="s">
        <v>1336</v>
      </c>
      <c r="D94" s="545" t="s">
        <v>943</v>
      </c>
      <c r="E94" s="772"/>
      <c r="F94" s="772"/>
      <c r="G94" s="772"/>
      <c r="H94" s="772"/>
    </row>
    <row r="95" spans="1:8" x14ac:dyDescent="0.25">
      <c r="A95" s="773"/>
      <c r="B95" s="772" t="s">
        <v>1337</v>
      </c>
      <c r="C95" s="772" t="s">
        <v>1338</v>
      </c>
      <c r="D95" s="545" t="s">
        <v>943</v>
      </c>
      <c r="E95" s="772"/>
      <c r="F95" s="772"/>
      <c r="G95" s="772"/>
      <c r="H95" s="772"/>
    </row>
    <row r="96" spans="1:8" x14ac:dyDescent="0.25">
      <c r="A96" s="773"/>
      <c r="B96" s="772" t="s">
        <v>1339</v>
      </c>
      <c r="C96" s="772" t="s">
        <v>1340</v>
      </c>
      <c r="D96" s="545" t="s">
        <v>943</v>
      </c>
      <c r="E96" s="772"/>
      <c r="F96" s="772"/>
      <c r="G96" s="772"/>
      <c r="H96" s="772"/>
    </row>
    <row r="97" spans="1:8" x14ac:dyDescent="0.25">
      <c r="A97" s="773"/>
      <c r="B97" s="772" t="s">
        <v>1341</v>
      </c>
      <c r="C97" s="772" t="s">
        <v>1342</v>
      </c>
      <c r="D97" s="545" t="s">
        <v>943</v>
      </c>
      <c r="E97" s="772"/>
      <c r="F97" s="772"/>
      <c r="G97" s="772"/>
      <c r="H97" s="772"/>
    </row>
    <row r="98" spans="1:8" x14ac:dyDescent="0.25">
      <c r="A98" s="773"/>
      <c r="B98" s="772" t="s">
        <v>1343</v>
      </c>
      <c r="C98" s="772" t="s">
        <v>1344</v>
      </c>
      <c r="D98" s="545" t="s">
        <v>943</v>
      </c>
      <c r="E98" s="772"/>
      <c r="F98" s="772"/>
      <c r="G98" s="772"/>
      <c r="H98" s="772"/>
    </row>
    <row r="99" spans="1:8" x14ac:dyDescent="0.25">
      <c r="A99" s="773"/>
      <c r="B99" s="772" t="s">
        <v>1345</v>
      </c>
      <c r="C99" s="772" t="s">
        <v>1346</v>
      </c>
      <c r="D99" s="545" t="s">
        <v>943</v>
      </c>
      <c r="E99" s="772"/>
      <c r="F99" s="772"/>
      <c r="G99" s="772"/>
    </row>
    <row r="100" spans="1:8" x14ac:dyDescent="0.25">
      <c r="A100" s="773"/>
      <c r="B100" s="772" t="s">
        <v>1347</v>
      </c>
      <c r="C100" s="772" t="s">
        <v>1348</v>
      </c>
      <c r="D100" s="545" t="s">
        <v>943</v>
      </c>
      <c r="E100" s="772"/>
      <c r="F100" s="772"/>
      <c r="G100" s="772"/>
    </row>
    <row r="101" spans="1:8" x14ac:dyDescent="0.25">
      <c r="A101" s="773"/>
      <c r="B101" s="772" t="s">
        <v>1349</v>
      </c>
      <c r="C101" s="772" t="s">
        <v>1350</v>
      </c>
      <c r="D101" s="545" t="s">
        <v>943</v>
      </c>
      <c r="E101" s="772"/>
      <c r="F101" s="772"/>
      <c r="G101" s="772"/>
    </row>
    <row r="102" spans="1:8" x14ac:dyDescent="0.25">
      <c r="A102" s="773"/>
      <c r="B102" s="772" t="s">
        <v>1351</v>
      </c>
      <c r="C102" s="772" t="s">
        <v>1352</v>
      </c>
      <c r="D102" s="545" t="s">
        <v>943</v>
      </c>
      <c r="E102" s="772"/>
      <c r="F102" s="772"/>
      <c r="G102" s="772"/>
    </row>
    <row r="103" spans="1:8" x14ac:dyDescent="0.25">
      <c r="A103" s="773"/>
      <c r="B103" s="772" t="s">
        <v>1353</v>
      </c>
      <c r="C103" s="772" t="s">
        <v>1354</v>
      </c>
      <c r="D103" s="545" t="s">
        <v>943</v>
      </c>
      <c r="E103" s="772"/>
      <c r="F103" s="772"/>
      <c r="G103" s="772"/>
    </row>
    <row r="104" spans="1:8" x14ac:dyDescent="0.25">
      <c r="A104" s="773"/>
      <c r="B104" s="772" t="s">
        <v>1355</v>
      </c>
      <c r="C104" s="772" t="s">
        <v>1356</v>
      </c>
      <c r="D104" s="545" t="s">
        <v>943</v>
      </c>
      <c r="E104" s="772"/>
      <c r="F104" s="772"/>
      <c r="G104" s="772"/>
    </row>
    <row r="105" spans="1:8" x14ac:dyDescent="0.25">
      <c r="A105" s="773"/>
      <c r="B105" s="772" t="s">
        <v>1357</v>
      </c>
      <c r="C105" s="772" t="s">
        <v>1358</v>
      </c>
      <c r="D105" s="545" t="s">
        <v>943</v>
      </c>
      <c r="E105" s="772"/>
      <c r="F105" s="772"/>
      <c r="G105" s="772"/>
    </row>
    <row r="106" spans="1:8" x14ac:dyDescent="0.25">
      <c r="A106" s="773"/>
      <c r="B106" s="772" t="s">
        <v>1359</v>
      </c>
      <c r="C106" s="772" t="s">
        <v>1360</v>
      </c>
      <c r="D106" s="545" t="s">
        <v>943</v>
      </c>
      <c r="E106" s="772"/>
      <c r="F106" s="772"/>
      <c r="G106" s="772"/>
      <c r="H106" s="772"/>
    </row>
    <row r="107" spans="1:8" x14ac:dyDescent="0.25">
      <c r="A107" s="773"/>
      <c r="B107" s="772" t="s">
        <v>1361</v>
      </c>
      <c r="C107" s="772" t="s">
        <v>1362</v>
      </c>
      <c r="D107" s="545" t="s">
        <v>943</v>
      </c>
      <c r="E107" s="772"/>
      <c r="F107" s="772"/>
      <c r="G107" s="772"/>
      <c r="H107" s="772"/>
    </row>
    <row r="108" spans="1:8" x14ac:dyDescent="0.25">
      <c r="A108" s="773"/>
      <c r="B108" s="772" t="s">
        <v>1363</v>
      </c>
      <c r="C108" s="772" t="s">
        <v>1364</v>
      </c>
      <c r="D108" s="545" t="s">
        <v>943</v>
      </c>
      <c r="E108" s="772"/>
      <c r="F108" s="772"/>
      <c r="G108" s="772"/>
      <c r="H108" s="772"/>
    </row>
    <row r="109" spans="1:8" x14ac:dyDescent="0.25">
      <c r="A109" s="773"/>
      <c r="B109" s="772" t="s">
        <v>1365</v>
      </c>
      <c r="C109" s="772" t="s">
        <v>1366</v>
      </c>
      <c r="D109" s="545" t="s">
        <v>943</v>
      </c>
      <c r="E109" s="772"/>
      <c r="F109" s="772"/>
      <c r="G109" s="772"/>
      <c r="H109" s="772"/>
    </row>
    <row r="110" spans="1:8" x14ac:dyDescent="0.25">
      <c r="A110" s="773"/>
      <c r="B110" s="772" t="s">
        <v>1367</v>
      </c>
      <c r="C110" s="772" t="s">
        <v>1368</v>
      </c>
      <c r="D110" s="545" t="s">
        <v>943</v>
      </c>
      <c r="E110" s="772"/>
      <c r="F110" s="772"/>
      <c r="G110" s="772"/>
      <c r="H110" s="772"/>
    </row>
    <row r="111" spans="1:8" x14ac:dyDescent="0.25">
      <c r="A111" s="773"/>
      <c r="B111" s="772" t="s">
        <v>1369</v>
      </c>
      <c r="C111" s="772" t="s">
        <v>1370</v>
      </c>
      <c r="D111" s="545" t="s">
        <v>943</v>
      </c>
      <c r="E111" s="772"/>
      <c r="F111" s="772"/>
      <c r="G111" s="772"/>
      <c r="H111" s="772"/>
    </row>
    <row r="112" spans="1:8" x14ac:dyDescent="0.25">
      <c r="A112" s="773"/>
      <c r="B112" s="772" t="s">
        <v>1371</v>
      </c>
      <c r="C112" s="772" t="s">
        <v>1372</v>
      </c>
      <c r="D112" s="545" t="s">
        <v>943</v>
      </c>
      <c r="E112" s="772"/>
      <c r="F112" s="772"/>
      <c r="G112" s="772"/>
      <c r="H112" s="772"/>
    </row>
    <row r="113" spans="1:8" x14ac:dyDescent="0.25">
      <c r="A113" s="773"/>
      <c r="B113" s="772" t="s">
        <v>1373</v>
      </c>
      <c r="C113" s="772" t="s">
        <v>1374</v>
      </c>
      <c r="D113" s="545" t="s">
        <v>943</v>
      </c>
      <c r="E113" s="772"/>
      <c r="F113" s="772"/>
      <c r="G113" s="772"/>
      <c r="H113" s="772"/>
    </row>
    <row r="114" spans="1:8" x14ac:dyDescent="0.25">
      <c r="A114" s="773"/>
      <c r="B114" s="772" t="s">
        <v>1375</v>
      </c>
      <c r="C114" s="772" t="s">
        <v>1376</v>
      </c>
      <c r="D114" s="545" t="s">
        <v>943</v>
      </c>
      <c r="E114" s="772"/>
      <c r="F114" s="772"/>
      <c r="G114" s="772"/>
      <c r="H114" s="772"/>
    </row>
    <row r="115" spans="1:8" x14ac:dyDescent="0.25">
      <c r="A115" s="773"/>
      <c r="B115" s="772" t="s">
        <v>1377</v>
      </c>
      <c r="C115" s="772" t="s">
        <v>1378</v>
      </c>
      <c r="D115" s="545" t="s">
        <v>943</v>
      </c>
      <c r="E115" s="772"/>
      <c r="F115" s="772"/>
      <c r="G115" s="772"/>
      <c r="H115" s="772"/>
    </row>
    <row r="116" spans="1:8" x14ac:dyDescent="0.25">
      <c r="A116" s="773"/>
      <c r="B116" s="772" t="s">
        <v>1379</v>
      </c>
      <c r="C116" s="772" t="s">
        <v>1380</v>
      </c>
      <c r="D116" s="545" t="s">
        <v>943</v>
      </c>
      <c r="E116" s="772"/>
      <c r="F116" s="772"/>
      <c r="G116" s="772"/>
      <c r="H116" s="772"/>
    </row>
    <row r="117" spans="1:8" x14ac:dyDescent="0.25">
      <c r="A117" s="773"/>
      <c r="B117" s="772" t="s">
        <v>1381</v>
      </c>
      <c r="C117" s="772" t="s">
        <v>1382</v>
      </c>
      <c r="D117" s="545" t="s">
        <v>943</v>
      </c>
      <c r="E117" s="772"/>
      <c r="F117" s="772"/>
      <c r="G117" s="772"/>
      <c r="H117" s="772"/>
    </row>
    <row r="118" spans="1:8" x14ac:dyDescent="0.25">
      <c r="A118" s="773"/>
      <c r="B118" s="772" t="s">
        <v>1383</v>
      </c>
      <c r="C118" s="772" t="s">
        <v>1384</v>
      </c>
      <c r="D118" s="545" t="s">
        <v>943</v>
      </c>
      <c r="E118" s="772"/>
      <c r="F118" s="772"/>
      <c r="G118" s="772"/>
      <c r="H118" s="772"/>
    </row>
    <row r="119" spans="1:8" x14ac:dyDescent="0.25">
      <c r="A119" s="773"/>
      <c r="B119" s="772" t="s">
        <v>1385</v>
      </c>
      <c r="C119" s="772" t="s">
        <v>1386</v>
      </c>
      <c r="D119" s="545" t="s">
        <v>943</v>
      </c>
      <c r="E119" s="772"/>
      <c r="F119" s="772"/>
      <c r="G119" s="772"/>
      <c r="H119" s="772"/>
    </row>
    <row r="120" spans="1:8" x14ac:dyDescent="0.25">
      <c r="A120" s="773"/>
      <c r="B120" s="772" t="s">
        <v>1387</v>
      </c>
      <c r="C120" s="772" t="s">
        <v>1388</v>
      </c>
      <c r="D120" s="545" t="s">
        <v>943</v>
      </c>
      <c r="E120" s="772"/>
      <c r="F120" s="772"/>
      <c r="G120" s="772"/>
      <c r="H120" s="772"/>
    </row>
    <row r="121" spans="1:8" x14ac:dyDescent="0.25">
      <c r="A121" s="773"/>
      <c r="B121" s="772" t="s">
        <v>1389</v>
      </c>
      <c r="C121" s="772" t="s">
        <v>1390</v>
      </c>
      <c r="D121" s="545" t="s">
        <v>943</v>
      </c>
      <c r="E121" s="772"/>
      <c r="F121" s="772"/>
      <c r="G121" s="772"/>
      <c r="H121" s="772"/>
    </row>
    <row r="122" spans="1:8" x14ac:dyDescent="0.25">
      <c r="A122" s="773"/>
      <c r="B122" s="772" t="s">
        <v>1391</v>
      </c>
      <c r="C122" s="772" t="s">
        <v>1392</v>
      </c>
      <c r="D122" s="545" t="s">
        <v>943</v>
      </c>
      <c r="E122" s="772"/>
      <c r="F122" s="772"/>
      <c r="G122" s="772"/>
      <c r="H122" s="772"/>
    </row>
    <row r="123" spans="1:8" x14ac:dyDescent="0.25">
      <c r="A123" s="773"/>
      <c r="B123" s="772" t="s">
        <v>1393</v>
      </c>
      <c r="C123" s="772" t="s">
        <v>1394</v>
      </c>
      <c r="D123" s="545" t="s">
        <v>943</v>
      </c>
      <c r="E123" s="772"/>
      <c r="F123" s="772"/>
      <c r="G123" s="772"/>
      <c r="H123" s="772"/>
    </row>
    <row r="124" spans="1:8" x14ac:dyDescent="0.25">
      <c r="A124" s="773"/>
      <c r="B124" s="772" t="s">
        <v>1395</v>
      </c>
      <c r="C124" s="772" t="s">
        <v>1396</v>
      </c>
      <c r="D124" s="545" t="s">
        <v>943</v>
      </c>
      <c r="E124" s="772"/>
      <c r="F124" s="772"/>
      <c r="G124" s="772"/>
      <c r="H124" s="772"/>
    </row>
    <row r="125" spans="1:8" x14ac:dyDescent="0.25">
      <c r="A125" s="773"/>
      <c r="B125" s="772" t="s">
        <v>1397</v>
      </c>
      <c r="C125" s="772" t="s">
        <v>1398</v>
      </c>
      <c r="D125" s="545" t="s">
        <v>943</v>
      </c>
      <c r="E125" s="772"/>
      <c r="F125" s="772"/>
      <c r="G125" s="772"/>
    </row>
    <row r="126" spans="1:8" x14ac:dyDescent="0.25">
      <c r="A126" s="773"/>
      <c r="B126" s="772" t="s">
        <v>1399</v>
      </c>
      <c r="C126" s="772" t="s">
        <v>1400</v>
      </c>
      <c r="D126" s="545" t="s">
        <v>943</v>
      </c>
      <c r="E126" s="772"/>
      <c r="F126" s="772"/>
      <c r="G126" s="772"/>
    </row>
    <row r="127" spans="1:8" x14ac:dyDescent="0.25">
      <c r="A127" s="773"/>
      <c r="B127" s="772" t="s">
        <v>1401</v>
      </c>
      <c r="C127" s="772" t="s">
        <v>1402</v>
      </c>
      <c r="D127" s="545" t="s">
        <v>943</v>
      </c>
      <c r="E127" s="772"/>
      <c r="F127" s="772"/>
      <c r="G127" s="772"/>
    </row>
    <row r="128" spans="1:8" x14ac:dyDescent="0.25">
      <c r="A128" s="773"/>
      <c r="B128" s="772" t="s">
        <v>1403</v>
      </c>
      <c r="C128" s="772" t="s">
        <v>1404</v>
      </c>
      <c r="D128" s="545" t="s">
        <v>943</v>
      </c>
      <c r="E128" s="772"/>
      <c r="F128" s="772"/>
      <c r="G128" s="772"/>
    </row>
    <row r="129" spans="1:8" x14ac:dyDescent="0.25">
      <c r="A129" s="773"/>
      <c r="B129" s="772" t="s">
        <v>1405</v>
      </c>
      <c r="C129" s="772" t="s">
        <v>1406</v>
      </c>
      <c r="D129" s="545" t="s">
        <v>943</v>
      </c>
      <c r="E129" s="772"/>
      <c r="F129" s="772"/>
      <c r="G129" s="772"/>
    </row>
    <row r="130" spans="1:8" x14ac:dyDescent="0.25">
      <c r="A130" s="773"/>
      <c r="B130" s="772" t="s">
        <v>1407</v>
      </c>
      <c r="C130" s="772" t="s">
        <v>1408</v>
      </c>
      <c r="D130" s="545" t="s">
        <v>943</v>
      </c>
      <c r="E130" s="772"/>
      <c r="F130" s="772"/>
      <c r="G130" s="772"/>
      <c r="H130" s="772"/>
    </row>
    <row r="131" spans="1:8" x14ac:dyDescent="0.25">
      <c r="A131" s="773"/>
      <c r="B131" s="772" t="s">
        <v>1409</v>
      </c>
      <c r="C131" s="772" t="s">
        <v>1410</v>
      </c>
      <c r="D131" s="545" t="s">
        <v>943</v>
      </c>
      <c r="E131" s="772"/>
      <c r="F131" s="772"/>
      <c r="G131" s="772"/>
      <c r="H131" s="772"/>
    </row>
    <row r="132" spans="1:8" x14ac:dyDescent="0.25">
      <c r="A132" s="773"/>
      <c r="B132" s="772" t="s">
        <v>1411</v>
      </c>
      <c r="C132" s="772" t="s">
        <v>1412</v>
      </c>
      <c r="D132" s="545" t="s">
        <v>943</v>
      </c>
      <c r="E132" s="772"/>
      <c r="F132" s="772"/>
      <c r="G132" s="772"/>
      <c r="H132" s="772"/>
    </row>
    <row r="133" spans="1:8" x14ac:dyDescent="0.25">
      <c r="A133" s="773"/>
      <c r="B133" s="772" t="s">
        <v>1413</v>
      </c>
      <c r="C133" s="772" t="s">
        <v>1414</v>
      </c>
      <c r="D133" s="545" t="s">
        <v>943</v>
      </c>
      <c r="E133" s="772"/>
      <c r="F133" s="772"/>
      <c r="G133" s="772"/>
    </row>
    <row r="134" spans="1:8" x14ac:dyDescent="0.25">
      <c r="A134" s="773"/>
      <c r="B134" s="772" t="s">
        <v>1415</v>
      </c>
      <c r="C134" s="772" t="s">
        <v>1416</v>
      </c>
      <c r="D134" s="545" t="s">
        <v>943</v>
      </c>
      <c r="E134" s="772"/>
      <c r="F134" s="772"/>
      <c r="G134" s="772"/>
    </row>
    <row r="135" spans="1:8" x14ac:dyDescent="0.25">
      <c r="A135" s="773"/>
      <c r="B135" s="772" t="s">
        <v>1417</v>
      </c>
      <c r="C135" s="772" t="s">
        <v>1418</v>
      </c>
      <c r="D135" s="545" t="s">
        <v>943</v>
      </c>
      <c r="E135" s="772"/>
      <c r="F135" s="772"/>
      <c r="G135" s="772"/>
    </row>
    <row r="136" spans="1:8" x14ac:dyDescent="0.25">
      <c r="A136" s="773"/>
      <c r="B136" s="772" t="s">
        <v>1419</v>
      </c>
      <c r="C136" s="772" t="s">
        <v>1420</v>
      </c>
      <c r="D136" s="545" t="s">
        <v>943</v>
      </c>
      <c r="E136" s="772"/>
      <c r="F136" s="772"/>
      <c r="G136" s="772"/>
    </row>
    <row r="137" spans="1:8" x14ac:dyDescent="0.25">
      <c r="A137" s="773"/>
      <c r="B137" s="772" t="s">
        <v>1421</v>
      </c>
      <c r="C137" s="772" t="s">
        <v>1422</v>
      </c>
      <c r="D137" s="545" t="s">
        <v>943</v>
      </c>
      <c r="E137" s="772"/>
      <c r="F137" s="772"/>
      <c r="G137" s="772"/>
      <c r="H137" s="772"/>
    </row>
    <row r="138" spans="1:8" x14ac:dyDescent="0.25">
      <c r="A138" s="773"/>
      <c r="B138" s="772" t="s">
        <v>1423</v>
      </c>
      <c r="C138" s="772" t="s">
        <v>1424</v>
      </c>
      <c r="D138" s="545" t="s">
        <v>943</v>
      </c>
      <c r="E138" s="772"/>
      <c r="F138" s="772"/>
      <c r="G138" s="772"/>
      <c r="H138" s="772"/>
    </row>
    <row r="139" spans="1:8" x14ac:dyDescent="0.25">
      <c r="A139" s="773"/>
      <c r="B139" s="772" t="s">
        <v>1425</v>
      </c>
      <c r="C139" s="772" t="s">
        <v>1426</v>
      </c>
      <c r="D139" s="545" t="s">
        <v>943</v>
      </c>
      <c r="E139" s="772"/>
      <c r="F139" s="772"/>
      <c r="G139" s="772"/>
      <c r="H139" s="772"/>
    </row>
    <row r="140" spans="1:8" x14ac:dyDescent="0.25">
      <c r="A140" s="773"/>
      <c r="B140" s="772" t="s">
        <v>1427</v>
      </c>
      <c r="C140" s="772" t="s">
        <v>1428</v>
      </c>
      <c r="D140" s="545" t="s">
        <v>943</v>
      </c>
      <c r="E140" s="772"/>
      <c r="F140" s="772"/>
      <c r="G140" s="772"/>
      <c r="H140" s="772"/>
    </row>
    <row r="141" spans="1:8" x14ac:dyDescent="0.25">
      <c r="A141" s="773"/>
      <c r="B141" s="772" t="s">
        <v>1429</v>
      </c>
      <c r="C141" s="772" t="s">
        <v>1430</v>
      </c>
      <c r="D141" s="545" t="s">
        <v>943</v>
      </c>
      <c r="E141" s="772"/>
      <c r="F141" s="772"/>
      <c r="G141" s="772"/>
      <c r="H141" s="772"/>
    </row>
    <row r="142" spans="1:8" x14ac:dyDescent="0.25">
      <c r="A142" s="773"/>
      <c r="B142" s="772" t="s">
        <v>1431</v>
      </c>
      <c r="C142" s="772" t="s">
        <v>1432</v>
      </c>
      <c r="D142" s="545" t="s">
        <v>943</v>
      </c>
      <c r="E142" s="772"/>
      <c r="F142" s="772"/>
      <c r="G142" s="772"/>
      <c r="H142" s="772"/>
    </row>
    <row r="143" spans="1:8" x14ac:dyDescent="0.25">
      <c r="A143" s="773"/>
      <c r="B143" s="772" t="s">
        <v>1433</v>
      </c>
      <c r="C143" s="772" t="s">
        <v>1434</v>
      </c>
      <c r="D143" s="545" t="s">
        <v>943</v>
      </c>
      <c r="E143" s="772"/>
      <c r="F143" s="772"/>
      <c r="G143" s="772"/>
      <c r="H143" s="772"/>
    </row>
    <row r="144" spans="1:8" x14ac:dyDescent="0.25">
      <c r="A144" s="773"/>
      <c r="B144" s="772" t="s">
        <v>1435</v>
      </c>
      <c r="C144" s="772" t="s">
        <v>1436</v>
      </c>
      <c r="D144" s="545" t="s">
        <v>943</v>
      </c>
      <c r="E144" s="772"/>
      <c r="F144" s="772"/>
      <c r="G144" s="772"/>
      <c r="H144" s="772"/>
    </row>
    <row r="145" spans="1:8" x14ac:dyDescent="0.25">
      <c r="A145" s="773"/>
      <c r="B145" s="772" t="s">
        <v>1437</v>
      </c>
      <c r="C145" s="772" t="s">
        <v>1438</v>
      </c>
      <c r="D145" s="545" t="s">
        <v>943</v>
      </c>
      <c r="E145" s="772"/>
      <c r="F145" s="772"/>
      <c r="G145" s="772"/>
      <c r="H145" s="772"/>
    </row>
    <row r="146" spans="1:8" x14ac:dyDescent="0.25">
      <c r="A146" s="773"/>
      <c r="B146" s="772" t="s">
        <v>1439</v>
      </c>
      <c r="C146" s="772" t="s">
        <v>1440</v>
      </c>
      <c r="D146" s="545" t="s">
        <v>943</v>
      </c>
      <c r="E146" s="772"/>
      <c r="F146" s="772"/>
      <c r="G146" s="772"/>
      <c r="H146" s="772"/>
    </row>
    <row r="147" spans="1:8" x14ac:dyDescent="0.25">
      <c r="A147" s="773"/>
      <c r="B147" s="772" t="s">
        <v>1441</v>
      </c>
      <c r="C147" s="772" t="s">
        <v>1442</v>
      </c>
      <c r="D147" s="545" t="s">
        <v>943</v>
      </c>
      <c r="E147" s="772"/>
      <c r="F147" s="772"/>
      <c r="G147" s="772"/>
      <c r="H147" s="772"/>
    </row>
    <row r="148" spans="1:8" x14ac:dyDescent="0.25">
      <c r="A148" s="773"/>
      <c r="B148" s="772" t="s">
        <v>1443</v>
      </c>
      <c r="C148" s="772" t="s">
        <v>1444</v>
      </c>
      <c r="D148" s="545" t="s">
        <v>943</v>
      </c>
      <c r="E148" s="772"/>
      <c r="F148" s="772"/>
      <c r="G148" s="772"/>
      <c r="H148" s="772"/>
    </row>
    <row r="149" spans="1:8" x14ac:dyDescent="0.25">
      <c r="A149" s="773"/>
      <c r="B149" s="772" t="s">
        <v>1445</v>
      </c>
      <c r="C149" s="772" t="s">
        <v>1446</v>
      </c>
      <c r="D149" s="545" t="s">
        <v>943</v>
      </c>
      <c r="E149" s="772"/>
      <c r="F149" s="772"/>
      <c r="G149" s="772"/>
      <c r="H149" s="772"/>
    </row>
    <row r="150" spans="1:8" x14ac:dyDescent="0.25">
      <c r="A150" s="773"/>
      <c r="B150" s="772" t="s">
        <v>1447</v>
      </c>
      <c r="C150" s="772" t="s">
        <v>1448</v>
      </c>
      <c r="D150" s="545" t="s">
        <v>943</v>
      </c>
      <c r="E150" s="772"/>
      <c r="F150" s="772"/>
      <c r="G150" s="772"/>
      <c r="H150" s="772"/>
    </row>
    <row r="151" spans="1:8" x14ac:dyDescent="0.25">
      <c r="A151" s="773"/>
      <c r="B151" s="772" t="s">
        <v>1449</v>
      </c>
      <c r="C151" s="772" t="s">
        <v>1450</v>
      </c>
      <c r="D151" s="545" t="s">
        <v>943</v>
      </c>
      <c r="E151" s="772"/>
      <c r="F151" s="772"/>
      <c r="G151" s="772"/>
      <c r="H151" s="772"/>
    </row>
    <row r="152" spans="1:8" x14ac:dyDescent="0.25">
      <c r="A152" s="773"/>
      <c r="B152" s="772" t="s">
        <v>1451</v>
      </c>
      <c r="C152" s="772" t="s">
        <v>1452</v>
      </c>
      <c r="D152" s="545" t="s">
        <v>943</v>
      </c>
      <c r="E152" s="772"/>
      <c r="F152" s="772"/>
      <c r="G152" s="772"/>
      <c r="H152" s="772"/>
    </row>
    <row r="153" spans="1:8" x14ac:dyDescent="0.25">
      <c r="A153" s="773"/>
      <c r="B153" s="772" t="s">
        <v>1453</v>
      </c>
      <c r="C153" s="772" t="s">
        <v>1454</v>
      </c>
      <c r="D153" s="545" t="s">
        <v>943</v>
      </c>
      <c r="E153" s="772"/>
      <c r="F153" s="772"/>
      <c r="G153" s="772"/>
    </row>
    <row r="154" spans="1:8" x14ac:dyDescent="0.25">
      <c r="A154" s="773"/>
      <c r="B154" s="772" t="s">
        <v>1455</v>
      </c>
      <c r="C154" s="772" t="s">
        <v>1456</v>
      </c>
      <c r="D154" s="545" t="s">
        <v>943</v>
      </c>
      <c r="E154" s="772"/>
      <c r="F154" s="772"/>
      <c r="G154" s="772"/>
    </row>
    <row r="155" spans="1:8" x14ac:dyDescent="0.25">
      <c r="A155" s="773"/>
      <c r="B155" s="772" t="s">
        <v>1457</v>
      </c>
      <c r="C155" s="772" t="s">
        <v>1458</v>
      </c>
      <c r="D155" s="545" t="s">
        <v>943</v>
      </c>
      <c r="E155" s="772"/>
      <c r="F155" s="772"/>
      <c r="G155" s="772"/>
    </row>
    <row r="156" spans="1:8" x14ac:dyDescent="0.25">
      <c r="A156" s="773"/>
      <c r="B156" s="772" t="s">
        <v>1459</v>
      </c>
      <c r="C156" s="772" t="s">
        <v>1460</v>
      </c>
      <c r="D156" s="545" t="s">
        <v>943</v>
      </c>
      <c r="E156" s="772"/>
      <c r="F156" s="772"/>
      <c r="G156" s="772"/>
    </row>
    <row r="157" spans="1:8" x14ac:dyDescent="0.25">
      <c r="A157" s="773"/>
      <c r="B157" s="772" t="s">
        <v>1461</v>
      </c>
      <c r="C157" s="772" t="s">
        <v>1462</v>
      </c>
      <c r="D157" s="545" t="s">
        <v>943</v>
      </c>
      <c r="E157" s="772"/>
      <c r="F157" s="772"/>
      <c r="G157" s="772"/>
    </row>
    <row r="158" spans="1:8" x14ac:dyDescent="0.25">
      <c r="A158" s="773"/>
      <c r="B158" s="772" t="s">
        <v>1463</v>
      </c>
      <c r="C158" s="772" t="s">
        <v>1464</v>
      </c>
      <c r="D158" s="545" t="s">
        <v>943</v>
      </c>
      <c r="E158" s="772"/>
      <c r="F158" s="772"/>
      <c r="G158" s="772"/>
    </row>
    <row r="159" spans="1:8" x14ac:dyDescent="0.25">
      <c r="A159" s="773"/>
      <c r="B159" s="772" t="s">
        <v>1465</v>
      </c>
      <c r="C159" s="772" t="s">
        <v>1466</v>
      </c>
      <c r="D159" s="545" t="s">
        <v>943</v>
      </c>
      <c r="E159" s="772"/>
      <c r="F159" s="772"/>
      <c r="G159" s="772"/>
      <c r="H159" s="772"/>
    </row>
    <row r="160" spans="1:8" x14ac:dyDescent="0.25">
      <c r="A160" s="773"/>
      <c r="B160" s="772" t="s">
        <v>1467</v>
      </c>
      <c r="C160" s="772" t="s">
        <v>1468</v>
      </c>
      <c r="D160" s="545" t="s">
        <v>943</v>
      </c>
      <c r="E160" s="772"/>
      <c r="F160" s="772"/>
      <c r="G160" s="772"/>
      <c r="H160" s="772"/>
    </row>
    <row r="161" spans="1:8" x14ac:dyDescent="0.25">
      <c r="A161" s="773"/>
      <c r="B161" s="772" t="s">
        <v>1469</v>
      </c>
      <c r="C161" s="772" t="s">
        <v>1470</v>
      </c>
      <c r="D161" s="545" t="s">
        <v>943</v>
      </c>
      <c r="E161" s="772"/>
      <c r="F161" s="772"/>
      <c r="G161" s="772"/>
      <c r="H161" s="772"/>
    </row>
    <row r="162" spans="1:8" x14ac:dyDescent="0.25">
      <c r="A162" s="773"/>
      <c r="B162" s="772" t="s">
        <v>1471</v>
      </c>
      <c r="C162" s="772" t="s">
        <v>1472</v>
      </c>
      <c r="D162" s="545" t="s">
        <v>943</v>
      </c>
      <c r="E162" s="772"/>
      <c r="F162" s="772"/>
      <c r="G162" s="772"/>
      <c r="H162" s="772"/>
    </row>
    <row r="163" spans="1:8" x14ac:dyDescent="0.25">
      <c r="A163" s="773"/>
      <c r="B163" s="772" t="s">
        <v>1473</v>
      </c>
      <c r="C163" s="772" t="s">
        <v>1474</v>
      </c>
      <c r="D163" s="545" t="s">
        <v>943</v>
      </c>
      <c r="E163" s="772"/>
      <c r="F163" s="772"/>
      <c r="G163" s="772"/>
      <c r="H163" s="772"/>
    </row>
    <row r="164" spans="1:8" x14ac:dyDescent="0.25">
      <c r="A164" s="773"/>
      <c r="B164" s="772" t="s">
        <v>1475</v>
      </c>
      <c r="C164" s="772" t="s">
        <v>1476</v>
      </c>
      <c r="D164" s="545" t="s">
        <v>943</v>
      </c>
      <c r="E164" s="772"/>
      <c r="F164" s="772"/>
      <c r="G164" s="772"/>
      <c r="H164" s="772"/>
    </row>
    <row r="165" spans="1:8" x14ac:dyDescent="0.25">
      <c r="A165" s="773"/>
      <c r="B165" s="772" t="s">
        <v>1477</v>
      </c>
      <c r="C165" s="772" t="s">
        <v>1478</v>
      </c>
      <c r="D165" s="545" t="s">
        <v>943</v>
      </c>
      <c r="E165" s="772"/>
      <c r="F165" s="772"/>
      <c r="G165" s="772"/>
      <c r="H165" s="772"/>
    </row>
    <row r="166" spans="1:8" x14ac:dyDescent="0.25">
      <c r="A166" s="773"/>
      <c r="B166" s="772" t="s">
        <v>1479</v>
      </c>
      <c r="C166" s="772" t="s">
        <v>1480</v>
      </c>
      <c r="D166" s="545" t="s">
        <v>943</v>
      </c>
      <c r="E166" s="772"/>
      <c r="F166" s="772"/>
      <c r="G166" s="772"/>
      <c r="H166" s="772"/>
    </row>
    <row r="167" spans="1:8" x14ac:dyDescent="0.25">
      <c r="A167" s="773"/>
      <c r="B167" s="772" t="s">
        <v>1481</v>
      </c>
      <c r="C167" s="772" t="s">
        <v>1482</v>
      </c>
      <c r="D167" s="545" t="s">
        <v>943</v>
      </c>
      <c r="E167" s="772"/>
      <c r="F167" s="772"/>
      <c r="G167" s="772"/>
      <c r="H167" s="772"/>
    </row>
    <row r="168" spans="1:8" x14ac:dyDescent="0.25">
      <c r="A168" s="773"/>
      <c r="B168" s="772" t="s">
        <v>1483</v>
      </c>
      <c r="C168" s="772" t="s">
        <v>1484</v>
      </c>
      <c r="D168" s="545" t="s">
        <v>943</v>
      </c>
      <c r="E168" s="772"/>
      <c r="F168" s="772"/>
      <c r="G168" s="772"/>
      <c r="H168" s="772"/>
    </row>
    <row r="169" spans="1:8" x14ac:dyDescent="0.25">
      <c r="A169" s="773"/>
      <c r="B169" s="772" t="s">
        <v>1485</v>
      </c>
      <c r="C169" s="772" t="s">
        <v>1486</v>
      </c>
      <c r="D169" s="545" t="s">
        <v>943</v>
      </c>
      <c r="E169" s="772"/>
      <c r="F169" s="772"/>
      <c r="G169" s="772"/>
      <c r="H169" s="772"/>
    </row>
    <row r="170" spans="1:8" x14ac:dyDescent="0.25">
      <c r="A170" s="773"/>
      <c r="B170" s="772" t="s">
        <v>1487</v>
      </c>
      <c r="C170" s="772" t="s">
        <v>1488</v>
      </c>
      <c r="D170" s="545" t="s">
        <v>943</v>
      </c>
      <c r="E170" s="772"/>
      <c r="F170" s="772"/>
      <c r="G170" s="772"/>
      <c r="H170" s="772"/>
    </row>
    <row r="171" spans="1:8" x14ac:dyDescent="0.25">
      <c r="A171" s="773"/>
      <c r="B171" s="772" t="s">
        <v>1489</v>
      </c>
      <c r="C171" s="772" t="s">
        <v>1490</v>
      </c>
      <c r="D171" s="545" t="s">
        <v>943</v>
      </c>
      <c r="E171" s="772"/>
      <c r="F171" s="772"/>
      <c r="G171" s="772"/>
      <c r="H171" s="772"/>
    </row>
    <row r="172" spans="1:8" x14ac:dyDescent="0.25">
      <c r="A172" s="773"/>
      <c r="B172" s="772" t="s">
        <v>1491</v>
      </c>
      <c r="C172" s="772" t="s">
        <v>1492</v>
      </c>
      <c r="D172" s="545" t="s">
        <v>943</v>
      </c>
      <c r="E172" s="772"/>
      <c r="F172" s="772"/>
      <c r="G172" s="772"/>
      <c r="H172" s="772"/>
    </row>
    <row r="173" spans="1:8" x14ac:dyDescent="0.25">
      <c r="A173" s="773"/>
      <c r="B173" s="772" t="s">
        <v>1357</v>
      </c>
      <c r="C173" s="772" t="s">
        <v>1358</v>
      </c>
      <c r="D173" s="545" t="s">
        <v>943</v>
      </c>
      <c r="E173" s="772"/>
      <c r="F173" s="772"/>
      <c r="G173" s="772"/>
      <c r="H173" s="772"/>
    </row>
    <row r="174" spans="1:8" x14ac:dyDescent="0.25">
      <c r="A174" s="773"/>
      <c r="B174" s="772" t="s">
        <v>1361</v>
      </c>
      <c r="C174" s="772" t="s">
        <v>1362</v>
      </c>
      <c r="D174" s="545" t="s">
        <v>943</v>
      </c>
      <c r="E174" s="772"/>
      <c r="F174" s="772"/>
      <c r="G174" s="772"/>
      <c r="H174" s="772"/>
    </row>
    <row r="175" spans="1:8" x14ac:dyDescent="0.25">
      <c r="A175" s="773"/>
      <c r="B175" s="772" t="s">
        <v>1365</v>
      </c>
      <c r="C175" s="772" t="s">
        <v>1366</v>
      </c>
      <c r="D175" s="545" t="s">
        <v>943</v>
      </c>
      <c r="E175" s="772"/>
      <c r="F175" s="772"/>
      <c r="G175" s="772"/>
      <c r="H175" s="772"/>
    </row>
    <row r="176" spans="1:8" x14ac:dyDescent="0.25">
      <c r="A176" s="773" t="s">
        <v>2550</v>
      </c>
      <c r="B176" s="772" t="s">
        <v>2556</v>
      </c>
      <c r="C176" s="772" t="s">
        <v>1493</v>
      </c>
      <c r="D176" s="545" t="s">
        <v>943</v>
      </c>
      <c r="E176" s="772"/>
      <c r="F176" s="772"/>
      <c r="G176" s="772"/>
      <c r="H176" s="772"/>
    </row>
    <row r="177" spans="1:8" x14ac:dyDescent="0.25">
      <c r="A177" s="773"/>
      <c r="B177" s="772" t="s">
        <v>2557</v>
      </c>
      <c r="C177" s="772" t="s">
        <v>1494</v>
      </c>
      <c r="D177" s="545" t="s">
        <v>943</v>
      </c>
      <c r="E177" s="772"/>
      <c r="F177" s="772"/>
      <c r="G177" s="772"/>
      <c r="H177" s="772"/>
    </row>
    <row r="178" spans="1:8" x14ac:dyDescent="0.25">
      <c r="A178" s="773"/>
      <c r="B178" s="772" t="s">
        <v>2558</v>
      </c>
      <c r="C178" s="772" t="s">
        <v>1495</v>
      </c>
      <c r="D178" s="545" t="s">
        <v>943</v>
      </c>
      <c r="E178" s="772"/>
      <c r="F178" s="772"/>
      <c r="G178" s="772"/>
      <c r="H178" s="772"/>
    </row>
    <row r="179" spans="1:8" x14ac:dyDescent="0.25">
      <c r="A179" s="773"/>
      <c r="B179" s="772" t="s">
        <v>2559</v>
      </c>
      <c r="C179" s="772" t="s">
        <v>1496</v>
      </c>
      <c r="D179" s="545" t="s">
        <v>943</v>
      </c>
      <c r="E179" s="772"/>
      <c r="F179" s="772"/>
      <c r="G179" s="772"/>
      <c r="H179" s="772"/>
    </row>
    <row r="180" spans="1:8" x14ac:dyDescent="0.25">
      <c r="A180" s="773"/>
      <c r="B180" s="772" t="s">
        <v>2560</v>
      </c>
      <c r="C180" s="772" t="s">
        <v>1497</v>
      </c>
      <c r="D180" s="545" t="s">
        <v>943</v>
      </c>
      <c r="E180" s="772"/>
      <c r="F180" s="772"/>
      <c r="G180" s="772"/>
      <c r="H180" s="772"/>
    </row>
    <row r="181" spans="1:8" x14ac:dyDescent="0.25">
      <c r="A181" s="773" t="s">
        <v>2551</v>
      </c>
      <c r="B181" s="772" t="s">
        <v>2561</v>
      </c>
      <c r="C181" s="772" t="s">
        <v>1498</v>
      </c>
      <c r="D181" s="545" t="s">
        <v>943</v>
      </c>
      <c r="E181" s="772"/>
      <c r="F181" s="772"/>
      <c r="G181" s="772"/>
      <c r="H181" s="772"/>
    </row>
    <row r="182" spans="1:8" x14ac:dyDescent="0.25">
      <c r="A182" s="773"/>
      <c r="B182" s="772" t="s">
        <v>2562</v>
      </c>
      <c r="C182" s="772" t="s">
        <v>1499</v>
      </c>
      <c r="D182" s="545" t="s">
        <v>943</v>
      </c>
      <c r="E182" s="772"/>
      <c r="F182" s="772"/>
      <c r="G182" s="772"/>
      <c r="H182" s="772"/>
    </row>
    <row r="183" spans="1:8" x14ac:dyDescent="0.25">
      <c r="A183" s="773"/>
      <c r="B183" s="772" t="s">
        <v>2563</v>
      </c>
      <c r="C183" s="772" t="s">
        <v>1500</v>
      </c>
      <c r="D183" s="545" t="s">
        <v>943</v>
      </c>
      <c r="E183" s="772"/>
      <c r="F183" s="772"/>
      <c r="G183" s="772"/>
      <c r="H183" s="772"/>
    </row>
    <row r="184" spans="1:8" x14ac:dyDescent="0.25">
      <c r="A184" s="773"/>
      <c r="B184" s="772" t="s">
        <v>2564</v>
      </c>
      <c r="C184" s="772" t="s">
        <v>1501</v>
      </c>
      <c r="D184" s="545" t="s">
        <v>943</v>
      </c>
      <c r="E184" s="772"/>
      <c r="F184" s="772"/>
      <c r="G184" s="772"/>
      <c r="H184" s="772"/>
    </row>
    <row r="185" spans="1:8" x14ac:dyDescent="0.25">
      <c r="A185" s="773"/>
      <c r="B185" s="772" t="s">
        <v>2565</v>
      </c>
      <c r="C185" s="772" t="s">
        <v>1502</v>
      </c>
      <c r="D185" s="545" t="s">
        <v>943</v>
      </c>
      <c r="E185" s="772"/>
      <c r="F185" s="772"/>
      <c r="G185" s="772"/>
      <c r="H185" s="772"/>
    </row>
    <row r="186" spans="1:8" x14ac:dyDescent="0.25">
      <c r="A186" s="773"/>
      <c r="B186" s="772" t="s">
        <v>2566</v>
      </c>
      <c r="C186" s="772" t="s">
        <v>1503</v>
      </c>
      <c r="D186" s="545" t="s">
        <v>943</v>
      </c>
      <c r="E186" s="772"/>
      <c r="F186" s="772"/>
      <c r="G186" s="772"/>
      <c r="H186" s="772"/>
    </row>
    <row r="187" spans="1:8" x14ac:dyDescent="0.25">
      <c r="A187" s="773"/>
      <c r="B187" s="772" t="s">
        <v>2567</v>
      </c>
      <c r="C187" s="772" t="s">
        <v>1504</v>
      </c>
      <c r="D187" s="545" t="s">
        <v>943</v>
      </c>
      <c r="E187" s="772"/>
      <c r="F187" s="772"/>
      <c r="G187" s="772"/>
      <c r="H187" s="772"/>
    </row>
    <row r="188" spans="1:8" x14ac:dyDescent="0.25">
      <c r="A188" s="773"/>
      <c r="B188" s="772" t="s">
        <v>2568</v>
      </c>
      <c r="C188" s="772" t="s">
        <v>1505</v>
      </c>
      <c r="D188" s="545" t="s">
        <v>943</v>
      </c>
      <c r="E188" s="772"/>
      <c r="F188" s="772"/>
      <c r="G188" s="772"/>
      <c r="H188" s="772"/>
    </row>
    <row r="189" spans="1:8" x14ac:dyDescent="0.25">
      <c r="A189" s="773"/>
      <c r="B189" s="772" t="s">
        <v>2569</v>
      </c>
      <c r="C189" s="772" t="s">
        <v>1506</v>
      </c>
      <c r="D189" s="545" t="s">
        <v>943</v>
      </c>
      <c r="E189" s="772"/>
      <c r="F189" s="772"/>
      <c r="G189" s="772"/>
      <c r="H189" s="772"/>
    </row>
    <row r="190" spans="1:8" x14ac:dyDescent="0.25">
      <c r="A190" s="773"/>
      <c r="B190" s="772" t="s">
        <v>2570</v>
      </c>
      <c r="C190" s="772" t="s">
        <v>1507</v>
      </c>
      <c r="D190" s="545" t="s">
        <v>943</v>
      </c>
      <c r="E190" s="772"/>
      <c r="F190" s="772"/>
      <c r="G190" s="772"/>
      <c r="H190" s="772"/>
    </row>
    <row r="191" spans="1:8" x14ac:dyDescent="0.25">
      <c r="A191" s="773"/>
      <c r="B191" s="772" t="s">
        <v>2571</v>
      </c>
      <c r="C191" s="772" t="s">
        <v>1508</v>
      </c>
      <c r="D191" s="545" t="s">
        <v>943</v>
      </c>
      <c r="E191" s="772"/>
      <c r="F191" s="772"/>
      <c r="G191" s="772"/>
      <c r="H191" s="772"/>
    </row>
    <row r="192" spans="1:8" x14ac:dyDescent="0.25">
      <c r="A192" s="773"/>
      <c r="B192" s="772" t="s">
        <v>2572</v>
      </c>
      <c r="C192" s="772" t="s">
        <v>1509</v>
      </c>
      <c r="D192" s="545" t="s">
        <v>943</v>
      </c>
      <c r="E192" s="772"/>
      <c r="F192" s="772"/>
      <c r="G192" s="772"/>
      <c r="H192" s="772"/>
    </row>
    <row r="193" spans="1:8" x14ac:dyDescent="0.25">
      <c r="A193" s="773"/>
      <c r="B193" s="772" t="s">
        <v>2573</v>
      </c>
      <c r="C193" s="772" t="s">
        <v>1510</v>
      </c>
      <c r="D193" s="545" t="s">
        <v>943</v>
      </c>
      <c r="E193" s="772"/>
      <c r="F193" s="772"/>
      <c r="G193" s="772"/>
      <c r="H193" s="772"/>
    </row>
    <row r="194" spans="1:8" x14ac:dyDescent="0.25">
      <c r="A194" s="773"/>
      <c r="B194" s="772" t="s">
        <v>2574</v>
      </c>
      <c r="C194" s="772" t="s">
        <v>1511</v>
      </c>
      <c r="D194" s="545" t="s">
        <v>943</v>
      </c>
      <c r="E194" s="772"/>
      <c r="F194" s="772"/>
      <c r="G194" s="772"/>
      <c r="H194" s="772"/>
    </row>
    <row r="195" spans="1:8" x14ac:dyDescent="0.25">
      <c r="A195" s="773"/>
      <c r="B195" s="772" t="s">
        <v>1512</v>
      </c>
      <c r="C195" s="772" t="s">
        <v>1513</v>
      </c>
      <c r="D195" s="545" t="s">
        <v>943</v>
      </c>
      <c r="E195" s="772"/>
      <c r="F195" s="772"/>
      <c r="G195" s="772"/>
      <c r="H195" s="772"/>
    </row>
    <row r="196" spans="1:8" x14ac:dyDescent="0.25">
      <c r="A196" s="773"/>
      <c r="B196" s="772" t="s">
        <v>2575</v>
      </c>
      <c r="C196" s="772" t="s">
        <v>1514</v>
      </c>
      <c r="D196" s="545" t="s">
        <v>943</v>
      </c>
      <c r="E196" s="772"/>
      <c r="F196" s="772"/>
      <c r="G196" s="772"/>
      <c r="H196" s="772"/>
    </row>
    <row r="197" spans="1:8" x14ac:dyDescent="0.25">
      <c r="A197" s="773"/>
      <c r="B197" s="772" t="s">
        <v>2576</v>
      </c>
      <c r="C197" s="772" t="s">
        <v>1515</v>
      </c>
      <c r="D197" s="545" t="s">
        <v>943</v>
      </c>
      <c r="E197" s="772"/>
      <c r="F197" s="772"/>
      <c r="G197" s="772"/>
      <c r="H197" s="772"/>
    </row>
    <row r="198" spans="1:8" x14ac:dyDescent="0.25">
      <c r="A198" s="773"/>
      <c r="B198" s="772" t="s">
        <v>2577</v>
      </c>
      <c r="C198" s="772" t="s">
        <v>1516</v>
      </c>
      <c r="D198" s="545" t="s">
        <v>943</v>
      </c>
      <c r="E198" s="772"/>
      <c r="F198" s="772"/>
      <c r="G198" s="772"/>
      <c r="H198" s="772"/>
    </row>
    <row r="199" spans="1:8" x14ac:dyDescent="0.25">
      <c r="A199" s="773"/>
      <c r="B199" s="772" t="s">
        <v>2578</v>
      </c>
      <c r="C199" s="772" t="s">
        <v>1517</v>
      </c>
      <c r="D199" s="545" t="s">
        <v>943</v>
      </c>
      <c r="E199" s="772"/>
      <c r="F199" s="772"/>
      <c r="G199" s="772"/>
      <c r="H199" s="772"/>
    </row>
    <row r="200" spans="1:8" x14ac:dyDescent="0.25">
      <c r="A200" s="773"/>
      <c r="B200" s="772" t="s">
        <v>1518</v>
      </c>
      <c r="C200" s="772" t="s">
        <v>1519</v>
      </c>
      <c r="D200" s="545" t="s">
        <v>943</v>
      </c>
      <c r="E200" s="772"/>
      <c r="F200" s="772"/>
      <c r="G200" s="772"/>
      <c r="H200" s="772"/>
    </row>
    <row r="201" spans="1:8" x14ac:dyDescent="0.25">
      <c r="A201" s="773"/>
      <c r="B201" s="772" t="s">
        <v>2579</v>
      </c>
      <c r="C201" s="772" t="s">
        <v>1520</v>
      </c>
      <c r="D201" s="545" t="s">
        <v>943</v>
      </c>
      <c r="E201" s="772"/>
      <c r="F201" s="772"/>
      <c r="G201" s="772"/>
      <c r="H201" s="772"/>
    </row>
    <row r="202" spans="1:8" x14ac:dyDescent="0.25">
      <c r="A202" s="773"/>
      <c r="B202" s="772" t="s">
        <v>2580</v>
      </c>
      <c r="C202" s="772" t="s">
        <v>1521</v>
      </c>
      <c r="D202" s="545" t="s">
        <v>943</v>
      </c>
      <c r="E202" s="772"/>
      <c r="F202" s="772"/>
      <c r="G202" s="772"/>
      <c r="H202" s="772"/>
    </row>
    <row r="203" spans="1:8" x14ac:dyDescent="0.25">
      <c r="A203" s="773"/>
      <c r="B203" s="772" t="s">
        <v>2581</v>
      </c>
      <c r="C203" s="772" t="s">
        <v>1522</v>
      </c>
      <c r="D203" s="545" t="s">
        <v>943</v>
      </c>
      <c r="E203" s="772"/>
      <c r="F203" s="772"/>
      <c r="G203" s="772"/>
      <c r="H203" s="772"/>
    </row>
    <row r="204" spans="1:8" x14ac:dyDescent="0.25">
      <c r="A204" s="773"/>
      <c r="B204" s="772" t="s">
        <v>2582</v>
      </c>
      <c r="C204" s="772" t="s">
        <v>1523</v>
      </c>
      <c r="D204" s="545" t="s">
        <v>943</v>
      </c>
      <c r="E204" s="772"/>
      <c r="F204" s="772"/>
      <c r="G204" s="772"/>
      <c r="H204" s="772"/>
    </row>
    <row r="205" spans="1:8" x14ac:dyDescent="0.25">
      <c r="A205" s="773"/>
      <c r="B205" s="772" t="s">
        <v>2583</v>
      </c>
      <c r="C205" s="772" t="s">
        <v>1524</v>
      </c>
      <c r="D205" s="545" t="s">
        <v>943</v>
      </c>
      <c r="E205" s="772"/>
      <c r="F205" s="772"/>
      <c r="G205" s="772"/>
      <c r="H205" s="772"/>
    </row>
    <row r="206" spans="1:8" x14ac:dyDescent="0.25">
      <c r="A206" s="773"/>
      <c r="B206" s="772" t="s">
        <v>2584</v>
      </c>
      <c r="C206" s="772" t="s">
        <v>1525</v>
      </c>
      <c r="D206" s="545" t="s">
        <v>943</v>
      </c>
      <c r="E206" s="772"/>
      <c r="F206" s="772"/>
      <c r="G206" s="772"/>
      <c r="H206" s="772"/>
    </row>
    <row r="207" spans="1:8" x14ac:dyDescent="0.25">
      <c r="A207" s="773"/>
      <c r="B207" s="772" t="s">
        <v>2585</v>
      </c>
      <c r="C207" s="772" t="s">
        <v>1526</v>
      </c>
      <c r="D207" s="545" t="s">
        <v>943</v>
      </c>
      <c r="E207" s="772"/>
      <c r="F207" s="772"/>
      <c r="G207" s="772"/>
      <c r="H207" s="772"/>
    </row>
    <row r="208" spans="1:8" x14ac:dyDescent="0.25">
      <c r="A208" s="773"/>
      <c r="B208" s="772" t="s">
        <v>2586</v>
      </c>
      <c r="C208" s="772" t="s">
        <v>1527</v>
      </c>
      <c r="D208" s="545" t="s">
        <v>943</v>
      </c>
      <c r="E208" s="772"/>
      <c r="F208" s="772"/>
      <c r="G208" s="772"/>
      <c r="H208" s="772"/>
    </row>
    <row r="209" spans="1:8" x14ac:dyDescent="0.25">
      <c r="A209" s="773"/>
      <c r="B209" s="772" t="s">
        <v>2587</v>
      </c>
      <c r="C209" s="772" t="s">
        <v>1528</v>
      </c>
      <c r="D209" s="545" t="s">
        <v>943</v>
      </c>
      <c r="E209" s="772"/>
      <c r="F209" s="772"/>
      <c r="G209" s="772"/>
      <c r="H209" s="772"/>
    </row>
    <row r="210" spans="1:8" x14ac:dyDescent="0.25">
      <c r="A210" s="773"/>
      <c r="B210" s="772" t="s">
        <v>2588</v>
      </c>
      <c r="C210" s="772" t="s">
        <v>1529</v>
      </c>
      <c r="D210" s="545" t="s">
        <v>943</v>
      </c>
      <c r="E210" s="772"/>
      <c r="F210" s="772"/>
      <c r="G210" s="772"/>
      <c r="H210" s="772"/>
    </row>
    <row r="211" spans="1:8" x14ac:dyDescent="0.25">
      <c r="A211" s="773"/>
      <c r="B211" s="772" t="s">
        <v>2589</v>
      </c>
      <c r="C211" s="772" t="s">
        <v>1530</v>
      </c>
      <c r="D211" s="545" t="s">
        <v>943</v>
      </c>
      <c r="E211" s="772"/>
      <c r="F211" s="772"/>
      <c r="G211" s="772"/>
      <c r="H211" s="772"/>
    </row>
    <row r="212" spans="1:8" x14ac:dyDescent="0.25">
      <c r="A212" s="773"/>
      <c r="B212" s="772" t="s">
        <v>2590</v>
      </c>
      <c r="C212" s="772" t="s">
        <v>1531</v>
      </c>
      <c r="D212" s="545" t="s">
        <v>943</v>
      </c>
      <c r="E212" s="772"/>
      <c r="F212" s="772"/>
      <c r="G212" s="772"/>
      <c r="H212" s="772"/>
    </row>
    <row r="213" spans="1:8" x14ac:dyDescent="0.25">
      <c r="A213" s="773"/>
      <c r="B213" s="772" t="s">
        <v>2591</v>
      </c>
      <c r="C213" s="772" t="s">
        <v>1532</v>
      </c>
      <c r="D213" s="545" t="s">
        <v>943</v>
      </c>
      <c r="E213" s="772"/>
      <c r="F213" s="772"/>
      <c r="G213" s="772"/>
      <c r="H213" s="772"/>
    </row>
    <row r="214" spans="1:8" x14ac:dyDescent="0.25">
      <c r="A214" s="773"/>
      <c r="B214" s="772" t="s">
        <v>2592</v>
      </c>
      <c r="C214" s="772" t="s">
        <v>1533</v>
      </c>
      <c r="D214" s="545" t="s">
        <v>943</v>
      </c>
      <c r="E214" s="772"/>
      <c r="F214" s="772"/>
      <c r="G214" s="772"/>
      <c r="H214" s="772"/>
    </row>
    <row r="215" spans="1:8" x14ac:dyDescent="0.25">
      <c r="A215" s="773"/>
      <c r="B215" s="772" t="s">
        <v>2593</v>
      </c>
      <c r="C215" s="772" t="s">
        <v>1534</v>
      </c>
      <c r="D215" s="545" t="s">
        <v>943</v>
      </c>
      <c r="E215" s="772"/>
      <c r="F215" s="772"/>
      <c r="G215" s="772"/>
      <c r="H215" s="772"/>
    </row>
    <row r="216" spans="1:8" x14ac:dyDescent="0.25">
      <c r="A216" s="773"/>
      <c r="B216" s="772" t="s">
        <v>2594</v>
      </c>
      <c r="C216" s="772" t="s">
        <v>1535</v>
      </c>
      <c r="D216" s="545" t="s">
        <v>943</v>
      </c>
      <c r="E216" s="772"/>
      <c r="F216" s="772"/>
      <c r="G216" s="772"/>
      <c r="H216" s="772"/>
    </row>
    <row r="217" spans="1:8" x14ac:dyDescent="0.25">
      <c r="A217" s="773"/>
      <c r="B217" s="772" t="s">
        <v>2595</v>
      </c>
      <c r="C217" s="772" t="s">
        <v>1536</v>
      </c>
      <c r="D217" s="545" t="s">
        <v>943</v>
      </c>
      <c r="E217" s="772"/>
      <c r="F217" s="772"/>
      <c r="G217" s="772"/>
      <c r="H217" s="772"/>
    </row>
    <row r="218" spans="1:8" x14ac:dyDescent="0.25">
      <c r="A218" s="773"/>
      <c r="B218" s="772" t="s">
        <v>2596</v>
      </c>
      <c r="C218" s="772" t="s">
        <v>1537</v>
      </c>
      <c r="D218" s="545" t="s">
        <v>943</v>
      </c>
      <c r="E218" s="772"/>
      <c r="F218" s="772"/>
      <c r="G218" s="772"/>
      <c r="H218" s="772"/>
    </row>
    <row r="219" spans="1:8" x14ac:dyDescent="0.25">
      <c r="A219" s="773"/>
      <c r="B219" s="772" t="s">
        <v>2597</v>
      </c>
      <c r="C219" s="772" t="s">
        <v>1538</v>
      </c>
      <c r="D219" s="545" t="s">
        <v>943</v>
      </c>
      <c r="E219" s="772"/>
      <c r="F219" s="772"/>
      <c r="G219" s="772"/>
      <c r="H219" s="772"/>
    </row>
    <row r="220" spans="1:8" x14ac:dyDescent="0.25">
      <c r="A220" s="773"/>
      <c r="B220" s="772" t="s">
        <v>2598</v>
      </c>
      <c r="C220" s="772" t="s">
        <v>1539</v>
      </c>
      <c r="D220" s="545" t="s">
        <v>943</v>
      </c>
      <c r="E220" s="772"/>
      <c r="F220" s="772"/>
      <c r="G220" s="772"/>
      <c r="H220" s="772"/>
    </row>
    <row r="221" spans="1:8" x14ac:dyDescent="0.25">
      <c r="A221" s="773"/>
      <c r="B221" s="772" t="s">
        <v>2599</v>
      </c>
      <c r="C221" s="772" t="s">
        <v>1540</v>
      </c>
      <c r="D221" s="545" t="s">
        <v>943</v>
      </c>
      <c r="E221" s="772"/>
      <c r="F221" s="772"/>
      <c r="G221" s="772"/>
      <c r="H221" s="772"/>
    </row>
    <row r="222" spans="1:8" x14ac:dyDescent="0.25">
      <c r="A222" s="773"/>
      <c r="B222" s="772" t="s">
        <v>2600</v>
      </c>
      <c r="C222" s="772" t="s">
        <v>1541</v>
      </c>
      <c r="D222" s="545" t="s">
        <v>943</v>
      </c>
      <c r="E222" s="772"/>
      <c r="F222" s="772"/>
      <c r="G222" s="772"/>
      <c r="H222" s="772"/>
    </row>
    <row r="223" spans="1:8" x14ac:dyDescent="0.25">
      <c r="A223" s="773"/>
      <c r="B223" s="772" t="s">
        <v>2601</v>
      </c>
      <c r="C223" s="772" t="s">
        <v>1542</v>
      </c>
      <c r="D223" s="545" t="s">
        <v>943</v>
      </c>
      <c r="E223" s="772"/>
      <c r="F223" s="772"/>
      <c r="G223" s="772"/>
      <c r="H223" s="772"/>
    </row>
    <row r="224" spans="1:8" x14ac:dyDescent="0.25">
      <c r="A224" s="773"/>
      <c r="B224" s="772" t="s">
        <v>2602</v>
      </c>
      <c r="C224" s="772" t="s">
        <v>1543</v>
      </c>
      <c r="D224" s="545" t="s">
        <v>943</v>
      </c>
      <c r="E224" s="772"/>
      <c r="F224" s="772"/>
      <c r="G224" s="772"/>
      <c r="H224" s="772"/>
    </row>
    <row r="225" spans="1:8" x14ac:dyDescent="0.25">
      <c r="A225" s="773"/>
      <c r="B225" s="772" t="s">
        <v>2603</v>
      </c>
      <c r="C225" s="772" t="s">
        <v>1544</v>
      </c>
      <c r="D225" s="545" t="s">
        <v>943</v>
      </c>
      <c r="E225" s="772"/>
      <c r="F225" s="772"/>
      <c r="G225" s="772"/>
      <c r="H225" s="772"/>
    </row>
    <row r="226" spans="1:8" x14ac:dyDescent="0.25">
      <c r="A226" s="773"/>
      <c r="B226" s="772" t="s">
        <v>1545</v>
      </c>
      <c r="C226" s="772" t="s">
        <v>1546</v>
      </c>
      <c r="D226" s="545" t="s">
        <v>943</v>
      </c>
      <c r="E226" s="772"/>
      <c r="F226" s="772"/>
      <c r="G226" s="772"/>
      <c r="H226" s="772"/>
    </row>
    <row r="227" spans="1:8" x14ac:dyDescent="0.25">
      <c r="A227" s="773"/>
      <c r="B227" s="772" t="s">
        <v>2604</v>
      </c>
      <c r="C227" s="772" t="s">
        <v>1547</v>
      </c>
      <c r="D227" s="545" t="s">
        <v>943</v>
      </c>
      <c r="E227" s="772"/>
      <c r="F227" s="772"/>
      <c r="G227" s="772"/>
      <c r="H227" s="772"/>
    </row>
    <row r="228" spans="1:8" x14ac:dyDescent="0.25">
      <c r="A228" s="773"/>
      <c r="B228" s="772" t="s">
        <v>2605</v>
      </c>
      <c r="C228" s="772" t="s">
        <v>1548</v>
      </c>
      <c r="D228" s="545" t="s">
        <v>943</v>
      </c>
      <c r="E228" s="772"/>
      <c r="F228" s="772"/>
      <c r="G228" s="772"/>
      <c r="H228" s="772"/>
    </row>
    <row r="229" spans="1:8" x14ac:dyDescent="0.25">
      <c r="A229" s="773"/>
      <c r="B229" s="772" t="s">
        <v>2606</v>
      </c>
      <c r="C229" s="772" t="s">
        <v>1549</v>
      </c>
      <c r="D229" s="545" t="s">
        <v>943</v>
      </c>
      <c r="E229" s="772"/>
      <c r="F229" s="772"/>
      <c r="G229" s="772"/>
      <c r="H229" s="772"/>
    </row>
    <row r="230" spans="1:8" x14ac:dyDescent="0.25">
      <c r="A230" s="773"/>
      <c r="B230" s="772" t="s">
        <v>2607</v>
      </c>
      <c r="C230" s="772" t="s">
        <v>1550</v>
      </c>
      <c r="D230" s="545" t="s">
        <v>943</v>
      </c>
      <c r="E230" s="772"/>
      <c r="F230" s="772"/>
      <c r="G230" s="772"/>
      <c r="H230" s="772"/>
    </row>
    <row r="231" spans="1:8" x14ac:dyDescent="0.25">
      <c r="A231" s="773"/>
      <c r="B231" s="772" t="s">
        <v>2608</v>
      </c>
      <c r="C231" s="772" t="s">
        <v>1551</v>
      </c>
      <c r="D231" s="545" t="s">
        <v>943</v>
      </c>
      <c r="E231" s="772"/>
      <c r="F231" s="772"/>
      <c r="G231" s="772"/>
      <c r="H231" s="772"/>
    </row>
    <row r="232" spans="1:8" x14ac:dyDescent="0.25">
      <c r="A232" s="773"/>
      <c r="B232" s="772" t="s">
        <v>2609</v>
      </c>
      <c r="C232" s="772" t="s">
        <v>1552</v>
      </c>
      <c r="D232" s="545" t="s">
        <v>943</v>
      </c>
      <c r="E232" s="772"/>
      <c r="F232" s="772"/>
      <c r="G232" s="772"/>
      <c r="H232" s="772"/>
    </row>
    <row r="233" spans="1:8" x14ac:dyDescent="0.25">
      <c r="A233" s="773"/>
      <c r="B233" s="772" t="s">
        <v>2610</v>
      </c>
      <c r="C233" s="772" t="s">
        <v>1553</v>
      </c>
      <c r="D233" s="545" t="s">
        <v>943</v>
      </c>
      <c r="E233" s="772"/>
      <c r="F233" s="772"/>
      <c r="G233" s="772"/>
      <c r="H233" s="772"/>
    </row>
    <row r="234" spans="1:8" x14ac:dyDescent="0.25">
      <c r="A234" s="773"/>
      <c r="B234" s="772" t="s">
        <v>2611</v>
      </c>
      <c r="C234" s="772" t="s">
        <v>1554</v>
      </c>
      <c r="D234" s="545" t="s">
        <v>943</v>
      </c>
      <c r="E234" s="772"/>
      <c r="F234" s="772"/>
      <c r="G234" s="772"/>
      <c r="H234" s="772"/>
    </row>
    <row r="235" spans="1:8" x14ac:dyDescent="0.25">
      <c r="A235" s="773"/>
      <c r="B235" s="772" t="s">
        <v>2612</v>
      </c>
      <c r="C235" s="772" t="s">
        <v>1555</v>
      </c>
      <c r="D235" s="545" t="s">
        <v>943</v>
      </c>
      <c r="E235" s="772"/>
      <c r="F235" s="772"/>
      <c r="G235" s="772"/>
      <c r="H235" s="772"/>
    </row>
    <row r="236" spans="1:8" x14ac:dyDescent="0.25">
      <c r="A236" s="773"/>
      <c r="B236" s="772" t="s">
        <v>2613</v>
      </c>
      <c r="C236" s="772" t="s">
        <v>1556</v>
      </c>
      <c r="D236" s="545" t="s">
        <v>943</v>
      </c>
      <c r="E236" s="772"/>
      <c r="F236" s="772"/>
      <c r="G236" s="772"/>
      <c r="H236" s="772"/>
    </row>
    <row r="237" spans="1:8" x14ac:dyDescent="0.25">
      <c r="A237" s="773"/>
      <c r="B237" s="772" t="s">
        <v>2614</v>
      </c>
      <c r="C237" s="772" t="s">
        <v>1557</v>
      </c>
      <c r="D237" s="545" t="s">
        <v>943</v>
      </c>
      <c r="E237" s="772"/>
      <c r="F237" s="772"/>
      <c r="G237" s="772"/>
      <c r="H237" s="772"/>
    </row>
    <row r="238" spans="1:8" x14ac:dyDescent="0.25">
      <c r="A238" s="773"/>
      <c r="B238" s="772" t="s">
        <v>2615</v>
      </c>
      <c r="C238" s="772" t="s">
        <v>1558</v>
      </c>
      <c r="D238" s="545" t="s">
        <v>943</v>
      </c>
      <c r="E238" s="772"/>
      <c r="F238" s="772"/>
      <c r="G238" s="772"/>
      <c r="H238" s="772"/>
    </row>
    <row r="239" spans="1:8" x14ac:dyDescent="0.25">
      <c r="A239" s="773"/>
      <c r="B239" s="772" t="s">
        <v>2616</v>
      </c>
      <c r="C239" s="772" t="s">
        <v>1559</v>
      </c>
      <c r="D239" s="545" t="s">
        <v>943</v>
      </c>
      <c r="E239" s="772"/>
      <c r="F239" s="772"/>
      <c r="G239" s="772"/>
      <c r="H239" s="772"/>
    </row>
    <row r="240" spans="1:8" x14ac:dyDescent="0.25">
      <c r="A240" s="773"/>
      <c r="B240" s="772" t="s">
        <v>2617</v>
      </c>
      <c r="C240" s="772" t="s">
        <v>1560</v>
      </c>
      <c r="D240" s="545" t="s">
        <v>943</v>
      </c>
      <c r="E240" s="772"/>
      <c r="F240" s="772"/>
      <c r="G240" s="772"/>
      <c r="H240" s="772"/>
    </row>
    <row r="241" spans="1:8" x14ac:dyDescent="0.25">
      <c r="A241" s="773"/>
      <c r="B241" s="772" t="s">
        <v>2618</v>
      </c>
      <c r="C241" s="772" t="s">
        <v>1561</v>
      </c>
      <c r="D241" s="545" t="s">
        <v>943</v>
      </c>
      <c r="E241" s="772"/>
      <c r="F241" s="772"/>
      <c r="G241" s="772"/>
      <c r="H241" s="772"/>
    </row>
    <row r="242" spans="1:8" x14ac:dyDescent="0.25">
      <c r="A242" s="773"/>
      <c r="B242" s="772" t="s">
        <v>2619</v>
      </c>
      <c r="C242" s="772" t="s">
        <v>1562</v>
      </c>
      <c r="D242" s="545" t="s">
        <v>943</v>
      </c>
      <c r="E242" s="772"/>
      <c r="F242" s="772"/>
      <c r="G242" s="772"/>
      <c r="H242" s="772"/>
    </row>
    <row r="243" spans="1:8" x14ac:dyDescent="0.25">
      <c r="A243" s="773"/>
      <c r="B243" s="772" t="s">
        <v>2620</v>
      </c>
      <c r="C243" s="772" t="s">
        <v>1563</v>
      </c>
      <c r="D243" s="545" t="s">
        <v>943</v>
      </c>
      <c r="E243" s="772"/>
      <c r="F243" s="772"/>
      <c r="G243" s="772"/>
      <c r="H243" s="772"/>
    </row>
    <row r="244" spans="1:8" x14ac:dyDescent="0.25">
      <c r="A244" s="773"/>
      <c r="B244" s="772" t="s">
        <v>2621</v>
      </c>
      <c r="C244" s="772" t="s">
        <v>1564</v>
      </c>
      <c r="D244" s="545" t="s">
        <v>943</v>
      </c>
      <c r="E244" s="772"/>
      <c r="F244" s="772"/>
      <c r="G244" s="772"/>
      <c r="H244" s="772"/>
    </row>
    <row r="245" spans="1:8" x14ac:dyDescent="0.25">
      <c r="A245" s="773"/>
      <c r="B245" s="772" t="s">
        <v>2622</v>
      </c>
      <c r="C245" s="772" t="s">
        <v>1565</v>
      </c>
      <c r="D245" s="545" t="s">
        <v>943</v>
      </c>
      <c r="E245" s="772"/>
      <c r="F245" s="772"/>
      <c r="G245" s="772"/>
      <c r="H245" s="772"/>
    </row>
    <row r="246" spans="1:8" x14ac:dyDescent="0.25">
      <c r="A246" s="773"/>
      <c r="B246" s="772" t="s">
        <v>2623</v>
      </c>
      <c r="C246" s="772" t="s">
        <v>1566</v>
      </c>
      <c r="D246" s="545" t="s">
        <v>943</v>
      </c>
      <c r="E246" s="772"/>
      <c r="F246" s="772"/>
      <c r="G246" s="772"/>
      <c r="H246" s="772"/>
    </row>
    <row r="247" spans="1:8" x14ac:dyDescent="0.25">
      <c r="A247" s="773"/>
      <c r="B247" s="772" t="s">
        <v>2624</v>
      </c>
      <c r="C247" s="772" t="s">
        <v>1567</v>
      </c>
      <c r="D247" s="545" t="s">
        <v>943</v>
      </c>
      <c r="E247" s="772"/>
      <c r="F247" s="772"/>
      <c r="G247" s="772"/>
      <c r="H247" s="772"/>
    </row>
    <row r="248" spans="1:8" x14ac:dyDescent="0.25">
      <c r="A248" s="773"/>
      <c r="B248" s="772" t="s">
        <v>2625</v>
      </c>
      <c r="C248" s="772" t="s">
        <v>1568</v>
      </c>
      <c r="D248" s="545" t="s">
        <v>943</v>
      </c>
      <c r="E248" s="772"/>
      <c r="F248" s="772"/>
      <c r="G248" s="772"/>
      <c r="H248" s="772"/>
    </row>
    <row r="249" spans="1:8" x14ac:dyDescent="0.25">
      <c r="A249" s="773"/>
      <c r="B249" s="772" t="s">
        <v>2626</v>
      </c>
      <c r="C249" s="772" t="s">
        <v>1569</v>
      </c>
      <c r="D249" s="545" t="s">
        <v>943</v>
      </c>
      <c r="E249" s="772"/>
      <c r="F249" s="772"/>
      <c r="G249" s="772"/>
      <c r="H249" s="772"/>
    </row>
    <row r="250" spans="1:8" x14ac:dyDescent="0.25">
      <c r="A250" s="773"/>
      <c r="B250" s="772" t="s">
        <v>2627</v>
      </c>
      <c r="C250" s="772" t="s">
        <v>1570</v>
      </c>
      <c r="D250" s="545" t="s">
        <v>943</v>
      </c>
      <c r="E250" s="772"/>
      <c r="F250" s="772"/>
      <c r="G250" s="772"/>
      <c r="H250" s="772"/>
    </row>
    <row r="251" spans="1:8" x14ac:dyDescent="0.25">
      <c r="A251" s="773"/>
      <c r="B251" s="772" t="s">
        <v>2628</v>
      </c>
      <c r="C251" s="772" t="s">
        <v>1571</v>
      </c>
      <c r="D251" s="545" t="s">
        <v>943</v>
      </c>
      <c r="E251" s="772"/>
      <c r="F251" s="772"/>
      <c r="G251" s="772"/>
      <c r="H251" s="772"/>
    </row>
    <row r="252" spans="1:8" x14ac:dyDescent="0.25">
      <c r="A252" s="773"/>
      <c r="B252" s="772" t="s">
        <v>2629</v>
      </c>
      <c r="C252" s="772" t="s">
        <v>1572</v>
      </c>
      <c r="D252" s="545" t="s">
        <v>943</v>
      </c>
      <c r="E252" s="772"/>
      <c r="F252" s="772"/>
      <c r="G252" s="772"/>
      <c r="H252" s="772"/>
    </row>
    <row r="253" spans="1:8" x14ac:dyDescent="0.25">
      <c r="A253" s="773"/>
      <c r="B253" s="772" t="s">
        <v>2630</v>
      </c>
      <c r="C253" s="772" t="s">
        <v>1573</v>
      </c>
      <c r="D253" s="545" t="s">
        <v>943</v>
      </c>
      <c r="E253" s="772"/>
      <c r="F253" s="772"/>
      <c r="G253" s="772"/>
      <c r="H253" s="772"/>
    </row>
    <row r="254" spans="1:8" x14ac:dyDescent="0.25">
      <c r="A254" s="773"/>
      <c r="B254" s="772" t="s">
        <v>2631</v>
      </c>
      <c r="C254" s="772" t="s">
        <v>1574</v>
      </c>
      <c r="D254" s="545" t="s">
        <v>943</v>
      </c>
      <c r="E254" s="772"/>
      <c r="F254" s="772"/>
      <c r="G254" s="772"/>
      <c r="H254" s="772"/>
    </row>
    <row r="255" spans="1:8" x14ac:dyDescent="0.25">
      <c r="A255" s="773"/>
      <c r="B255" s="772" t="s">
        <v>2632</v>
      </c>
      <c r="C255" s="772" t="s">
        <v>1575</v>
      </c>
      <c r="D255" s="545" t="s">
        <v>943</v>
      </c>
      <c r="E255" s="772"/>
      <c r="F255" s="772"/>
      <c r="G255" s="772"/>
      <c r="H255" s="772"/>
    </row>
    <row r="256" spans="1:8" x14ac:dyDescent="0.25">
      <c r="A256" s="773"/>
      <c r="B256" s="772" t="s">
        <v>2633</v>
      </c>
      <c r="C256" s="772" t="s">
        <v>1576</v>
      </c>
      <c r="D256" s="545" t="s">
        <v>943</v>
      </c>
      <c r="E256" s="772"/>
      <c r="F256" s="772"/>
      <c r="G256" s="772"/>
      <c r="H256" s="772"/>
    </row>
    <row r="257" spans="1:8" x14ac:dyDescent="0.25">
      <c r="A257" s="773"/>
      <c r="B257" s="772" t="s">
        <v>2634</v>
      </c>
      <c r="C257" s="772" t="s">
        <v>1577</v>
      </c>
      <c r="D257" s="545" t="s">
        <v>943</v>
      </c>
      <c r="E257" s="772"/>
      <c r="F257" s="772"/>
      <c r="G257" s="772"/>
      <c r="H257" s="772"/>
    </row>
    <row r="258" spans="1:8" x14ac:dyDescent="0.25">
      <c r="A258" s="773"/>
      <c r="B258" s="772" t="s">
        <v>2635</v>
      </c>
      <c r="C258" s="772" t="s">
        <v>1578</v>
      </c>
      <c r="D258" s="545" t="s">
        <v>943</v>
      </c>
      <c r="E258" s="772"/>
      <c r="F258" s="772"/>
      <c r="G258" s="772"/>
      <c r="H258" s="772"/>
    </row>
    <row r="259" spans="1:8" x14ac:dyDescent="0.25">
      <c r="A259" s="773"/>
      <c r="B259" s="772" t="s">
        <v>2636</v>
      </c>
      <c r="C259" s="772" t="s">
        <v>1579</v>
      </c>
      <c r="D259" s="545" t="s">
        <v>943</v>
      </c>
      <c r="E259" s="772"/>
      <c r="F259" s="772"/>
      <c r="G259" s="772"/>
      <c r="H259" s="772"/>
    </row>
    <row r="260" spans="1:8" x14ac:dyDescent="0.25">
      <c r="A260" s="773"/>
      <c r="B260" s="772" t="s">
        <v>2637</v>
      </c>
      <c r="C260" s="772" t="s">
        <v>1580</v>
      </c>
      <c r="D260" s="545" t="s">
        <v>943</v>
      </c>
      <c r="E260" s="772"/>
      <c r="F260" s="772"/>
      <c r="G260" s="772"/>
      <c r="H260" s="772"/>
    </row>
    <row r="261" spans="1:8" x14ac:dyDescent="0.25">
      <c r="A261" s="773"/>
      <c r="B261" s="772" t="s">
        <v>2638</v>
      </c>
      <c r="C261" s="772" t="s">
        <v>1581</v>
      </c>
      <c r="D261" s="545" t="s">
        <v>943</v>
      </c>
      <c r="E261" s="772"/>
      <c r="F261" s="772"/>
      <c r="G261" s="772"/>
      <c r="H261" s="772"/>
    </row>
    <row r="262" spans="1:8" x14ac:dyDescent="0.25">
      <c r="A262" s="773"/>
      <c r="B262" s="772" t="s">
        <v>2639</v>
      </c>
      <c r="C262" s="772" t="s">
        <v>1582</v>
      </c>
      <c r="D262" s="545" t="s">
        <v>943</v>
      </c>
      <c r="E262" s="772"/>
      <c r="F262" s="772"/>
      <c r="G262" s="772"/>
      <c r="H262" s="772"/>
    </row>
    <row r="263" spans="1:8" x14ac:dyDescent="0.25">
      <c r="A263" s="773"/>
      <c r="B263" s="772" t="s">
        <v>2640</v>
      </c>
      <c r="C263" s="772" t="s">
        <v>1583</v>
      </c>
      <c r="D263" s="545" t="s">
        <v>943</v>
      </c>
      <c r="E263" s="772"/>
      <c r="F263" s="772"/>
      <c r="G263" s="772"/>
      <c r="H263" s="772"/>
    </row>
    <row r="264" spans="1:8" x14ac:dyDescent="0.25">
      <c r="A264" s="773"/>
      <c r="B264" s="772" t="s">
        <v>2641</v>
      </c>
      <c r="C264" s="772" t="s">
        <v>1584</v>
      </c>
      <c r="D264" s="545" t="s">
        <v>943</v>
      </c>
      <c r="E264" s="772"/>
      <c r="F264" s="772"/>
      <c r="G264" s="772"/>
      <c r="H264" s="772"/>
    </row>
    <row r="265" spans="1:8" x14ac:dyDescent="0.25">
      <c r="A265" s="773"/>
      <c r="B265" s="772" t="s">
        <v>2642</v>
      </c>
      <c r="C265" s="772" t="s">
        <v>1585</v>
      </c>
      <c r="D265" s="545" t="s">
        <v>943</v>
      </c>
      <c r="E265" s="772"/>
      <c r="F265" s="772"/>
      <c r="G265" s="772"/>
      <c r="H265" s="772"/>
    </row>
    <row r="266" spans="1:8" x14ac:dyDescent="0.25">
      <c r="A266" s="773"/>
      <c r="B266" s="772" t="s">
        <v>2643</v>
      </c>
      <c r="C266" s="772" t="s">
        <v>1586</v>
      </c>
      <c r="D266" s="545" t="s">
        <v>943</v>
      </c>
      <c r="E266" s="772"/>
      <c r="F266" s="772"/>
      <c r="G266" s="772"/>
      <c r="H266" s="772"/>
    </row>
    <row r="267" spans="1:8" x14ac:dyDescent="0.25">
      <c r="A267" s="773"/>
      <c r="B267" s="772" t="s">
        <v>2644</v>
      </c>
      <c r="C267" s="772" t="s">
        <v>1587</v>
      </c>
      <c r="D267" s="545" t="s">
        <v>943</v>
      </c>
      <c r="E267" s="772"/>
      <c r="F267" s="772"/>
      <c r="G267" s="772"/>
      <c r="H267" s="772"/>
    </row>
    <row r="268" spans="1:8" x14ac:dyDescent="0.25">
      <c r="A268" s="773"/>
      <c r="B268" s="772" t="s">
        <v>2645</v>
      </c>
      <c r="C268" s="772" t="s">
        <v>1588</v>
      </c>
      <c r="D268" s="545" t="s">
        <v>943</v>
      </c>
      <c r="E268" s="772"/>
      <c r="F268" s="772"/>
      <c r="G268" s="772"/>
      <c r="H268" s="772"/>
    </row>
    <row r="269" spans="1:8" x14ac:dyDescent="0.25">
      <c r="A269" s="773"/>
      <c r="B269" s="772" t="s">
        <v>2646</v>
      </c>
      <c r="C269" s="772" t="s">
        <v>1589</v>
      </c>
      <c r="D269" s="545" t="s">
        <v>943</v>
      </c>
      <c r="E269" s="772"/>
      <c r="F269" s="772"/>
      <c r="G269" s="772"/>
      <c r="H269" s="772"/>
    </row>
    <row r="270" spans="1:8" x14ac:dyDescent="0.25">
      <c r="A270" s="773"/>
      <c r="B270" s="772" t="s">
        <v>2647</v>
      </c>
      <c r="C270" s="772" t="s">
        <v>1590</v>
      </c>
      <c r="D270" s="545" t="s">
        <v>943</v>
      </c>
      <c r="E270" s="772"/>
      <c r="F270" s="772"/>
      <c r="G270" s="772"/>
      <c r="H270" s="772"/>
    </row>
    <row r="271" spans="1:8" x14ac:dyDescent="0.25">
      <c r="A271" s="773"/>
      <c r="B271" s="772" t="s">
        <v>2648</v>
      </c>
      <c r="C271" s="772" t="s">
        <v>1591</v>
      </c>
      <c r="D271" s="545" t="s">
        <v>943</v>
      </c>
      <c r="E271" s="772"/>
      <c r="F271" s="772"/>
      <c r="G271" s="772"/>
      <c r="H271" s="772"/>
    </row>
    <row r="272" spans="1:8" x14ac:dyDescent="0.25">
      <c r="A272" s="773"/>
      <c r="B272" s="772" t="s">
        <v>2649</v>
      </c>
      <c r="C272" s="772" t="s">
        <v>1592</v>
      </c>
      <c r="D272" s="545" t="s">
        <v>943</v>
      </c>
      <c r="E272" s="772"/>
      <c r="F272" s="772"/>
      <c r="G272" s="772"/>
      <c r="H272" s="772"/>
    </row>
    <row r="273" spans="1:8" x14ac:dyDescent="0.25">
      <c r="A273" s="773"/>
      <c r="B273" s="772" t="s">
        <v>2650</v>
      </c>
      <c r="C273" s="772" t="s">
        <v>1593</v>
      </c>
      <c r="D273" s="545" t="s">
        <v>943</v>
      </c>
      <c r="E273" s="772"/>
      <c r="F273" s="772"/>
      <c r="G273" s="772"/>
      <c r="H273" s="772"/>
    </row>
    <row r="274" spans="1:8" x14ac:dyDescent="0.25">
      <c r="A274" s="773"/>
      <c r="B274" s="772" t="s">
        <v>2651</v>
      </c>
      <c r="C274" s="772" t="s">
        <v>1594</v>
      </c>
      <c r="D274" s="545" t="s">
        <v>943</v>
      </c>
      <c r="E274" s="772"/>
      <c r="F274" s="772"/>
      <c r="G274" s="772"/>
      <c r="H274" s="772"/>
    </row>
    <row r="275" spans="1:8" x14ac:dyDescent="0.25">
      <c r="A275" s="773"/>
      <c r="B275" s="772" t="s">
        <v>2652</v>
      </c>
      <c r="C275" s="772" t="s">
        <v>1595</v>
      </c>
      <c r="D275" s="545" t="s">
        <v>943</v>
      </c>
      <c r="E275" s="772"/>
      <c r="F275" s="772"/>
      <c r="G275" s="772"/>
      <c r="H275" s="772"/>
    </row>
    <row r="276" spans="1:8" x14ac:dyDescent="0.25">
      <c r="A276" s="773"/>
      <c r="B276" s="772" t="s">
        <v>2653</v>
      </c>
      <c r="C276" s="772" t="s">
        <v>1596</v>
      </c>
      <c r="D276" s="545" t="s">
        <v>943</v>
      </c>
      <c r="E276" s="772"/>
      <c r="F276" s="772"/>
      <c r="G276" s="772"/>
      <c r="H276" s="772"/>
    </row>
    <row r="277" spans="1:8" x14ac:dyDescent="0.25">
      <c r="A277" s="773"/>
      <c r="B277" s="772" t="s">
        <v>2654</v>
      </c>
      <c r="C277" s="772" t="s">
        <v>1597</v>
      </c>
      <c r="D277" s="545" t="s">
        <v>943</v>
      </c>
      <c r="E277" s="772"/>
      <c r="F277" s="772"/>
      <c r="G277" s="772"/>
      <c r="H277" s="772"/>
    </row>
    <row r="278" spans="1:8" x14ac:dyDescent="0.25">
      <c r="A278" s="773"/>
      <c r="B278" s="772" t="s">
        <v>2655</v>
      </c>
      <c r="C278" s="772" t="s">
        <v>1598</v>
      </c>
      <c r="D278" s="545" t="s">
        <v>943</v>
      </c>
      <c r="E278" s="772"/>
      <c r="F278" s="772"/>
      <c r="G278" s="772"/>
      <c r="H278" s="772"/>
    </row>
    <row r="279" spans="1:8" x14ac:dyDescent="0.25">
      <c r="A279" s="773"/>
      <c r="B279" s="772" t="s">
        <v>2656</v>
      </c>
      <c r="C279" s="772" t="s">
        <v>1599</v>
      </c>
      <c r="D279" s="545" t="s">
        <v>943</v>
      </c>
      <c r="E279" s="772"/>
      <c r="F279" s="772"/>
      <c r="G279" s="772"/>
      <c r="H279" s="772"/>
    </row>
    <row r="280" spans="1:8" x14ac:dyDescent="0.25">
      <c r="A280" s="773"/>
      <c r="B280" s="772" t="s">
        <v>2657</v>
      </c>
      <c r="C280" s="772" t="s">
        <v>1600</v>
      </c>
      <c r="D280" s="545" t="s">
        <v>943</v>
      </c>
      <c r="E280" s="772"/>
      <c r="F280" s="772"/>
      <c r="G280" s="772"/>
      <c r="H280" s="772"/>
    </row>
    <row r="281" spans="1:8" x14ac:dyDescent="0.25">
      <c r="A281" s="773"/>
      <c r="B281" s="772" t="s">
        <v>2658</v>
      </c>
      <c r="C281" s="772" t="s">
        <v>1601</v>
      </c>
      <c r="D281" s="545" t="s">
        <v>943</v>
      </c>
      <c r="E281" s="772"/>
      <c r="F281" s="772"/>
      <c r="G281" s="772"/>
      <c r="H281" s="772"/>
    </row>
    <row r="282" spans="1:8" x14ac:dyDescent="0.25">
      <c r="A282" s="773"/>
      <c r="B282" s="772" t="s">
        <v>2659</v>
      </c>
      <c r="C282" s="772" t="s">
        <v>1602</v>
      </c>
      <c r="D282" s="545" t="s">
        <v>943</v>
      </c>
      <c r="E282" s="772"/>
      <c r="F282" s="772"/>
      <c r="G282" s="772"/>
      <c r="H282" s="772"/>
    </row>
    <row r="283" spans="1:8" x14ac:dyDescent="0.25">
      <c r="A283" s="773"/>
      <c r="B283" s="772" t="s">
        <v>2660</v>
      </c>
      <c r="C283" s="772" t="s">
        <v>1603</v>
      </c>
      <c r="D283" s="545" t="s">
        <v>943</v>
      </c>
      <c r="E283" s="772"/>
      <c r="F283" s="772"/>
      <c r="G283" s="772"/>
      <c r="H283" s="772"/>
    </row>
    <row r="284" spans="1:8" x14ac:dyDescent="0.25">
      <c r="A284" s="773"/>
      <c r="B284" s="772" t="s">
        <v>2661</v>
      </c>
      <c r="C284" s="772" t="s">
        <v>1604</v>
      </c>
      <c r="D284" s="545" t="s">
        <v>943</v>
      </c>
      <c r="E284" s="772"/>
      <c r="F284" s="772"/>
      <c r="G284" s="772"/>
      <c r="H284" s="772"/>
    </row>
    <row r="285" spans="1:8" x14ac:dyDescent="0.25">
      <c r="A285" s="773"/>
      <c r="B285" s="772" t="s">
        <v>2662</v>
      </c>
      <c r="C285" s="772" t="s">
        <v>1605</v>
      </c>
      <c r="D285" s="545" t="s">
        <v>943</v>
      </c>
      <c r="E285" s="772"/>
      <c r="F285" s="772"/>
      <c r="G285" s="772"/>
      <c r="H285" s="772"/>
    </row>
    <row r="286" spans="1:8" x14ac:dyDescent="0.25">
      <c r="A286" s="773"/>
      <c r="B286" s="772" t="s">
        <v>2663</v>
      </c>
      <c r="C286" s="772" t="s">
        <v>1606</v>
      </c>
      <c r="D286" s="545" t="s">
        <v>943</v>
      </c>
      <c r="E286" s="772"/>
      <c r="F286" s="772"/>
      <c r="G286" s="772"/>
      <c r="H286" s="772"/>
    </row>
    <row r="287" spans="1:8" x14ac:dyDescent="0.25">
      <c r="A287" s="773"/>
      <c r="B287" s="772" t="s">
        <v>2664</v>
      </c>
      <c r="C287" s="772" t="s">
        <v>1607</v>
      </c>
      <c r="D287" s="545" t="s">
        <v>943</v>
      </c>
      <c r="E287" s="772"/>
      <c r="F287" s="772"/>
      <c r="G287" s="772"/>
      <c r="H287" s="772"/>
    </row>
    <row r="288" spans="1:8" x14ac:dyDescent="0.25">
      <c r="A288" s="773"/>
      <c r="B288" s="772" t="s">
        <v>2665</v>
      </c>
      <c r="C288" s="772" t="s">
        <v>1608</v>
      </c>
      <c r="D288" s="545" t="s">
        <v>943</v>
      </c>
      <c r="E288" s="772"/>
      <c r="F288" s="772"/>
      <c r="G288" s="772"/>
      <c r="H288" s="772"/>
    </row>
    <row r="289" spans="1:8" x14ac:dyDescent="0.25">
      <c r="A289" s="773"/>
      <c r="B289" s="772" t="s">
        <v>2666</v>
      </c>
      <c r="C289" s="772" t="s">
        <v>1609</v>
      </c>
      <c r="D289" s="545" t="s">
        <v>943</v>
      </c>
      <c r="E289" s="772"/>
      <c r="F289" s="772"/>
      <c r="G289" s="772"/>
      <c r="H289" s="772"/>
    </row>
    <row r="290" spans="1:8" x14ac:dyDescent="0.25">
      <c r="A290" s="773"/>
      <c r="B290" s="772" t="s">
        <v>2667</v>
      </c>
      <c r="C290" s="772" t="s">
        <v>1610</v>
      </c>
      <c r="D290" s="545" t="s">
        <v>943</v>
      </c>
      <c r="E290" s="772"/>
      <c r="F290" s="772"/>
      <c r="G290" s="772"/>
      <c r="H290" s="772"/>
    </row>
    <row r="291" spans="1:8" x14ac:dyDescent="0.25">
      <c r="A291" s="773"/>
      <c r="B291" s="772" t="s">
        <v>2668</v>
      </c>
      <c r="C291" s="772" t="s">
        <v>1611</v>
      </c>
      <c r="D291" s="545" t="s">
        <v>943</v>
      </c>
      <c r="E291" s="772"/>
      <c r="F291" s="772"/>
      <c r="G291" s="772"/>
      <c r="H291" s="772"/>
    </row>
    <row r="292" spans="1:8" x14ac:dyDescent="0.25">
      <c r="A292" s="773"/>
      <c r="B292" s="772" t="s">
        <v>2669</v>
      </c>
      <c r="C292" s="772" t="s">
        <v>1612</v>
      </c>
      <c r="D292" s="545" t="s">
        <v>943</v>
      </c>
      <c r="E292" s="772"/>
      <c r="F292" s="772"/>
      <c r="G292" s="772"/>
      <c r="H292" s="772"/>
    </row>
    <row r="293" spans="1:8" x14ac:dyDescent="0.25">
      <c r="A293" s="773"/>
      <c r="B293" s="772" t="s">
        <v>2670</v>
      </c>
      <c r="C293" s="772" t="s">
        <v>1613</v>
      </c>
      <c r="D293" s="545" t="s">
        <v>943</v>
      </c>
      <c r="E293" s="772"/>
      <c r="F293" s="772"/>
      <c r="G293" s="772"/>
      <c r="H293" s="772"/>
    </row>
    <row r="294" spans="1:8" x14ac:dyDescent="0.25">
      <c r="A294" s="773"/>
      <c r="B294" s="772" t="s">
        <v>2671</v>
      </c>
      <c r="C294" s="772" t="s">
        <v>1614</v>
      </c>
      <c r="D294" s="545" t="s">
        <v>943</v>
      </c>
      <c r="E294" s="772"/>
      <c r="F294" s="772"/>
      <c r="G294" s="772"/>
      <c r="H294" s="772"/>
    </row>
    <row r="295" spans="1:8" x14ac:dyDescent="0.25">
      <c r="A295" s="773"/>
      <c r="B295" s="772" t="s">
        <v>2672</v>
      </c>
      <c r="C295" s="772" t="s">
        <v>1615</v>
      </c>
      <c r="D295" s="545" t="s">
        <v>943</v>
      </c>
      <c r="E295" s="772"/>
      <c r="F295" s="772"/>
      <c r="G295" s="772"/>
      <c r="H295" s="772"/>
    </row>
    <row r="296" spans="1:8" x14ac:dyDescent="0.25">
      <c r="A296" s="773"/>
      <c r="B296" s="772" t="s">
        <v>2673</v>
      </c>
      <c r="C296" s="772" t="s">
        <v>1616</v>
      </c>
      <c r="D296" s="545" t="s">
        <v>943</v>
      </c>
      <c r="E296" s="772"/>
      <c r="F296" s="772"/>
      <c r="G296" s="772"/>
      <c r="H296" s="772"/>
    </row>
    <row r="297" spans="1:8" x14ac:dyDescent="0.25">
      <c r="A297" s="773"/>
      <c r="B297" s="772" t="s">
        <v>2674</v>
      </c>
      <c r="C297" s="772" t="s">
        <v>1617</v>
      </c>
      <c r="D297" s="545" t="s">
        <v>943</v>
      </c>
      <c r="E297" s="772"/>
      <c r="F297" s="772"/>
      <c r="G297" s="772"/>
      <c r="H297" s="772"/>
    </row>
    <row r="298" spans="1:8" x14ac:dyDescent="0.25">
      <c r="A298" s="773"/>
      <c r="B298" s="772" t="s">
        <v>2675</v>
      </c>
      <c r="C298" s="772" t="s">
        <v>1618</v>
      </c>
      <c r="D298" s="545" t="s">
        <v>943</v>
      </c>
      <c r="E298" s="772"/>
      <c r="F298" s="772"/>
      <c r="G298" s="772"/>
      <c r="H298" s="772"/>
    </row>
    <row r="299" spans="1:8" x14ac:dyDescent="0.25">
      <c r="A299" s="773"/>
      <c r="B299" s="772" t="s">
        <v>2676</v>
      </c>
      <c r="C299" s="772" t="s">
        <v>1619</v>
      </c>
      <c r="D299" s="545" t="s">
        <v>943</v>
      </c>
      <c r="E299" s="772"/>
      <c r="F299" s="772"/>
      <c r="G299" s="772"/>
      <c r="H299" s="772"/>
    </row>
    <row r="300" spans="1:8" x14ac:dyDescent="0.25">
      <c r="A300" s="773"/>
      <c r="B300" s="772" t="s">
        <v>2677</v>
      </c>
      <c r="C300" s="772" t="s">
        <v>1620</v>
      </c>
      <c r="D300" s="545" t="s">
        <v>943</v>
      </c>
      <c r="E300" s="772"/>
      <c r="F300" s="772"/>
      <c r="G300" s="772"/>
      <c r="H300" s="772"/>
    </row>
    <row r="301" spans="1:8" x14ac:dyDescent="0.25">
      <c r="A301" s="773"/>
      <c r="B301" s="772" t="s">
        <v>2678</v>
      </c>
      <c r="C301" s="772" t="s">
        <v>1621</v>
      </c>
      <c r="D301" s="545" t="s">
        <v>943</v>
      </c>
      <c r="E301" s="772"/>
      <c r="F301" s="772"/>
      <c r="G301" s="772"/>
      <c r="H301" s="772"/>
    </row>
    <row r="302" spans="1:8" x14ac:dyDescent="0.25">
      <c r="A302" s="773"/>
      <c r="B302" s="772" t="s">
        <v>2679</v>
      </c>
      <c r="C302" s="772" t="s">
        <v>1622</v>
      </c>
      <c r="D302" s="545" t="s">
        <v>943</v>
      </c>
      <c r="E302" s="772"/>
      <c r="F302" s="772"/>
      <c r="G302" s="772"/>
      <c r="H302" s="772"/>
    </row>
    <row r="303" spans="1:8" x14ac:dyDescent="0.25">
      <c r="A303" s="773"/>
      <c r="B303" s="772" t="s">
        <v>2680</v>
      </c>
      <c r="C303" s="772" t="s">
        <v>1623</v>
      </c>
      <c r="D303" s="545" t="s">
        <v>943</v>
      </c>
      <c r="E303" s="772"/>
      <c r="F303" s="772"/>
      <c r="G303" s="772"/>
      <c r="H303" s="772"/>
    </row>
    <row r="304" spans="1:8" x14ac:dyDescent="0.25">
      <c r="A304" s="773"/>
      <c r="B304" s="772" t="s">
        <v>2681</v>
      </c>
      <c r="C304" s="772" t="s">
        <v>1624</v>
      </c>
      <c r="D304" s="545" t="s">
        <v>943</v>
      </c>
      <c r="E304" s="772"/>
      <c r="F304" s="772"/>
      <c r="G304" s="772"/>
      <c r="H304" s="772"/>
    </row>
    <row r="305" spans="1:8" x14ac:dyDescent="0.25">
      <c r="A305" s="773"/>
      <c r="B305" s="772" t="s">
        <v>2682</v>
      </c>
      <c r="C305" s="772" t="s">
        <v>1625</v>
      </c>
      <c r="D305" s="545" t="s">
        <v>943</v>
      </c>
      <c r="E305" s="772"/>
      <c r="F305" s="772"/>
      <c r="G305" s="772"/>
      <c r="H305" s="772"/>
    </row>
    <row r="306" spans="1:8" x14ac:dyDescent="0.25">
      <c r="A306" s="773"/>
      <c r="B306" s="772" t="s">
        <v>2683</v>
      </c>
      <c r="C306" s="772" t="s">
        <v>1626</v>
      </c>
      <c r="D306" s="545" t="s">
        <v>943</v>
      </c>
      <c r="E306" s="772"/>
      <c r="F306" s="772"/>
      <c r="G306" s="772"/>
      <c r="H306" s="772"/>
    </row>
    <row r="307" spans="1:8" x14ac:dyDescent="0.25">
      <c r="A307" s="773"/>
      <c r="B307" s="772" t="s">
        <v>2684</v>
      </c>
      <c r="C307" s="772" t="s">
        <v>1627</v>
      </c>
      <c r="D307" s="545" t="s">
        <v>943</v>
      </c>
      <c r="E307" s="772"/>
      <c r="F307" s="772"/>
      <c r="G307" s="772"/>
      <c r="H307" s="772"/>
    </row>
    <row r="308" spans="1:8" x14ac:dyDescent="0.25">
      <c r="A308" s="773"/>
      <c r="B308" s="772" t="s">
        <v>2685</v>
      </c>
      <c r="C308" s="772" t="s">
        <v>1628</v>
      </c>
      <c r="D308" s="545" t="s">
        <v>943</v>
      </c>
      <c r="E308" s="772"/>
      <c r="F308" s="772"/>
      <c r="G308" s="772"/>
      <c r="H308" s="772"/>
    </row>
    <row r="309" spans="1:8" x14ac:dyDescent="0.25">
      <c r="A309" s="773"/>
      <c r="B309" s="772" t="s">
        <v>2555</v>
      </c>
      <c r="C309" s="772" t="s">
        <v>1629</v>
      </c>
      <c r="D309" s="545" t="s">
        <v>943</v>
      </c>
      <c r="E309" s="772"/>
      <c r="F309" s="772"/>
      <c r="G309" s="772"/>
      <c r="H309" s="772"/>
    </row>
    <row r="310" spans="1:8" x14ac:dyDescent="0.25">
      <c r="A310" s="773"/>
      <c r="B310" s="772" t="s">
        <v>2686</v>
      </c>
      <c r="C310" s="772" t="s">
        <v>1630</v>
      </c>
      <c r="D310" s="545" t="s">
        <v>943</v>
      </c>
      <c r="E310" s="772"/>
      <c r="F310" s="772"/>
      <c r="G310" s="772"/>
      <c r="H310" s="772"/>
    </row>
    <row r="311" spans="1:8" x14ac:dyDescent="0.25">
      <c r="A311" s="773"/>
      <c r="B311" s="772" t="s">
        <v>2687</v>
      </c>
      <c r="C311" s="772" t="s">
        <v>1631</v>
      </c>
      <c r="D311" s="545" t="s">
        <v>943</v>
      </c>
      <c r="E311" s="772"/>
      <c r="F311" s="772"/>
      <c r="G311" s="772"/>
      <c r="H311" s="772"/>
    </row>
    <row r="312" spans="1:8" x14ac:dyDescent="0.25">
      <c r="A312" s="773"/>
      <c r="B312" s="772" t="s">
        <v>2688</v>
      </c>
      <c r="C312" s="772" t="s">
        <v>1632</v>
      </c>
      <c r="D312" s="545" t="s">
        <v>943</v>
      </c>
      <c r="E312" s="772"/>
      <c r="F312" s="772"/>
      <c r="G312" s="772"/>
      <c r="H312" s="772"/>
    </row>
    <row r="313" spans="1:8" x14ac:dyDescent="0.25">
      <c r="A313" s="773"/>
      <c r="B313" s="772" t="s">
        <v>2689</v>
      </c>
      <c r="C313" s="772" t="s">
        <v>1633</v>
      </c>
      <c r="D313" s="545" t="s">
        <v>943</v>
      </c>
      <c r="E313" s="772"/>
      <c r="F313" s="772"/>
      <c r="G313" s="772"/>
      <c r="H313" s="772"/>
    </row>
    <row r="314" spans="1:8" x14ac:dyDescent="0.25">
      <c r="A314" s="773"/>
      <c r="B314" s="772" t="s">
        <v>2690</v>
      </c>
      <c r="C314" s="772" t="s">
        <v>1634</v>
      </c>
      <c r="D314" s="545" t="s">
        <v>943</v>
      </c>
      <c r="E314" s="772"/>
      <c r="F314" s="772"/>
      <c r="G314" s="772"/>
      <c r="H314" s="772"/>
    </row>
    <row r="315" spans="1:8" x14ac:dyDescent="0.25">
      <c r="A315" s="773"/>
      <c r="B315" s="772" t="s">
        <v>2691</v>
      </c>
      <c r="C315" s="772" t="s">
        <v>1635</v>
      </c>
      <c r="D315" s="545" t="s">
        <v>943</v>
      </c>
      <c r="E315" s="772"/>
      <c r="F315" s="772"/>
      <c r="G315" s="772"/>
      <c r="H315" s="772"/>
    </row>
    <row r="316" spans="1:8" x14ac:dyDescent="0.25">
      <c r="A316" s="773"/>
      <c r="B316" s="772" t="s">
        <v>2692</v>
      </c>
      <c r="C316" s="772" t="s">
        <v>1636</v>
      </c>
      <c r="D316" s="545" t="s">
        <v>943</v>
      </c>
      <c r="E316" s="772"/>
      <c r="F316" s="772"/>
      <c r="G316" s="772"/>
      <c r="H316" s="772"/>
    </row>
    <row r="317" spans="1:8" x14ac:dyDescent="0.25">
      <c r="A317" s="773"/>
      <c r="B317" s="772" t="s">
        <v>2693</v>
      </c>
      <c r="C317" s="772" t="s">
        <v>1637</v>
      </c>
      <c r="D317" s="545" t="s">
        <v>943</v>
      </c>
      <c r="E317" s="772"/>
      <c r="F317" s="772"/>
      <c r="G317" s="772"/>
      <c r="H317" s="772"/>
    </row>
    <row r="318" spans="1:8" x14ac:dyDescent="0.25">
      <c r="A318" s="773"/>
      <c r="B318" s="772" t="s">
        <v>2694</v>
      </c>
      <c r="C318" s="772" t="s">
        <v>1638</v>
      </c>
      <c r="D318" s="545" t="s">
        <v>943</v>
      </c>
      <c r="E318" s="772"/>
      <c r="F318" s="772"/>
      <c r="G318" s="772"/>
      <c r="H318" s="772"/>
    </row>
    <row r="319" spans="1:8" x14ac:dyDescent="0.25">
      <c r="A319" s="773"/>
      <c r="B319" s="772" t="s">
        <v>2695</v>
      </c>
      <c r="C319" s="772" t="s">
        <v>1639</v>
      </c>
      <c r="D319" s="545" t="s">
        <v>943</v>
      </c>
      <c r="E319" s="772"/>
      <c r="F319" s="772"/>
      <c r="G319" s="772"/>
      <c r="H319" s="772"/>
    </row>
    <row r="320" spans="1:8" x14ac:dyDescent="0.25">
      <c r="A320" s="773"/>
      <c r="B320" s="772" t="s">
        <v>2696</v>
      </c>
      <c r="C320" s="772" t="s">
        <v>1640</v>
      </c>
      <c r="D320" s="545" t="s">
        <v>943</v>
      </c>
      <c r="E320" s="772"/>
      <c r="F320" s="772"/>
      <c r="G320" s="772"/>
      <c r="H320" s="772"/>
    </row>
    <row r="321" spans="1:8" x14ac:dyDescent="0.25">
      <c r="A321" s="773"/>
      <c r="B321" s="772" t="s">
        <v>2697</v>
      </c>
      <c r="C321" s="772" t="s">
        <v>1641</v>
      </c>
      <c r="D321" s="545" t="s">
        <v>943</v>
      </c>
      <c r="E321" s="772"/>
      <c r="F321" s="772"/>
      <c r="G321" s="772"/>
      <c r="H321" s="772"/>
    </row>
    <row r="322" spans="1:8" x14ac:dyDescent="0.25">
      <c r="A322" s="773"/>
      <c r="B322" s="772" t="s">
        <v>2698</v>
      </c>
      <c r="C322" s="772" t="s">
        <v>1642</v>
      </c>
      <c r="D322" s="545" t="s">
        <v>943</v>
      </c>
      <c r="E322" s="772"/>
      <c r="F322" s="772"/>
      <c r="G322" s="772"/>
      <c r="H322" s="772"/>
    </row>
    <row r="323" spans="1:8" x14ac:dyDescent="0.25">
      <c r="A323" s="773"/>
      <c r="B323" s="772" t="s">
        <v>2699</v>
      </c>
      <c r="C323" s="772" t="s">
        <v>1643</v>
      </c>
      <c r="D323" s="545" t="s">
        <v>943</v>
      </c>
      <c r="E323" s="772"/>
      <c r="F323" s="772"/>
      <c r="G323" s="772"/>
      <c r="H323" s="772"/>
    </row>
    <row r="324" spans="1:8" x14ac:dyDescent="0.25">
      <c r="A324" s="773"/>
      <c r="B324" s="772" t="s">
        <v>2700</v>
      </c>
      <c r="C324" s="772" t="s">
        <v>1644</v>
      </c>
      <c r="D324" s="545" t="s">
        <v>943</v>
      </c>
      <c r="E324" s="772"/>
      <c r="F324" s="772"/>
      <c r="G324" s="772"/>
      <c r="H324" s="772"/>
    </row>
    <row r="325" spans="1:8" x14ac:dyDescent="0.25">
      <c r="A325" s="773"/>
      <c r="B325" s="772" t="s">
        <v>2701</v>
      </c>
      <c r="C325" s="772" t="s">
        <v>1645</v>
      </c>
      <c r="D325" s="545" t="s">
        <v>943</v>
      </c>
      <c r="E325" s="772"/>
      <c r="F325" s="772"/>
      <c r="G325" s="772"/>
      <c r="H325" s="772"/>
    </row>
    <row r="326" spans="1:8" x14ac:dyDescent="0.25">
      <c r="A326" s="773"/>
      <c r="B326" s="772" t="s">
        <v>2702</v>
      </c>
      <c r="C326" s="772" t="s">
        <v>1646</v>
      </c>
      <c r="D326" s="545" t="s">
        <v>943</v>
      </c>
      <c r="E326" s="772"/>
      <c r="F326" s="772"/>
      <c r="G326" s="772"/>
      <c r="H326" s="772"/>
    </row>
    <row r="327" spans="1:8" x14ac:dyDescent="0.25">
      <c r="A327" s="773"/>
      <c r="B327" s="772" t="s">
        <v>2703</v>
      </c>
      <c r="C327" s="772" t="s">
        <v>1647</v>
      </c>
      <c r="D327" s="545" t="s">
        <v>943</v>
      </c>
      <c r="E327" s="772"/>
      <c r="F327" s="772"/>
      <c r="G327" s="772"/>
      <c r="H327" s="772"/>
    </row>
    <row r="328" spans="1:8" x14ac:dyDescent="0.25">
      <c r="A328" s="773"/>
      <c r="B328" s="772" t="s">
        <v>2704</v>
      </c>
      <c r="C328" s="772" t="s">
        <v>1648</v>
      </c>
      <c r="D328" s="545" t="s">
        <v>943</v>
      </c>
      <c r="E328" s="772"/>
      <c r="F328" s="772"/>
      <c r="G328" s="772"/>
      <c r="H328" s="772"/>
    </row>
    <row r="329" spans="1:8" x14ac:dyDescent="0.25">
      <c r="A329" s="773"/>
      <c r="B329" s="772" t="s">
        <v>2705</v>
      </c>
      <c r="C329" s="772" t="s">
        <v>1649</v>
      </c>
      <c r="D329" s="545" t="s">
        <v>943</v>
      </c>
      <c r="E329" s="772"/>
      <c r="F329" s="772"/>
      <c r="G329" s="772"/>
      <c r="H329" s="772"/>
    </row>
    <row r="330" spans="1:8" x14ac:dyDescent="0.25">
      <c r="A330" s="773"/>
      <c r="B330" s="772" t="s">
        <v>2706</v>
      </c>
      <c r="C330" s="772" t="s">
        <v>1650</v>
      </c>
      <c r="D330" s="545" t="s">
        <v>943</v>
      </c>
      <c r="E330" s="772"/>
      <c r="F330" s="772"/>
      <c r="G330" s="772"/>
      <c r="H330" s="772"/>
    </row>
    <row r="331" spans="1:8" x14ac:dyDescent="0.25">
      <c r="A331" s="773"/>
      <c r="B331" s="772" t="s">
        <v>2707</v>
      </c>
      <c r="C331" s="772" t="s">
        <v>1651</v>
      </c>
      <c r="D331" s="545" t="s">
        <v>943</v>
      </c>
      <c r="E331" s="772"/>
      <c r="F331" s="772"/>
      <c r="G331" s="772"/>
      <c r="H331" s="772"/>
    </row>
    <row r="332" spans="1:8" x14ac:dyDescent="0.25">
      <c r="A332" s="773"/>
      <c r="B332" s="772" t="s">
        <v>2708</v>
      </c>
      <c r="C332" s="772" t="s">
        <v>1652</v>
      </c>
      <c r="D332" s="545" t="s">
        <v>943</v>
      </c>
      <c r="E332" s="772"/>
      <c r="F332" s="772"/>
      <c r="G332" s="772"/>
      <c r="H332" s="772"/>
    </row>
    <row r="333" spans="1:8" x14ac:dyDescent="0.25">
      <c r="A333" s="773"/>
      <c r="B333" s="772" t="s">
        <v>2709</v>
      </c>
      <c r="C333" s="772" t="s">
        <v>1653</v>
      </c>
      <c r="D333" s="545" t="s">
        <v>943</v>
      </c>
      <c r="E333" s="772"/>
      <c r="F333" s="772"/>
      <c r="G333" s="772"/>
      <c r="H333" s="772"/>
    </row>
    <row r="334" spans="1:8" x14ac:dyDescent="0.25">
      <c r="A334" s="773"/>
      <c r="B334" s="772" t="s">
        <v>2710</v>
      </c>
      <c r="C334" s="772" t="s">
        <v>1654</v>
      </c>
      <c r="D334" s="545" t="s">
        <v>943</v>
      </c>
      <c r="E334" s="772"/>
      <c r="F334" s="772"/>
      <c r="G334" s="772"/>
      <c r="H334" s="772"/>
    </row>
    <row r="335" spans="1:8" x14ac:dyDescent="0.25">
      <c r="A335" s="773"/>
      <c r="B335" s="772" t="s">
        <v>2711</v>
      </c>
      <c r="C335" s="772" t="s">
        <v>1655</v>
      </c>
      <c r="D335" s="545" t="s">
        <v>943</v>
      </c>
      <c r="E335" s="772"/>
      <c r="F335" s="772"/>
      <c r="G335" s="772"/>
      <c r="H335" s="772"/>
    </row>
    <row r="336" spans="1:8" x14ac:dyDescent="0.25">
      <c r="A336" s="773"/>
      <c r="B336" s="772" t="s">
        <v>2712</v>
      </c>
      <c r="C336" s="772" t="s">
        <v>1656</v>
      </c>
      <c r="D336" s="545" t="s">
        <v>943</v>
      </c>
      <c r="E336" s="772"/>
      <c r="F336" s="772"/>
      <c r="G336" s="772"/>
      <c r="H336" s="772"/>
    </row>
    <row r="337" spans="1:8" x14ac:dyDescent="0.25">
      <c r="A337" s="545" t="s">
        <v>630</v>
      </c>
      <c r="B337" s="772" t="s">
        <v>2713</v>
      </c>
      <c r="C337" s="772" t="s">
        <v>1657</v>
      </c>
      <c r="D337" s="545" t="s">
        <v>943</v>
      </c>
      <c r="E337" s="772"/>
      <c r="F337" s="772"/>
      <c r="G337" s="772"/>
      <c r="H337" s="772"/>
    </row>
    <row r="338" spans="1:8" x14ac:dyDescent="0.25">
      <c r="B338" s="772" t="s">
        <v>2714</v>
      </c>
      <c r="C338" s="772" t="s">
        <v>1658</v>
      </c>
      <c r="D338" s="545" t="s">
        <v>943</v>
      </c>
      <c r="E338" s="772"/>
      <c r="F338" s="772"/>
      <c r="G338" s="772"/>
      <c r="H338" s="772"/>
    </row>
    <row r="339" spans="1:8" x14ac:dyDescent="0.25">
      <c r="B339" s="772" t="s">
        <v>2715</v>
      </c>
      <c r="C339" s="772" t="s">
        <v>1659</v>
      </c>
      <c r="D339" s="545" t="s">
        <v>943</v>
      </c>
      <c r="E339" s="772"/>
      <c r="F339" s="772"/>
      <c r="G339" s="772"/>
      <c r="H339" s="772"/>
    </row>
    <row r="340" spans="1:8" x14ac:dyDescent="0.25">
      <c r="B340" s="772" t="s">
        <v>2716</v>
      </c>
      <c r="C340" s="772" t="s">
        <v>1660</v>
      </c>
      <c r="D340" s="545" t="s">
        <v>943</v>
      </c>
      <c r="E340" s="772"/>
      <c r="F340" s="772"/>
      <c r="G340" s="772"/>
      <c r="H340" s="772"/>
    </row>
    <row r="341" spans="1:8" x14ac:dyDescent="0.25">
      <c r="B341" s="772" t="s">
        <v>2717</v>
      </c>
      <c r="C341" s="772" t="s">
        <v>1661</v>
      </c>
      <c r="D341" s="545" t="s">
        <v>943</v>
      </c>
      <c r="E341" s="772"/>
      <c r="F341" s="772"/>
      <c r="G341" s="772"/>
      <c r="H341" s="772"/>
    </row>
    <row r="342" spans="1:8" x14ac:dyDescent="0.25">
      <c r="B342" s="772" t="s">
        <v>2718</v>
      </c>
      <c r="C342" s="772" t="s">
        <v>1662</v>
      </c>
      <c r="D342" s="545" t="s">
        <v>943</v>
      </c>
      <c r="E342" s="772"/>
      <c r="F342" s="772"/>
      <c r="G342" s="772"/>
      <c r="H342" s="772"/>
    </row>
    <row r="343" spans="1:8" x14ac:dyDescent="0.25">
      <c r="A343" s="545" t="s">
        <v>2552</v>
      </c>
      <c r="B343" s="772" t="s">
        <v>2719</v>
      </c>
      <c r="C343" s="772" t="s">
        <v>1663</v>
      </c>
      <c r="D343" s="545" t="s">
        <v>943</v>
      </c>
      <c r="E343" s="772"/>
      <c r="F343" s="772"/>
      <c r="G343" s="772"/>
      <c r="H343" s="772"/>
    </row>
    <row r="344" spans="1:8" x14ac:dyDescent="0.25">
      <c r="B344" s="772" t="s">
        <v>1664</v>
      </c>
      <c r="C344" s="772" t="s">
        <v>1665</v>
      </c>
      <c r="D344" s="545" t="s">
        <v>943</v>
      </c>
      <c r="E344" s="772"/>
      <c r="F344" s="772"/>
      <c r="G344" s="772"/>
      <c r="H344" s="772"/>
    </row>
    <row r="345" spans="1:8" x14ac:dyDescent="0.25">
      <c r="B345" s="772" t="s">
        <v>2720</v>
      </c>
      <c r="C345" s="772" t="s">
        <v>1666</v>
      </c>
      <c r="D345" s="545" t="s">
        <v>943</v>
      </c>
      <c r="E345" s="772"/>
      <c r="F345" s="772"/>
      <c r="G345" s="772"/>
      <c r="H345" s="772"/>
    </row>
    <row r="346" spans="1:8" x14ac:dyDescent="0.25">
      <c r="B346" s="772" t="s">
        <v>2721</v>
      </c>
      <c r="C346" s="772" t="s">
        <v>1667</v>
      </c>
      <c r="D346" s="545" t="s">
        <v>943</v>
      </c>
      <c r="E346" s="772"/>
      <c r="F346" s="772"/>
      <c r="G346" s="772"/>
      <c r="H346" s="772"/>
    </row>
    <row r="347" spans="1:8" x14ac:dyDescent="0.25">
      <c r="B347" s="772" t="s">
        <v>2722</v>
      </c>
      <c r="C347" s="772" t="s">
        <v>1668</v>
      </c>
      <c r="D347" s="545" t="s">
        <v>943</v>
      </c>
      <c r="E347" s="772"/>
      <c r="F347" s="772"/>
      <c r="G347" s="772"/>
      <c r="H347" s="772"/>
    </row>
    <row r="348" spans="1:8" x14ac:dyDescent="0.25">
      <c r="B348" s="772" t="s">
        <v>1669</v>
      </c>
      <c r="C348" s="772" t="s">
        <v>1670</v>
      </c>
      <c r="D348" s="545" t="s">
        <v>943</v>
      </c>
      <c r="E348" s="772"/>
      <c r="F348" s="772"/>
      <c r="G348" s="772"/>
      <c r="H348" s="772"/>
    </row>
    <row r="349" spans="1:8" x14ac:dyDescent="0.25">
      <c r="A349" s="773"/>
      <c r="B349" s="772" t="s">
        <v>2723</v>
      </c>
      <c r="C349" s="772" t="s">
        <v>1671</v>
      </c>
      <c r="D349" s="545" t="s">
        <v>943</v>
      </c>
      <c r="E349" s="772"/>
      <c r="F349" s="772"/>
      <c r="G349" s="772"/>
      <c r="H349" s="772"/>
    </row>
    <row r="350" spans="1:8" x14ac:dyDescent="0.25">
      <c r="A350" s="773"/>
      <c r="B350" s="772" t="s">
        <v>1672</v>
      </c>
      <c r="C350" s="772" t="s">
        <v>1673</v>
      </c>
      <c r="D350" s="545" t="s">
        <v>943</v>
      </c>
      <c r="E350" s="772"/>
      <c r="F350" s="772"/>
      <c r="G350" s="772"/>
      <c r="H350" s="772"/>
    </row>
    <row r="351" spans="1:8" x14ac:dyDescent="0.25">
      <c r="A351" s="773"/>
      <c r="B351" s="772" t="s">
        <v>2724</v>
      </c>
      <c r="C351" s="772" t="s">
        <v>1674</v>
      </c>
      <c r="D351" s="545" t="s">
        <v>943</v>
      </c>
      <c r="E351" s="772"/>
      <c r="F351" s="772"/>
      <c r="G351" s="772"/>
      <c r="H351" s="772"/>
    </row>
    <row r="352" spans="1:8" x14ac:dyDescent="0.25">
      <c r="A352" s="773"/>
      <c r="B352" s="772" t="s">
        <v>2725</v>
      </c>
      <c r="C352" s="772" t="s">
        <v>1675</v>
      </c>
      <c r="D352" s="545" t="s">
        <v>943</v>
      </c>
      <c r="E352" s="772"/>
      <c r="F352" s="772"/>
      <c r="G352" s="772"/>
      <c r="H352" s="772"/>
    </row>
    <row r="353" spans="1:8" x14ac:dyDescent="0.25">
      <c r="A353" s="773"/>
      <c r="B353" s="772" t="s">
        <v>2726</v>
      </c>
      <c r="C353" s="772" t="s">
        <v>1676</v>
      </c>
      <c r="D353" s="545" t="s">
        <v>943</v>
      </c>
      <c r="E353" s="772"/>
      <c r="F353" s="772"/>
      <c r="G353" s="772"/>
      <c r="H353" s="772"/>
    </row>
    <row r="354" spans="1:8" x14ac:dyDescent="0.25">
      <c r="A354" s="773" t="s">
        <v>2553</v>
      </c>
      <c r="B354" s="772" t="s">
        <v>1677</v>
      </c>
      <c r="C354" s="772" t="s">
        <v>1678</v>
      </c>
      <c r="D354" s="545" t="s">
        <v>1032</v>
      </c>
      <c r="E354" s="772"/>
      <c r="F354" s="772"/>
      <c r="G354" s="772"/>
      <c r="H354" s="772"/>
    </row>
    <row r="355" spans="1:8" x14ac:dyDescent="0.25">
      <c r="A355" s="773"/>
      <c r="B355" s="772" t="s">
        <v>1679</v>
      </c>
      <c r="C355" s="772" t="s">
        <v>1680</v>
      </c>
      <c r="D355" s="545" t="s">
        <v>1032</v>
      </c>
      <c r="E355" s="772"/>
      <c r="F355" s="772"/>
      <c r="G355" s="772"/>
      <c r="H355" s="772"/>
    </row>
    <row r="356" spans="1:8" x14ac:dyDescent="0.25">
      <c r="A356" s="773"/>
      <c r="B356" s="772" t="s">
        <v>2727</v>
      </c>
      <c r="C356" s="772" t="s">
        <v>1681</v>
      </c>
      <c r="D356" s="545" t="s">
        <v>1032</v>
      </c>
      <c r="E356" s="772"/>
      <c r="F356" s="772"/>
      <c r="G356" s="772"/>
      <c r="H356" s="772"/>
    </row>
    <row r="357" spans="1:8" x14ac:dyDescent="0.25">
      <c r="A357" s="773"/>
      <c r="B357" s="772" t="s">
        <v>2728</v>
      </c>
      <c r="C357" s="772" t="s">
        <v>1682</v>
      </c>
      <c r="D357" s="545" t="s">
        <v>1032</v>
      </c>
      <c r="E357" s="772"/>
      <c r="F357" s="772"/>
      <c r="G357" s="772"/>
      <c r="H357" s="772"/>
    </row>
    <row r="358" spans="1:8" x14ac:dyDescent="0.25">
      <c r="A358" s="773"/>
      <c r="B358" s="772" t="s">
        <v>2729</v>
      </c>
      <c r="C358" s="772" t="s">
        <v>1683</v>
      </c>
      <c r="D358" s="545" t="s">
        <v>1032</v>
      </c>
      <c r="E358" s="772"/>
      <c r="F358" s="772"/>
      <c r="G358" s="772"/>
      <c r="H358" s="772"/>
    </row>
    <row r="359" spans="1:8" x14ac:dyDescent="0.25">
      <c r="A359" s="773"/>
      <c r="B359" s="772" t="s">
        <v>2730</v>
      </c>
      <c r="C359" s="772" t="s">
        <v>1684</v>
      </c>
      <c r="D359" s="545" t="s">
        <v>1032</v>
      </c>
      <c r="E359" s="772"/>
      <c r="F359" s="772"/>
      <c r="G359" s="772"/>
      <c r="H359" s="772"/>
    </row>
    <row r="360" spans="1:8" x14ac:dyDescent="0.25">
      <c r="A360" s="773" t="s">
        <v>2554</v>
      </c>
      <c r="B360" s="772" t="s">
        <v>2731</v>
      </c>
      <c r="C360" s="772" t="s">
        <v>1685</v>
      </c>
      <c r="D360" s="772" t="s">
        <v>1686</v>
      </c>
      <c r="E360" s="772"/>
      <c r="F360" s="772"/>
      <c r="G360" s="772"/>
      <c r="H360" s="772"/>
    </row>
    <row r="361" spans="1:8" x14ac:dyDescent="0.25">
      <c r="A361" s="773"/>
      <c r="B361" s="772" t="s">
        <v>1687</v>
      </c>
      <c r="C361" s="772" t="s">
        <v>1688</v>
      </c>
      <c r="D361" s="772" t="s">
        <v>1689</v>
      </c>
      <c r="E361" s="772"/>
      <c r="F361" s="772"/>
      <c r="G361" s="772"/>
      <c r="H361" s="772"/>
    </row>
    <row r="362" spans="1:8" x14ac:dyDescent="0.25">
      <c r="A362" s="773"/>
      <c r="B362" s="772" t="s">
        <v>2732</v>
      </c>
      <c r="C362" s="772" t="s">
        <v>1690</v>
      </c>
      <c r="D362" s="772" t="s">
        <v>1019</v>
      </c>
      <c r="E362" s="772"/>
      <c r="F362" s="772"/>
      <c r="G362" s="772"/>
      <c r="H362" s="772"/>
    </row>
    <row r="363" spans="1:8" x14ac:dyDescent="0.25">
      <c r="A363" s="773"/>
      <c r="B363" s="772" t="s">
        <v>1691</v>
      </c>
      <c r="C363" s="772" t="s">
        <v>1692</v>
      </c>
      <c r="D363" s="772" t="s">
        <v>1689</v>
      </c>
      <c r="E363" s="772"/>
      <c r="F363" s="772"/>
      <c r="G363" s="772"/>
      <c r="H363" s="772"/>
    </row>
    <row r="364" spans="1:8" x14ac:dyDescent="0.25">
      <c r="A364" s="773"/>
      <c r="B364" s="772" t="s">
        <v>2733</v>
      </c>
      <c r="C364" s="772" t="s">
        <v>1693</v>
      </c>
      <c r="D364" s="772" t="s">
        <v>1694</v>
      </c>
      <c r="E364" s="772"/>
      <c r="F364" s="772"/>
      <c r="G364" s="772"/>
      <c r="H364" s="772"/>
    </row>
    <row r="365" spans="1:8" x14ac:dyDescent="0.25">
      <c r="A365" s="773"/>
      <c r="B365" s="772" t="s">
        <v>2734</v>
      </c>
      <c r="C365" s="772" t="s">
        <v>1695</v>
      </c>
      <c r="D365" s="772" t="s">
        <v>1696</v>
      </c>
      <c r="E365" s="772"/>
      <c r="F365" s="772"/>
      <c r="G365" s="772"/>
      <c r="H365" s="772"/>
    </row>
    <row r="366" spans="1:8" x14ac:dyDescent="0.25">
      <c r="A366" s="773"/>
      <c r="B366" s="772" t="s">
        <v>2735</v>
      </c>
      <c r="C366" s="772" t="s">
        <v>1697</v>
      </c>
      <c r="D366" s="772" t="s">
        <v>1694</v>
      </c>
      <c r="E366" s="772"/>
      <c r="F366" s="772"/>
      <c r="G366" s="772"/>
      <c r="H366" s="772"/>
    </row>
    <row r="367" spans="1:8" x14ac:dyDescent="0.25">
      <c r="A367" s="773"/>
      <c r="B367" s="772" t="s">
        <v>2736</v>
      </c>
      <c r="C367" s="772" t="s">
        <v>1698</v>
      </c>
      <c r="D367" s="772" t="s">
        <v>1696</v>
      </c>
      <c r="E367" s="772"/>
      <c r="F367" s="772"/>
      <c r="G367" s="772"/>
      <c r="H367" s="772"/>
    </row>
    <row r="368" spans="1:8" x14ac:dyDescent="0.25">
      <c r="A368" s="773"/>
      <c r="B368" s="772" t="s">
        <v>2737</v>
      </c>
      <c r="C368" s="772" t="s">
        <v>1699</v>
      </c>
      <c r="D368" s="772" t="s">
        <v>1696</v>
      </c>
      <c r="E368" s="772"/>
      <c r="F368" s="772"/>
      <c r="G368" s="772"/>
      <c r="H368" s="772"/>
    </row>
    <row r="369" spans="1:8" x14ac:dyDescent="0.25">
      <c r="A369" s="773"/>
      <c r="B369" s="772" t="s">
        <v>2738</v>
      </c>
      <c r="C369" s="772" t="s">
        <v>1700</v>
      </c>
      <c r="D369" s="772" t="s">
        <v>1701</v>
      </c>
      <c r="E369" s="772"/>
      <c r="F369" s="772"/>
      <c r="G369" s="772"/>
      <c r="H369" s="772"/>
    </row>
    <row r="370" spans="1:8" x14ac:dyDescent="0.25">
      <c r="A370" s="773"/>
      <c r="B370" s="772" t="s">
        <v>1702</v>
      </c>
      <c r="C370" s="772" t="s">
        <v>1703</v>
      </c>
      <c r="D370" s="772" t="s">
        <v>1689</v>
      </c>
      <c r="E370" s="772"/>
      <c r="F370" s="772"/>
      <c r="G370" s="772"/>
      <c r="H370" s="772"/>
    </row>
    <row r="371" spans="1:8" x14ac:dyDescent="0.25">
      <c r="A371" s="773"/>
      <c r="B371" s="772" t="s">
        <v>2739</v>
      </c>
      <c r="C371" s="772" t="s">
        <v>1704</v>
      </c>
      <c r="D371" s="772" t="s">
        <v>1019</v>
      </c>
      <c r="E371" s="772"/>
      <c r="F371" s="772"/>
      <c r="G371" s="772"/>
      <c r="H371" s="772"/>
    </row>
    <row r="372" spans="1:8" x14ac:dyDescent="0.25">
      <c r="A372" s="773"/>
      <c r="B372" s="772" t="s">
        <v>2740</v>
      </c>
      <c r="C372" s="772" t="s">
        <v>1705</v>
      </c>
      <c r="D372" s="772" t="s">
        <v>1689</v>
      </c>
      <c r="E372" s="772"/>
      <c r="F372" s="772"/>
      <c r="G372" s="772"/>
      <c r="H372" s="772"/>
    </row>
    <row r="373" spans="1:8" x14ac:dyDescent="0.25">
      <c r="A373" s="773"/>
      <c r="B373" s="772" t="s">
        <v>1706</v>
      </c>
      <c r="C373" s="772" t="s">
        <v>1707</v>
      </c>
      <c r="D373" s="772" t="s">
        <v>1019</v>
      </c>
      <c r="E373" s="772"/>
      <c r="F373" s="772"/>
      <c r="G373" s="772"/>
      <c r="H373" s="772"/>
    </row>
    <row r="374" spans="1:8" x14ac:dyDescent="0.25">
      <c r="A374" s="773"/>
      <c r="B374" s="772" t="s">
        <v>2741</v>
      </c>
      <c r="C374" s="772" t="s">
        <v>1708</v>
      </c>
      <c r="D374" s="772" t="s">
        <v>1019</v>
      </c>
      <c r="E374" s="772"/>
      <c r="F374" s="772"/>
      <c r="G374" s="772"/>
      <c r="H374" s="772"/>
    </row>
    <row r="375" spans="1:8" x14ac:dyDescent="0.25">
      <c r="A375" s="773"/>
      <c r="B375" s="772" t="s">
        <v>2742</v>
      </c>
      <c r="C375" s="772" t="s">
        <v>1709</v>
      </c>
      <c r="D375" s="772" t="s">
        <v>1696</v>
      </c>
      <c r="E375" s="772"/>
      <c r="F375" s="772"/>
      <c r="G375" s="772"/>
      <c r="H375" s="772"/>
    </row>
    <row r="376" spans="1:8" x14ac:dyDescent="0.25">
      <c r="A376" s="773"/>
      <c r="B376" s="772" t="s">
        <v>2743</v>
      </c>
      <c r="C376" s="772" t="s">
        <v>1710</v>
      </c>
      <c r="D376" s="772" t="s">
        <v>1019</v>
      </c>
      <c r="E376" s="772"/>
      <c r="F376" s="772"/>
      <c r="G376" s="772"/>
      <c r="H376" s="772"/>
    </row>
    <row r="377" spans="1:8" x14ac:dyDescent="0.25">
      <c r="A377" s="773"/>
      <c r="B377" s="772" t="s">
        <v>2744</v>
      </c>
      <c r="C377" s="772" t="s">
        <v>1711</v>
      </c>
      <c r="D377" s="772" t="s">
        <v>1019</v>
      </c>
      <c r="E377" s="772"/>
      <c r="F377" s="772"/>
      <c r="G377" s="772"/>
      <c r="H377" s="772"/>
    </row>
    <row r="378" spans="1:8" x14ac:dyDescent="0.25">
      <c r="A378" s="773"/>
      <c r="B378" s="772" t="s">
        <v>2745</v>
      </c>
      <c r="C378" s="772" t="s">
        <v>1712</v>
      </c>
      <c r="D378" s="772" t="s">
        <v>1686</v>
      </c>
      <c r="E378" s="772"/>
      <c r="F378" s="772"/>
      <c r="G378" s="772"/>
      <c r="H378" s="772"/>
    </row>
    <row r="379" spans="1:8" x14ac:dyDescent="0.25">
      <c r="A379" s="773"/>
      <c r="B379" s="772" t="s">
        <v>2746</v>
      </c>
      <c r="C379" s="772" t="s">
        <v>1713</v>
      </c>
      <c r="D379" s="772" t="s">
        <v>1019</v>
      </c>
      <c r="E379" s="772"/>
      <c r="F379" s="772"/>
      <c r="G379" s="772"/>
      <c r="H379" s="772"/>
    </row>
    <row r="380" spans="1:8" x14ac:dyDescent="0.25">
      <c r="A380" s="773"/>
      <c r="B380" s="772" t="s">
        <v>2747</v>
      </c>
      <c r="C380" s="772" t="s">
        <v>1714</v>
      </c>
      <c r="D380" s="772" t="s">
        <v>1019</v>
      </c>
      <c r="E380" s="772"/>
      <c r="F380" s="772"/>
      <c r="G380" s="772"/>
      <c r="H380" s="772"/>
    </row>
    <row r="381" spans="1:8" x14ac:dyDescent="0.25">
      <c r="A381" s="773"/>
      <c r="B381" s="772" t="s">
        <v>2748</v>
      </c>
      <c r="C381" s="772" t="s">
        <v>1715</v>
      </c>
      <c r="D381" s="772" t="s">
        <v>943</v>
      </c>
      <c r="E381" s="772"/>
      <c r="F381" s="772"/>
      <c r="G381" s="772"/>
      <c r="H381" s="772"/>
    </row>
    <row r="382" spans="1:8" x14ac:dyDescent="0.25">
      <c r="A382" s="773"/>
      <c r="B382" s="772" t="s">
        <v>2749</v>
      </c>
      <c r="C382" s="772" t="s">
        <v>1716</v>
      </c>
      <c r="D382" s="772" t="s">
        <v>1019</v>
      </c>
      <c r="E382" s="772"/>
      <c r="F382" s="772"/>
      <c r="G382" s="772"/>
      <c r="H382" s="772"/>
    </row>
    <row r="383" spans="1:8" x14ac:dyDescent="0.25">
      <c r="A383" s="773"/>
      <c r="B383" s="772" t="s">
        <v>1717</v>
      </c>
      <c r="C383" s="772" t="s">
        <v>1718</v>
      </c>
      <c r="D383" s="772" t="s">
        <v>1019</v>
      </c>
      <c r="E383" s="772"/>
      <c r="F383" s="772"/>
      <c r="G383" s="772"/>
      <c r="H383" s="772"/>
    </row>
    <row r="384" spans="1:8" x14ac:dyDescent="0.25">
      <c r="A384" s="773"/>
      <c r="B384" s="772" t="s">
        <v>1719</v>
      </c>
      <c r="C384" s="772" t="s">
        <v>1720</v>
      </c>
      <c r="D384" s="772" t="s">
        <v>1689</v>
      </c>
      <c r="E384" s="772"/>
      <c r="F384" s="772"/>
      <c r="G384" s="772"/>
      <c r="H384" s="772"/>
    </row>
    <row r="385" spans="1:8" x14ac:dyDescent="0.25">
      <c r="A385" s="773"/>
      <c r="B385" s="772" t="s">
        <v>2750</v>
      </c>
      <c r="C385" s="772" t="s">
        <v>1721</v>
      </c>
      <c r="D385" s="772" t="s">
        <v>1019</v>
      </c>
      <c r="E385" s="772"/>
      <c r="F385" s="772"/>
      <c r="G385" s="772"/>
      <c r="H385" s="772"/>
    </row>
    <row r="386" spans="1:8" x14ac:dyDescent="0.25">
      <c r="A386" s="773"/>
      <c r="B386" s="772" t="s">
        <v>2751</v>
      </c>
      <c r="C386" s="772" t="s">
        <v>1722</v>
      </c>
      <c r="D386" s="772" t="s">
        <v>1701</v>
      </c>
      <c r="E386" s="772"/>
      <c r="F386" s="772"/>
      <c r="G386" s="772"/>
      <c r="H386" s="772"/>
    </row>
    <row r="387" spans="1:8" x14ac:dyDescent="0.25">
      <c r="A387" s="773"/>
      <c r="B387" s="772" t="s">
        <v>2752</v>
      </c>
      <c r="C387" s="772" t="s">
        <v>1723</v>
      </c>
      <c r="D387" s="772" t="s">
        <v>1689</v>
      </c>
      <c r="E387" s="772"/>
      <c r="F387" s="772"/>
      <c r="G387" s="772"/>
      <c r="H387" s="772"/>
    </row>
    <row r="388" spans="1:8" x14ac:dyDescent="0.25">
      <c r="A388" s="773"/>
      <c r="B388" s="772" t="s">
        <v>2753</v>
      </c>
      <c r="C388" s="772" t="s">
        <v>1724</v>
      </c>
      <c r="D388" s="772" t="s">
        <v>1689</v>
      </c>
      <c r="E388" s="772"/>
      <c r="F388" s="772"/>
      <c r="G388" s="772"/>
      <c r="H388" s="772"/>
    </row>
    <row r="389" spans="1:8" x14ac:dyDescent="0.25">
      <c r="A389" s="773"/>
      <c r="B389" s="772" t="s">
        <v>2754</v>
      </c>
      <c r="C389" s="772" t="s">
        <v>1725</v>
      </c>
      <c r="D389" s="772" t="s">
        <v>1689</v>
      </c>
      <c r="E389" s="772"/>
      <c r="F389" s="772"/>
      <c r="G389" s="772"/>
      <c r="H389" s="772"/>
    </row>
    <row r="390" spans="1:8" x14ac:dyDescent="0.25">
      <c r="A390" s="773"/>
      <c r="B390" s="772" t="s">
        <v>2755</v>
      </c>
      <c r="C390" s="772" t="s">
        <v>1726</v>
      </c>
      <c r="D390" s="772" t="s">
        <v>1019</v>
      </c>
      <c r="E390" s="772"/>
      <c r="F390" s="772"/>
      <c r="G390" s="772"/>
      <c r="H390" s="772"/>
    </row>
    <row r="391" spans="1:8" x14ac:dyDescent="0.25">
      <c r="A391" s="773"/>
      <c r="B391" s="772" t="s">
        <v>1727</v>
      </c>
      <c r="C391" s="772" t="s">
        <v>1728</v>
      </c>
      <c r="D391" s="772" t="s">
        <v>1019</v>
      </c>
      <c r="E391" s="772"/>
      <c r="F391" s="772"/>
      <c r="G391" s="772"/>
      <c r="H391" s="772"/>
    </row>
    <row r="392" spans="1:8" x14ac:dyDescent="0.25">
      <c r="A392" s="773"/>
      <c r="B392" s="772" t="s">
        <v>2756</v>
      </c>
      <c r="C392" s="772" t="s">
        <v>1729</v>
      </c>
      <c r="D392" s="772" t="s">
        <v>1019</v>
      </c>
      <c r="E392" s="772"/>
      <c r="F392" s="772"/>
      <c r="G392" s="772"/>
      <c r="H392" s="772"/>
    </row>
    <row r="393" spans="1:8" x14ac:dyDescent="0.25">
      <c r="A393" s="773"/>
      <c r="B393" s="772" t="s">
        <v>2757</v>
      </c>
      <c r="C393" s="772" t="s">
        <v>1730</v>
      </c>
      <c r="D393" s="772" t="s">
        <v>1019</v>
      </c>
      <c r="E393" s="772"/>
      <c r="F393" s="772"/>
      <c r="G393" s="772"/>
      <c r="H393" s="772"/>
    </row>
    <row r="394" spans="1:8" x14ac:dyDescent="0.25">
      <c r="A394" s="773"/>
      <c r="B394" s="772" t="s">
        <v>2758</v>
      </c>
      <c r="C394" s="772" t="s">
        <v>1731</v>
      </c>
      <c r="D394" s="772" t="s">
        <v>1019</v>
      </c>
      <c r="E394" s="772"/>
      <c r="F394" s="772"/>
      <c r="G394" s="772"/>
      <c r="H394" s="772"/>
    </row>
    <row r="395" spans="1:8" x14ac:dyDescent="0.25">
      <c r="A395" s="773"/>
      <c r="B395" s="772" t="s">
        <v>2759</v>
      </c>
      <c r="C395" s="772" t="s">
        <v>1732</v>
      </c>
      <c r="D395" s="772" t="s">
        <v>1019</v>
      </c>
      <c r="E395" s="772"/>
      <c r="F395" s="772"/>
      <c r="G395" s="772"/>
      <c r="H395" s="772"/>
    </row>
    <row r="396" spans="1:8" x14ac:dyDescent="0.25">
      <c r="A396" s="773"/>
      <c r="B396" s="772" t="s">
        <v>2760</v>
      </c>
      <c r="C396" s="772" t="s">
        <v>1733</v>
      </c>
      <c r="D396" s="772" t="s">
        <v>1019</v>
      </c>
      <c r="E396" s="772"/>
      <c r="F396" s="772"/>
      <c r="G396" s="772"/>
      <c r="H396" s="772"/>
    </row>
    <row r="397" spans="1:8" x14ac:dyDescent="0.25">
      <c r="A397" s="773"/>
      <c r="B397" s="772" t="s">
        <v>2761</v>
      </c>
      <c r="C397" s="772" t="s">
        <v>1734</v>
      </c>
      <c r="D397" s="772" t="s">
        <v>1019</v>
      </c>
      <c r="E397" s="772"/>
      <c r="F397" s="772"/>
      <c r="G397" s="772"/>
      <c r="H397" s="772"/>
    </row>
    <row r="398" spans="1:8" x14ac:dyDescent="0.25">
      <c r="A398" s="773"/>
      <c r="B398" s="772" t="s">
        <v>2762</v>
      </c>
      <c r="C398" s="772" t="s">
        <v>1735</v>
      </c>
      <c r="D398" s="772" t="s">
        <v>1689</v>
      </c>
      <c r="E398" s="772"/>
      <c r="F398" s="772"/>
      <c r="G398" s="772"/>
      <c r="H398" s="772"/>
    </row>
    <row r="399" spans="1:8" x14ac:dyDescent="0.25">
      <c r="A399" s="773"/>
      <c r="B399" s="772" t="s">
        <v>2763</v>
      </c>
      <c r="C399" s="772" t="s">
        <v>1736</v>
      </c>
      <c r="D399" s="772" t="s">
        <v>1701</v>
      </c>
      <c r="E399" s="772"/>
      <c r="F399" s="772"/>
      <c r="G399" s="772"/>
      <c r="H399" s="772"/>
    </row>
    <row r="400" spans="1:8" x14ac:dyDescent="0.25">
      <c r="A400" s="773"/>
      <c r="B400" s="772" t="s">
        <v>2764</v>
      </c>
      <c r="C400" s="772" t="s">
        <v>1737</v>
      </c>
      <c r="D400" s="772" t="s">
        <v>1701</v>
      </c>
      <c r="E400" s="772"/>
      <c r="F400" s="772"/>
      <c r="G400" s="772"/>
      <c r="H400" s="772"/>
    </row>
    <row r="401" spans="1:8" x14ac:dyDescent="0.25">
      <c r="A401" s="773"/>
      <c r="B401" s="772" t="s">
        <v>2765</v>
      </c>
      <c r="C401" s="772" t="s">
        <v>1738</v>
      </c>
      <c r="D401" s="772" t="s">
        <v>1701</v>
      </c>
      <c r="E401" s="772"/>
      <c r="F401" s="772"/>
      <c r="G401" s="772"/>
      <c r="H401" s="772"/>
    </row>
    <row r="402" spans="1:8" x14ac:dyDescent="0.25">
      <c r="A402" s="773"/>
      <c r="B402" s="772" t="s">
        <v>2766</v>
      </c>
      <c r="C402" s="772" t="s">
        <v>1739</v>
      </c>
      <c r="D402" s="772" t="s">
        <v>1689</v>
      </c>
      <c r="E402" s="772"/>
      <c r="F402" s="772"/>
      <c r="G402" s="772"/>
      <c r="H402" s="772"/>
    </row>
    <row r="403" spans="1:8" x14ac:dyDescent="0.25">
      <c r="A403" s="773"/>
      <c r="B403" s="772" t="s">
        <v>2767</v>
      </c>
      <c r="C403" s="772" t="s">
        <v>1740</v>
      </c>
      <c r="D403" s="772" t="s">
        <v>1701</v>
      </c>
      <c r="E403" s="772"/>
      <c r="F403" s="772"/>
      <c r="G403" s="772"/>
      <c r="H403" s="772"/>
    </row>
    <row r="404" spans="1:8" x14ac:dyDescent="0.25">
      <c r="A404" s="773"/>
      <c r="B404" s="772" t="s">
        <v>2768</v>
      </c>
      <c r="C404" s="772" t="s">
        <v>1741</v>
      </c>
      <c r="D404" s="772" t="s">
        <v>1694</v>
      </c>
      <c r="E404" s="772"/>
      <c r="F404" s="772"/>
      <c r="G404" s="772"/>
      <c r="H404" s="772"/>
    </row>
    <row r="405" spans="1:8" x14ac:dyDescent="0.25">
      <c r="A405" s="773"/>
      <c r="B405" s="772" t="s">
        <v>2769</v>
      </c>
      <c r="C405" s="772" t="s">
        <v>1742</v>
      </c>
      <c r="D405" s="772" t="s">
        <v>1694</v>
      </c>
      <c r="E405" s="772"/>
      <c r="F405" s="772"/>
      <c r="G405" s="772"/>
      <c r="H405" s="772"/>
    </row>
    <row r="406" spans="1:8" x14ac:dyDescent="0.25">
      <c r="A406" s="773"/>
      <c r="B406" s="772" t="s">
        <v>1743</v>
      </c>
      <c r="C406" s="772" t="s">
        <v>1744</v>
      </c>
      <c r="D406" s="772" t="s">
        <v>1686</v>
      </c>
      <c r="E406" s="772"/>
      <c r="F406" s="772"/>
      <c r="G406" s="772"/>
      <c r="H406" s="772"/>
    </row>
    <row r="407" spans="1:8" x14ac:dyDescent="0.25">
      <c r="A407" s="773"/>
      <c r="B407" s="772" t="s">
        <v>2770</v>
      </c>
      <c r="C407" s="772" t="s">
        <v>1745</v>
      </c>
      <c r="D407" s="772" t="s">
        <v>1746</v>
      </c>
      <c r="E407" s="772"/>
      <c r="F407" s="772"/>
      <c r="G407" s="772"/>
      <c r="H407" s="772"/>
    </row>
    <row r="408" spans="1:8" x14ac:dyDescent="0.25">
      <c r="A408" s="773"/>
      <c r="B408" s="772" t="s">
        <v>2771</v>
      </c>
      <c r="C408" s="772" t="s">
        <v>1747</v>
      </c>
      <c r="D408" s="772" t="s">
        <v>1686</v>
      </c>
      <c r="E408" s="772"/>
      <c r="F408" s="772"/>
      <c r="G408" s="772"/>
      <c r="H408" s="772"/>
    </row>
    <row r="409" spans="1:8" x14ac:dyDescent="0.25">
      <c r="A409" s="773"/>
      <c r="B409" s="772" t="s">
        <v>2772</v>
      </c>
      <c r="C409" s="772" t="s">
        <v>1748</v>
      </c>
      <c r="D409" s="772" t="s">
        <v>1686</v>
      </c>
      <c r="E409" s="772"/>
      <c r="F409" s="772"/>
      <c r="G409" s="772"/>
      <c r="H409" s="772"/>
    </row>
    <row r="410" spans="1:8" x14ac:dyDescent="0.25">
      <c r="A410" s="773"/>
      <c r="B410" s="772" t="s">
        <v>2773</v>
      </c>
      <c r="C410" s="772" t="s">
        <v>1749</v>
      </c>
      <c r="D410" s="772" t="s">
        <v>1701</v>
      </c>
      <c r="E410" s="772"/>
      <c r="F410" s="772"/>
      <c r="G410" s="772"/>
      <c r="H410" s="772"/>
    </row>
    <row r="411" spans="1:8" x14ac:dyDescent="0.25">
      <c r="A411" s="773"/>
      <c r="B411" s="772" t="s">
        <v>2774</v>
      </c>
      <c r="C411" s="772" t="s">
        <v>1750</v>
      </c>
      <c r="D411" s="772" t="s">
        <v>1701</v>
      </c>
      <c r="E411" s="772"/>
      <c r="F411" s="772"/>
      <c r="G411" s="772"/>
      <c r="H411" s="772"/>
    </row>
    <row r="412" spans="1:8" x14ac:dyDescent="0.25">
      <c r="A412" s="773"/>
      <c r="B412" s="772" t="s">
        <v>2775</v>
      </c>
      <c r="C412" s="772" t="s">
        <v>1751</v>
      </c>
      <c r="D412" s="772" t="s">
        <v>1701</v>
      </c>
      <c r="E412" s="772"/>
      <c r="F412" s="772"/>
      <c r="G412" s="772"/>
      <c r="H412" s="772"/>
    </row>
    <row r="413" spans="1:8" x14ac:dyDescent="0.25">
      <c r="A413" s="773"/>
      <c r="B413" s="772" t="s">
        <v>2776</v>
      </c>
      <c r="C413" s="772" t="s">
        <v>1752</v>
      </c>
      <c r="D413" s="772" t="s">
        <v>1019</v>
      </c>
      <c r="E413" s="772"/>
      <c r="F413" s="772"/>
      <c r="G413" s="772"/>
      <c r="H413" s="772"/>
    </row>
    <row r="414" spans="1:8" x14ac:dyDescent="0.25">
      <c r="A414" s="773"/>
      <c r="B414" s="772" t="s">
        <v>2777</v>
      </c>
      <c r="C414" s="772" t="s">
        <v>1753</v>
      </c>
      <c r="D414" s="772" t="s">
        <v>1686</v>
      </c>
      <c r="E414" s="772"/>
      <c r="F414" s="772"/>
      <c r="G414" s="772"/>
      <c r="H414" s="772"/>
    </row>
    <row r="415" spans="1:8" x14ac:dyDescent="0.25">
      <c r="A415" s="773"/>
      <c r="B415" s="772" t="s">
        <v>2778</v>
      </c>
      <c r="C415" s="772" t="s">
        <v>1754</v>
      </c>
      <c r="D415" s="772" t="s">
        <v>1755</v>
      </c>
      <c r="E415" s="772"/>
      <c r="F415" s="772"/>
      <c r="G415" s="772"/>
      <c r="H415" s="772"/>
    </row>
    <row r="416" spans="1:8" x14ac:dyDescent="0.25">
      <c r="A416" s="773"/>
      <c r="B416" s="772" t="s">
        <v>2779</v>
      </c>
      <c r="C416" s="772" t="s">
        <v>1756</v>
      </c>
      <c r="D416" s="772" t="s">
        <v>1689</v>
      </c>
      <c r="E416" s="772"/>
      <c r="F416" s="772"/>
      <c r="G416" s="772"/>
      <c r="H416" s="772"/>
    </row>
    <row r="417" spans="1:8" x14ac:dyDescent="0.25">
      <c r="A417" s="773"/>
      <c r="B417" s="772" t="s">
        <v>2780</v>
      </c>
      <c r="C417" s="772" t="s">
        <v>1757</v>
      </c>
      <c r="D417" s="772" t="s">
        <v>1755</v>
      </c>
      <c r="E417" s="772"/>
      <c r="F417" s="772"/>
      <c r="G417" s="772"/>
      <c r="H417" s="772"/>
    </row>
    <row r="418" spans="1:8" x14ac:dyDescent="0.25">
      <c r="A418" s="773"/>
      <c r="B418" s="772" t="s">
        <v>2781</v>
      </c>
      <c r="C418" s="772" t="s">
        <v>1758</v>
      </c>
      <c r="D418" s="772" t="s">
        <v>1701</v>
      </c>
      <c r="E418" s="772"/>
      <c r="F418" s="772"/>
      <c r="G418" s="772"/>
      <c r="H418" s="772"/>
    </row>
    <row r="419" spans="1:8" x14ac:dyDescent="0.25">
      <c r="A419" s="773"/>
      <c r="B419" s="772" t="s">
        <v>2782</v>
      </c>
      <c r="C419" s="772" t="s">
        <v>1759</v>
      </c>
      <c r="D419" s="772" t="s">
        <v>1701</v>
      </c>
      <c r="E419" s="772"/>
      <c r="F419" s="772"/>
      <c r="G419" s="772"/>
      <c r="H419" s="772"/>
    </row>
    <row r="420" spans="1:8" x14ac:dyDescent="0.25">
      <c r="A420" s="773"/>
      <c r="B420" s="772" t="s">
        <v>2783</v>
      </c>
      <c r="C420" s="772" t="s">
        <v>1760</v>
      </c>
      <c r="D420" s="772" t="s">
        <v>943</v>
      </c>
      <c r="E420" s="772"/>
      <c r="F420" s="772"/>
      <c r="G420" s="772"/>
      <c r="H420" s="772"/>
    </row>
    <row r="421" spans="1:8" x14ac:dyDescent="0.25">
      <c r="A421" s="773"/>
      <c r="B421" s="772" t="s">
        <v>2784</v>
      </c>
      <c r="C421" s="772" t="s">
        <v>1761</v>
      </c>
      <c r="D421" s="772" t="s">
        <v>1696</v>
      </c>
      <c r="E421" s="772"/>
      <c r="F421" s="772"/>
      <c r="G421" s="772"/>
      <c r="H421" s="772"/>
    </row>
    <row r="422" spans="1:8" x14ac:dyDescent="0.25">
      <c r="A422" s="773"/>
      <c r="B422" s="772" t="s">
        <v>2785</v>
      </c>
      <c r="C422" s="772" t="s">
        <v>1762</v>
      </c>
      <c r="D422" s="772" t="s">
        <v>1763</v>
      </c>
      <c r="E422" s="772"/>
      <c r="F422" s="772"/>
      <c r="G422" s="772"/>
      <c r="H422" s="772"/>
    </row>
    <row r="423" spans="1:8" x14ac:dyDescent="0.25">
      <c r="A423" s="773"/>
      <c r="B423" s="772" t="s">
        <v>2786</v>
      </c>
      <c r="C423" s="772" t="s">
        <v>1764</v>
      </c>
      <c r="D423" s="772" t="s">
        <v>1763</v>
      </c>
      <c r="E423" s="772"/>
      <c r="F423" s="772"/>
      <c r="G423" s="772"/>
      <c r="H423" s="772"/>
    </row>
    <row r="424" spans="1:8" x14ac:dyDescent="0.25">
      <c r="A424" s="773"/>
      <c r="B424" s="772" t="s">
        <v>2787</v>
      </c>
      <c r="C424" s="772" t="s">
        <v>1765</v>
      </c>
      <c r="D424" s="772" t="s">
        <v>1763</v>
      </c>
      <c r="E424" s="772"/>
      <c r="F424" s="772"/>
      <c r="G424" s="772"/>
      <c r="H424" s="772"/>
    </row>
    <row r="425" spans="1:8" x14ac:dyDescent="0.25">
      <c r="A425" s="773"/>
      <c r="B425" s="772" t="s">
        <v>2788</v>
      </c>
      <c r="C425" s="772" t="s">
        <v>1766</v>
      </c>
      <c r="D425" s="772" t="s">
        <v>1696</v>
      </c>
      <c r="E425" s="772"/>
      <c r="F425" s="772"/>
      <c r="G425" s="772"/>
      <c r="H425" s="772"/>
    </row>
    <row r="426" spans="1:8" x14ac:dyDescent="0.25">
      <c r="A426" s="773"/>
      <c r="B426" s="772" t="s">
        <v>2789</v>
      </c>
      <c r="C426" s="772" t="s">
        <v>1767</v>
      </c>
      <c r="D426" s="772" t="s">
        <v>1696</v>
      </c>
      <c r="E426" s="772"/>
      <c r="F426" s="772"/>
      <c r="G426" s="772"/>
      <c r="H426" s="772"/>
    </row>
    <row r="427" spans="1:8" x14ac:dyDescent="0.25">
      <c r="A427" s="773"/>
      <c r="B427" s="772" t="s">
        <v>2790</v>
      </c>
      <c r="C427" s="772" t="s">
        <v>1768</v>
      </c>
      <c r="D427" s="772" t="s">
        <v>1763</v>
      </c>
      <c r="E427" s="772"/>
      <c r="F427" s="772"/>
      <c r="G427" s="772"/>
      <c r="H427" s="772"/>
    </row>
    <row r="428" spans="1:8" x14ac:dyDescent="0.25">
      <c r="A428" s="773"/>
      <c r="B428" s="772" t="s">
        <v>2791</v>
      </c>
      <c r="C428" s="772" t="s">
        <v>1769</v>
      </c>
      <c r="D428" s="772" t="s">
        <v>1763</v>
      </c>
      <c r="E428" s="772"/>
      <c r="F428" s="772"/>
      <c r="G428" s="772"/>
      <c r="H428" s="772"/>
    </row>
    <row r="429" spans="1:8" x14ac:dyDescent="0.25">
      <c r="A429" s="773"/>
      <c r="B429" s="772" t="s">
        <v>2792</v>
      </c>
      <c r="C429" s="772" t="s">
        <v>1770</v>
      </c>
      <c r="D429" s="772" t="s">
        <v>1763</v>
      </c>
      <c r="E429" s="772"/>
      <c r="F429" s="772"/>
      <c r="G429" s="772"/>
      <c r="H429" s="772"/>
    </row>
    <row r="430" spans="1:8" x14ac:dyDescent="0.25">
      <c r="A430" s="773"/>
      <c r="B430" s="772" t="s">
        <v>2793</v>
      </c>
      <c r="C430" s="772" t="s">
        <v>1771</v>
      </c>
      <c r="D430" s="772" t="s">
        <v>1763</v>
      </c>
      <c r="E430" s="772"/>
      <c r="F430" s="772"/>
      <c r="G430" s="772"/>
      <c r="H430" s="772"/>
    </row>
    <row r="431" spans="1:8" x14ac:dyDescent="0.25">
      <c r="A431" s="773"/>
      <c r="B431" s="772" t="s">
        <v>2794</v>
      </c>
      <c r="C431" s="772" t="s">
        <v>1772</v>
      </c>
      <c r="D431" s="772" t="s">
        <v>1763</v>
      </c>
      <c r="E431" s="772"/>
      <c r="F431" s="772"/>
      <c r="G431" s="772"/>
      <c r="H431" s="772"/>
    </row>
    <row r="432" spans="1:8" x14ac:dyDescent="0.25">
      <c r="A432" s="773"/>
      <c r="B432" s="772" t="s">
        <v>2795</v>
      </c>
      <c r="C432" s="772" t="s">
        <v>1773</v>
      </c>
      <c r="D432" s="772" t="s">
        <v>1763</v>
      </c>
      <c r="E432" s="772"/>
      <c r="F432" s="772"/>
      <c r="G432" s="772"/>
      <c r="H432" s="772"/>
    </row>
    <row r="433" spans="1:8" x14ac:dyDescent="0.25">
      <c r="A433" s="773"/>
      <c r="B433" s="772" t="s">
        <v>2796</v>
      </c>
      <c r="C433" s="772" t="s">
        <v>1774</v>
      </c>
      <c r="D433" s="772" t="s">
        <v>1763</v>
      </c>
      <c r="E433" s="772"/>
      <c r="F433" s="772"/>
      <c r="G433" s="772"/>
      <c r="H433" s="772"/>
    </row>
    <row r="434" spans="1:8" x14ac:dyDescent="0.25">
      <c r="A434" s="773"/>
      <c r="B434" s="772" t="s">
        <v>2797</v>
      </c>
      <c r="C434" s="772" t="s">
        <v>1775</v>
      </c>
      <c r="D434" s="772" t="s">
        <v>1763</v>
      </c>
      <c r="E434" s="772"/>
      <c r="F434" s="772"/>
      <c r="G434" s="772"/>
      <c r="H434" s="772"/>
    </row>
    <row r="435" spans="1:8" x14ac:dyDescent="0.25">
      <c r="A435" s="773"/>
      <c r="B435" s="772" t="s">
        <v>2798</v>
      </c>
      <c r="C435" s="772" t="s">
        <v>1776</v>
      </c>
      <c r="D435" s="772" t="s">
        <v>1763</v>
      </c>
      <c r="E435" s="772"/>
      <c r="F435" s="772"/>
      <c r="G435" s="772"/>
      <c r="H435" s="772"/>
    </row>
    <row r="436" spans="1:8" x14ac:dyDescent="0.25">
      <c r="A436" s="773"/>
      <c r="B436" s="772" t="s">
        <v>2799</v>
      </c>
      <c r="C436" s="772" t="s">
        <v>1777</v>
      </c>
      <c r="D436" s="772" t="s">
        <v>1763</v>
      </c>
      <c r="E436" s="772"/>
      <c r="F436" s="772"/>
      <c r="G436" s="772"/>
      <c r="H436" s="772"/>
    </row>
    <row r="437" spans="1:8" x14ac:dyDescent="0.25">
      <c r="A437" s="773"/>
      <c r="B437" s="772" t="s">
        <v>2800</v>
      </c>
      <c r="C437" s="772" t="s">
        <v>1778</v>
      </c>
      <c r="D437" s="772" t="s">
        <v>1763</v>
      </c>
      <c r="E437" s="772"/>
      <c r="F437" s="772"/>
      <c r="G437" s="772"/>
      <c r="H437" s="772"/>
    </row>
    <row r="438" spans="1:8" x14ac:dyDescent="0.25">
      <c r="A438" s="773"/>
      <c r="B438" s="772" t="s">
        <v>2801</v>
      </c>
      <c r="C438" s="772" t="s">
        <v>1779</v>
      </c>
      <c r="D438" s="772" t="s">
        <v>1763</v>
      </c>
      <c r="E438" s="772"/>
      <c r="F438" s="772"/>
      <c r="G438" s="772"/>
      <c r="H438" s="772"/>
    </row>
    <row r="439" spans="1:8" x14ac:dyDescent="0.25">
      <c r="A439" s="773"/>
      <c r="B439" s="772" t="s">
        <v>2802</v>
      </c>
      <c r="C439" s="772" t="s">
        <v>1780</v>
      </c>
      <c r="D439" s="772" t="s">
        <v>1763</v>
      </c>
      <c r="E439" s="772"/>
      <c r="F439" s="772"/>
      <c r="G439" s="772"/>
      <c r="H439" s="772"/>
    </row>
    <row r="440" spans="1:8" x14ac:dyDescent="0.25">
      <c r="A440" s="773"/>
      <c r="B440" s="772" t="s">
        <v>2803</v>
      </c>
      <c r="C440" s="772" t="s">
        <v>1781</v>
      </c>
      <c r="D440" s="772" t="s">
        <v>1763</v>
      </c>
      <c r="E440" s="772"/>
      <c r="F440" s="772"/>
      <c r="G440" s="772"/>
      <c r="H440" s="772"/>
    </row>
    <row r="441" spans="1:8" x14ac:dyDescent="0.25">
      <c r="A441" s="773"/>
      <c r="B441" s="772" t="s">
        <v>1782</v>
      </c>
      <c r="C441" s="772" t="s">
        <v>1783</v>
      </c>
      <c r="D441" s="772" t="s">
        <v>1763</v>
      </c>
      <c r="E441" s="772"/>
      <c r="F441" s="772"/>
      <c r="G441" s="772"/>
      <c r="H441" s="772"/>
    </row>
    <row r="442" spans="1:8" x14ac:dyDescent="0.25">
      <c r="A442" s="773"/>
      <c r="B442" s="772" t="s">
        <v>2804</v>
      </c>
      <c r="C442" s="772" t="s">
        <v>1784</v>
      </c>
      <c r="D442" s="772" t="s">
        <v>1763</v>
      </c>
      <c r="E442" s="772"/>
      <c r="F442" s="772"/>
      <c r="G442" s="772"/>
      <c r="H442" s="772"/>
    </row>
    <row r="443" spans="1:8" x14ac:dyDescent="0.25">
      <c r="A443" s="773"/>
      <c r="B443" s="772" t="s">
        <v>2805</v>
      </c>
      <c r="C443" s="772" t="s">
        <v>1785</v>
      </c>
      <c r="D443" s="772" t="s">
        <v>1763</v>
      </c>
      <c r="E443" s="772"/>
      <c r="F443" s="772"/>
      <c r="G443" s="772"/>
      <c r="H443" s="772"/>
    </row>
    <row r="444" spans="1:8" x14ac:dyDescent="0.25">
      <c r="A444" s="773"/>
      <c r="B444" s="772" t="s">
        <v>2806</v>
      </c>
      <c r="C444" s="772" t="s">
        <v>1786</v>
      </c>
      <c r="D444" s="772" t="s">
        <v>1763</v>
      </c>
      <c r="E444" s="772"/>
      <c r="F444" s="772"/>
      <c r="G444" s="772"/>
      <c r="H444" s="772"/>
    </row>
    <row r="445" spans="1:8" x14ac:dyDescent="0.25">
      <c r="A445" s="773"/>
      <c r="B445" s="772" t="s">
        <v>2807</v>
      </c>
      <c r="C445" s="772" t="s">
        <v>1787</v>
      </c>
      <c r="D445" s="772" t="s">
        <v>1763</v>
      </c>
      <c r="E445" s="772"/>
      <c r="F445" s="772"/>
      <c r="G445" s="772"/>
      <c r="H445" s="772"/>
    </row>
    <row r="446" spans="1:8" x14ac:dyDescent="0.25">
      <c r="A446" s="773"/>
      <c r="B446" s="772" t="s">
        <v>2808</v>
      </c>
      <c r="C446" s="772" t="s">
        <v>1788</v>
      </c>
      <c r="D446" s="772" t="s">
        <v>1763</v>
      </c>
      <c r="E446" s="772"/>
      <c r="F446" s="772"/>
      <c r="G446" s="772"/>
      <c r="H446" s="772"/>
    </row>
    <row r="447" spans="1:8" x14ac:dyDescent="0.25">
      <c r="A447" s="773"/>
      <c r="B447" s="772" t="s">
        <v>2809</v>
      </c>
      <c r="C447" s="772" t="s">
        <v>1789</v>
      </c>
      <c r="D447" s="772" t="s">
        <v>1701</v>
      </c>
      <c r="E447" s="772"/>
      <c r="F447" s="772"/>
      <c r="G447" s="772"/>
      <c r="H447" s="772"/>
    </row>
    <row r="448" spans="1:8" x14ac:dyDescent="0.25">
      <c r="A448" s="773"/>
      <c r="B448" s="772" t="s">
        <v>2810</v>
      </c>
      <c r="C448" s="772" t="s">
        <v>1790</v>
      </c>
      <c r="D448" s="772" t="s">
        <v>1689</v>
      </c>
      <c r="E448" s="772"/>
      <c r="F448" s="772"/>
      <c r="G448" s="772"/>
      <c r="H448" s="772"/>
    </row>
    <row r="449" spans="1:8" x14ac:dyDescent="0.25">
      <c r="A449" s="773"/>
      <c r="B449" s="772" t="s">
        <v>2811</v>
      </c>
      <c r="C449" s="772" t="s">
        <v>1791</v>
      </c>
      <c r="D449" s="772" t="s">
        <v>1689</v>
      </c>
      <c r="E449" s="772"/>
      <c r="F449" s="772"/>
      <c r="G449" s="772"/>
      <c r="H449" s="772"/>
    </row>
    <row r="450" spans="1:8" x14ac:dyDescent="0.25">
      <c r="A450" s="773"/>
      <c r="B450" s="772" t="s">
        <v>2812</v>
      </c>
      <c r="C450" s="772" t="s">
        <v>1792</v>
      </c>
      <c r="D450" s="772" t="s">
        <v>1689</v>
      </c>
      <c r="E450" s="772"/>
      <c r="F450" s="772"/>
      <c r="G450" s="772"/>
      <c r="H450" s="772"/>
    </row>
    <row r="451" spans="1:8" x14ac:dyDescent="0.25">
      <c r="A451" s="773"/>
      <c r="B451" s="772" t="s">
        <v>2813</v>
      </c>
      <c r="C451" s="772" t="s">
        <v>1793</v>
      </c>
      <c r="D451" s="772" t="s">
        <v>1689</v>
      </c>
      <c r="E451" s="772"/>
      <c r="F451" s="772"/>
      <c r="G451" s="772"/>
      <c r="H451" s="772"/>
    </row>
    <row r="452" spans="1:8" x14ac:dyDescent="0.25">
      <c r="A452" s="773"/>
      <c r="B452" s="772" t="s">
        <v>2814</v>
      </c>
      <c r="C452" s="772" t="s">
        <v>1794</v>
      </c>
      <c r="D452" s="772" t="s">
        <v>1763</v>
      </c>
      <c r="E452" s="772"/>
      <c r="F452" s="772"/>
      <c r="G452" s="772"/>
      <c r="H452" s="772"/>
    </row>
    <row r="453" spans="1:8" x14ac:dyDescent="0.25">
      <c r="A453" s="773"/>
      <c r="B453" s="772" t="s">
        <v>2815</v>
      </c>
      <c r="C453" s="772" t="s">
        <v>1795</v>
      </c>
      <c r="D453" s="772" t="s">
        <v>1689</v>
      </c>
      <c r="E453" s="772"/>
      <c r="F453" s="772"/>
      <c r="G453" s="772"/>
      <c r="H453" s="772"/>
    </row>
    <row r="454" spans="1:8" x14ac:dyDescent="0.25">
      <c r="A454" s="773"/>
      <c r="B454" s="772" t="s">
        <v>2816</v>
      </c>
      <c r="C454" s="772" t="s">
        <v>1796</v>
      </c>
      <c r="D454" s="772" t="s">
        <v>1689</v>
      </c>
      <c r="E454" s="772"/>
      <c r="F454" s="772"/>
      <c r="G454" s="772"/>
      <c r="H454" s="772"/>
    </row>
    <row r="455" spans="1:8" x14ac:dyDescent="0.25">
      <c r="A455" s="773"/>
      <c r="B455" s="772" t="s">
        <v>2817</v>
      </c>
      <c r="C455" s="772" t="s">
        <v>1797</v>
      </c>
      <c r="D455" s="772" t="s">
        <v>1689</v>
      </c>
      <c r="E455" s="772"/>
      <c r="F455" s="772"/>
      <c r="G455" s="772"/>
      <c r="H455" s="772"/>
    </row>
    <row r="456" spans="1:8" x14ac:dyDescent="0.25">
      <c r="A456" s="773"/>
      <c r="B456" s="772" t="s">
        <v>2818</v>
      </c>
      <c r="C456" s="772" t="s">
        <v>1798</v>
      </c>
      <c r="D456" s="772" t="s">
        <v>1689</v>
      </c>
      <c r="E456" s="772"/>
      <c r="F456" s="772"/>
      <c r="G456" s="772"/>
      <c r="H456" s="772"/>
    </row>
    <row r="457" spans="1:8" x14ac:dyDescent="0.25">
      <c r="A457" s="773"/>
      <c r="B457" s="772" t="s">
        <v>2819</v>
      </c>
      <c r="C457" s="772" t="s">
        <v>1799</v>
      </c>
      <c r="D457" s="772" t="s">
        <v>1689</v>
      </c>
      <c r="E457" s="772"/>
      <c r="F457" s="772"/>
      <c r="G457" s="772"/>
      <c r="H457" s="772"/>
    </row>
    <row r="458" spans="1:8" x14ac:dyDescent="0.25">
      <c r="A458" s="773"/>
      <c r="B458" s="772" t="s">
        <v>1800</v>
      </c>
      <c r="C458" s="772" t="s">
        <v>1801</v>
      </c>
      <c r="D458" s="772" t="s">
        <v>1763</v>
      </c>
      <c r="E458" s="772"/>
      <c r="F458" s="772"/>
      <c r="G458" s="772"/>
      <c r="H458" s="772"/>
    </row>
    <row r="459" spans="1:8" x14ac:dyDescent="0.25">
      <c r="A459" s="773"/>
      <c r="B459" s="772" t="s">
        <v>1802</v>
      </c>
      <c r="C459" s="772" t="s">
        <v>1803</v>
      </c>
      <c r="D459" s="772" t="s">
        <v>1763</v>
      </c>
      <c r="E459" s="772"/>
      <c r="F459" s="772"/>
      <c r="G459" s="772"/>
      <c r="H459" s="772"/>
    </row>
    <row r="460" spans="1:8" x14ac:dyDescent="0.25">
      <c r="A460" s="773"/>
      <c r="B460" s="772" t="s">
        <v>1804</v>
      </c>
      <c r="C460" s="772" t="s">
        <v>1805</v>
      </c>
      <c r="D460" s="772" t="s">
        <v>1763</v>
      </c>
      <c r="E460" s="772"/>
      <c r="F460" s="772"/>
      <c r="G460" s="772"/>
      <c r="H460" s="772"/>
    </row>
    <row r="461" spans="1:8" x14ac:dyDescent="0.25">
      <c r="A461" s="773"/>
      <c r="B461" s="772" t="s">
        <v>1806</v>
      </c>
      <c r="C461" s="772" t="s">
        <v>1807</v>
      </c>
      <c r="D461" s="772" t="s">
        <v>1763</v>
      </c>
      <c r="E461" s="772"/>
      <c r="F461" s="772"/>
      <c r="G461" s="772"/>
      <c r="H461" s="772"/>
    </row>
    <row r="462" spans="1:8" x14ac:dyDescent="0.25">
      <c r="A462" s="773"/>
      <c r="B462" s="772" t="s">
        <v>1808</v>
      </c>
      <c r="C462" s="772" t="s">
        <v>1809</v>
      </c>
      <c r="D462" s="772" t="s">
        <v>1763</v>
      </c>
      <c r="E462" s="772"/>
      <c r="F462" s="772"/>
      <c r="G462" s="772"/>
      <c r="H462" s="772"/>
    </row>
    <row r="463" spans="1:8" x14ac:dyDescent="0.25">
      <c r="A463" s="773"/>
      <c r="B463" s="772" t="s">
        <v>1810</v>
      </c>
      <c r="C463" s="772" t="s">
        <v>1811</v>
      </c>
      <c r="D463" s="772" t="s">
        <v>1763</v>
      </c>
      <c r="E463" s="772"/>
      <c r="F463" s="772"/>
      <c r="G463" s="772"/>
      <c r="H463" s="772"/>
    </row>
    <row r="464" spans="1:8" x14ac:dyDescent="0.25">
      <c r="A464" s="773"/>
      <c r="B464" s="772" t="s">
        <v>1812</v>
      </c>
      <c r="C464" s="772" t="s">
        <v>1813</v>
      </c>
      <c r="D464" s="772" t="s">
        <v>1763</v>
      </c>
      <c r="E464" s="772"/>
      <c r="F464" s="772"/>
      <c r="G464" s="772"/>
      <c r="H464" s="772"/>
    </row>
    <row r="465" spans="1:8" x14ac:dyDescent="0.25">
      <c r="A465" s="773"/>
      <c r="B465" s="772" t="s">
        <v>1814</v>
      </c>
      <c r="C465" s="772" t="s">
        <v>1815</v>
      </c>
      <c r="D465" s="772" t="s">
        <v>1763</v>
      </c>
      <c r="E465" s="772"/>
      <c r="F465" s="772"/>
      <c r="G465" s="772"/>
      <c r="H465" s="772"/>
    </row>
    <row r="466" spans="1:8" x14ac:dyDescent="0.25">
      <c r="A466" s="773"/>
      <c r="B466" s="772" t="s">
        <v>1816</v>
      </c>
      <c r="C466" s="772" t="s">
        <v>1817</v>
      </c>
      <c r="D466" s="772" t="s">
        <v>1689</v>
      </c>
      <c r="E466" s="772"/>
      <c r="F466" s="772"/>
      <c r="G466" s="772"/>
      <c r="H466" s="772"/>
    </row>
    <row r="467" spans="1:8" x14ac:dyDescent="0.25">
      <c r="A467" s="773"/>
      <c r="B467" s="772" t="s">
        <v>1818</v>
      </c>
      <c r="C467" s="772" t="s">
        <v>1819</v>
      </c>
      <c r="D467" s="772" t="s">
        <v>1763</v>
      </c>
      <c r="E467" s="772"/>
      <c r="F467" s="772"/>
      <c r="G467" s="772"/>
      <c r="H467" s="772"/>
    </row>
    <row r="468" spans="1:8" x14ac:dyDescent="0.25">
      <c r="A468" s="773"/>
      <c r="B468" s="772" t="s">
        <v>1820</v>
      </c>
      <c r="C468" s="772" t="s">
        <v>1821</v>
      </c>
      <c r="D468" s="772" t="s">
        <v>1763</v>
      </c>
      <c r="E468" s="772"/>
      <c r="F468" s="772"/>
      <c r="G468" s="772"/>
      <c r="H468" s="772"/>
    </row>
    <row r="469" spans="1:8" x14ac:dyDescent="0.25">
      <c r="A469" s="773"/>
      <c r="B469" s="772" t="s">
        <v>2820</v>
      </c>
      <c r="C469" s="772" t="s">
        <v>1822</v>
      </c>
      <c r="D469" s="772" t="s">
        <v>1701</v>
      </c>
      <c r="E469" s="772"/>
      <c r="F469" s="772"/>
      <c r="G469" s="772"/>
      <c r="H469" s="772"/>
    </row>
    <row r="470" spans="1:8" x14ac:dyDescent="0.25">
      <c r="A470" s="773"/>
      <c r="B470" s="772" t="s">
        <v>1823</v>
      </c>
      <c r="C470" s="772" t="s">
        <v>1824</v>
      </c>
      <c r="D470" s="772" t="s">
        <v>1825</v>
      </c>
      <c r="E470" s="772"/>
      <c r="F470" s="772"/>
      <c r="G470" s="772"/>
      <c r="H470" s="772"/>
    </row>
    <row r="471" spans="1:8" x14ac:dyDescent="0.25">
      <c r="A471" s="773"/>
      <c r="B471" s="772" t="s">
        <v>2821</v>
      </c>
      <c r="C471" s="772" t="s">
        <v>1826</v>
      </c>
      <c r="D471" s="772" t="s">
        <v>1696</v>
      </c>
      <c r="E471" s="772"/>
      <c r="F471" s="772"/>
      <c r="G471" s="772"/>
      <c r="H471" s="772"/>
    </row>
    <row r="472" spans="1:8" x14ac:dyDescent="0.25">
      <c r="A472" s="773"/>
      <c r="B472" s="772" t="s">
        <v>2822</v>
      </c>
      <c r="C472" s="772" t="s">
        <v>1827</v>
      </c>
      <c r="D472" s="772" t="s">
        <v>1696</v>
      </c>
      <c r="E472" s="772"/>
      <c r="F472" s="772"/>
      <c r="G472" s="772"/>
      <c r="H472" s="772"/>
    </row>
    <row r="473" spans="1:8" x14ac:dyDescent="0.25">
      <c r="A473" s="773"/>
      <c r="B473" s="772" t="s">
        <v>2823</v>
      </c>
      <c r="C473" s="772" t="s">
        <v>1828</v>
      </c>
      <c r="D473" s="772" t="s">
        <v>1763</v>
      </c>
      <c r="E473" s="772"/>
      <c r="F473" s="772"/>
      <c r="G473" s="772"/>
      <c r="H473" s="772"/>
    </row>
    <row r="474" spans="1:8" x14ac:dyDescent="0.25">
      <c r="A474" s="773"/>
      <c r="B474" s="772" t="s">
        <v>2824</v>
      </c>
      <c r="C474" s="772" t="s">
        <v>1829</v>
      </c>
      <c r="D474" s="772" t="s">
        <v>1701</v>
      </c>
      <c r="E474" s="772"/>
      <c r="F474" s="772"/>
      <c r="G474" s="772"/>
      <c r="H474" s="772"/>
    </row>
    <row r="475" spans="1:8" x14ac:dyDescent="0.25">
      <c r="A475" s="773"/>
      <c r="B475" s="772" t="s">
        <v>2825</v>
      </c>
      <c r="C475" s="772" t="s">
        <v>1830</v>
      </c>
      <c r="D475" s="772" t="s">
        <v>1701</v>
      </c>
      <c r="E475" s="772"/>
      <c r="F475" s="772"/>
      <c r="G475" s="772"/>
      <c r="H475" s="772"/>
    </row>
    <row r="476" spans="1:8" x14ac:dyDescent="0.25">
      <c r="A476" s="773"/>
      <c r="B476" s="772" t="s">
        <v>2826</v>
      </c>
      <c r="C476" s="772" t="s">
        <v>1831</v>
      </c>
      <c r="D476" s="772" t="s">
        <v>1701</v>
      </c>
      <c r="E476" s="772"/>
      <c r="F476" s="772"/>
      <c r="G476" s="772"/>
      <c r="H476" s="772"/>
    </row>
    <row r="477" spans="1:8" x14ac:dyDescent="0.25">
      <c r="A477" s="773"/>
      <c r="B477" s="772" t="s">
        <v>1832</v>
      </c>
      <c r="C477" s="772" t="s">
        <v>1833</v>
      </c>
      <c r="D477" s="772" t="s">
        <v>1019</v>
      </c>
      <c r="E477" s="772"/>
      <c r="F477" s="772"/>
      <c r="G477" s="772"/>
      <c r="H477" s="772"/>
    </row>
    <row r="478" spans="1:8" x14ac:dyDescent="0.25">
      <c r="A478" s="773"/>
      <c r="B478" s="772" t="s">
        <v>2827</v>
      </c>
      <c r="C478" s="772" t="s">
        <v>1834</v>
      </c>
      <c r="D478" s="772" t="s">
        <v>1701</v>
      </c>
      <c r="E478" s="772"/>
      <c r="F478" s="772"/>
      <c r="G478" s="772"/>
      <c r="H478" s="772"/>
    </row>
    <row r="479" spans="1:8" x14ac:dyDescent="0.25">
      <c r="A479" s="773"/>
      <c r="B479" s="772" t="s">
        <v>2828</v>
      </c>
      <c r="C479" s="772" t="s">
        <v>1835</v>
      </c>
      <c r="D479" s="772" t="s">
        <v>1701</v>
      </c>
      <c r="E479" s="772"/>
      <c r="F479" s="772"/>
      <c r="G479" s="772"/>
      <c r="H479" s="772"/>
    </row>
    <row r="480" spans="1:8" x14ac:dyDescent="0.25">
      <c r="A480" s="773"/>
      <c r="B480" s="772" t="s">
        <v>2829</v>
      </c>
      <c r="C480" s="772" t="s">
        <v>1836</v>
      </c>
      <c r="D480" s="772" t="s">
        <v>1701</v>
      </c>
      <c r="E480" s="772"/>
      <c r="F480" s="772"/>
      <c r="G480" s="772"/>
      <c r="H480" s="772"/>
    </row>
    <row r="481" spans="1:8" x14ac:dyDescent="0.25">
      <c r="A481" s="773"/>
      <c r="B481" s="772" t="s">
        <v>2830</v>
      </c>
      <c r="C481" s="772" t="s">
        <v>1837</v>
      </c>
      <c r="D481" s="772" t="s">
        <v>1701</v>
      </c>
      <c r="E481" s="772"/>
      <c r="F481" s="772"/>
      <c r="G481" s="772"/>
      <c r="H481" s="772"/>
    </row>
    <row r="482" spans="1:8" x14ac:dyDescent="0.25">
      <c r="A482" s="773"/>
      <c r="B482" s="772" t="s">
        <v>2831</v>
      </c>
      <c r="C482" s="772" t="s">
        <v>1838</v>
      </c>
      <c r="D482" s="772" t="s">
        <v>1701</v>
      </c>
      <c r="E482" s="772"/>
      <c r="F482" s="772"/>
      <c r="G482" s="772"/>
      <c r="H482" s="772"/>
    </row>
    <row r="483" spans="1:8" x14ac:dyDescent="0.25">
      <c r="A483" s="773"/>
      <c r="B483" s="772" t="s">
        <v>2832</v>
      </c>
      <c r="C483" s="772" t="s">
        <v>1839</v>
      </c>
      <c r="D483" s="772" t="s">
        <v>1701</v>
      </c>
      <c r="E483" s="772"/>
      <c r="F483" s="772"/>
      <c r="G483" s="772"/>
      <c r="H483" s="772"/>
    </row>
    <row r="484" spans="1:8" x14ac:dyDescent="0.25">
      <c r="A484" s="773"/>
      <c r="B484" s="772" t="s">
        <v>2833</v>
      </c>
      <c r="C484" s="772" t="s">
        <v>1840</v>
      </c>
      <c r="D484" s="772" t="s">
        <v>1701</v>
      </c>
      <c r="E484" s="772"/>
      <c r="F484" s="772"/>
      <c r="G484" s="772"/>
      <c r="H484" s="772"/>
    </row>
    <row r="485" spans="1:8" x14ac:dyDescent="0.25">
      <c r="A485" s="773"/>
      <c r="B485" s="772" t="s">
        <v>2834</v>
      </c>
      <c r="C485" s="772" t="s">
        <v>1841</v>
      </c>
      <c r="D485" s="772" t="s">
        <v>1701</v>
      </c>
      <c r="E485" s="772"/>
      <c r="F485" s="772"/>
      <c r="G485" s="772"/>
      <c r="H485" s="772"/>
    </row>
    <row r="486" spans="1:8" x14ac:dyDescent="0.25">
      <c r="A486" s="773"/>
      <c r="B486" s="772" t="s">
        <v>2835</v>
      </c>
      <c r="C486" s="772" t="s">
        <v>1842</v>
      </c>
      <c r="D486" s="772" t="s">
        <v>1763</v>
      </c>
      <c r="E486" s="772"/>
      <c r="F486" s="772"/>
      <c r="G486" s="772"/>
      <c r="H486" s="772"/>
    </row>
    <row r="487" spans="1:8" x14ac:dyDescent="0.25">
      <c r="A487" s="773"/>
      <c r="B487" s="772" t="s">
        <v>2836</v>
      </c>
      <c r="C487" s="772" t="s">
        <v>1843</v>
      </c>
      <c r="D487" s="772" t="s">
        <v>1019</v>
      </c>
      <c r="E487" s="772"/>
      <c r="F487" s="772"/>
      <c r="G487" s="772"/>
      <c r="H487" s="772"/>
    </row>
    <row r="488" spans="1:8" x14ac:dyDescent="0.25">
      <c r="A488" s="773"/>
      <c r="B488" s="772" t="s">
        <v>2837</v>
      </c>
      <c r="C488" s="772" t="s">
        <v>1844</v>
      </c>
      <c r="D488" s="772" t="s">
        <v>1763</v>
      </c>
      <c r="E488" s="772"/>
      <c r="F488" s="772"/>
      <c r="G488" s="772"/>
      <c r="H488" s="772"/>
    </row>
    <row r="489" spans="1:8" x14ac:dyDescent="0.25">
      <c r="A489" s="773"/>
      <c r="B489" s="772" t="s">
        <v>2838</v>
      </c>
      <c r="C489" s="772" t="s">
        <v>1845</v>
      </c>
      <c r="D489" s="772" t="s">
        <v>1763</v>
      </c>
      <c r="E489" s="772"/>
      <c r="F489" s="772"/>
      <c r="G489" s="772"/>
      <c r="H489" s="772"/>
    </row>
    <row r="490" spans="1:8" x14ac:dyDescent="0.25">
      <c r="A490" s="773"/>
      <c r="B490" s="772" t="s">
        <v>1846</v>
      </c>
      <c r="C490" s="772" t="s">
        <v>1847</v>
      </c>
      <c r="D490" s="772" t="s">
        <v>1763</v>
      </c>
      <c r="E490" s="772"/>
      <c r="F490" s="772"/>
      <c r="G490" s="772"/>
      <c r="H490" s="772"/>
    </row>
    <row r="491" spans="1:8" x14ac:dyDescent="0.25">
      <c r="A491" s="773"/>
      <c r="B491" s="772" t="s">
        <v>2839</v>
      </c>
      <c r="C491" s="772" t="s">
        <v>1848</v>
      </c>
      <c r="D491" s="772" t="s">
        <v>1689</v>
      </c>
      <c r="E491" s="772"/>
      <c r="F491" s="772"/>
      <c r="G491" s="772"/>
      <c r="H491" s="772"/>
    </row>
    <row r="492" spans="1:8" x14ac:dyDescent="0.25">
      <c r="A492" s="773"/>
      <c r="B492" s="772" t="s">
        <v>1849</v>
      </c>
      <c r="C492" s="772" t="s">
        <v>1850</v>
      </c>
      <c r="D492" s="772" t="s">
        <v>1689</v>
      </c>
      <c r="E492" s="772"/>
      <c r="F492" s="772"/>
      <c r="G492" s="772"/>
      <c r="H492" s="772"/>
    </row>
    <row r="493" spans="1:8" x14ac:dyDescent="0.25">
      <c r="A493" s="773"/>
      <c r="B493" s="772" t="s">
        <v>2840</v>
      </c>
      <c r="C493" s="772" t="s">
        <v>1851</v>
      </c>
      <c r="D493" s="772" t="s">
        <v>1763</v>
      </c>
      <c r="E493" s="772"/>
      <c r="F493" s="772"/>
      <c r="G493" s="772"/>
      <c r="H493" s="772"/>
    </row>
    <row r="494" spans="1:8" x14ac:dyDescent="0.25">
      <c r="A494" s="773"/>
      <c r="B494" s="772" t="s">
        <v>2841</v>
      </c>
      <c r="C494" s="772" t="s">
        <v>1852</v>
      </c>
      <c r="D494" s="772" t="s">
        <v>1763</v>
      </c>
      <c r="E494" s="772"/>
      <c r="F494" s="772"/>
      <c r="G494" s="772"/>
      <c r="H494" s="772"/>
    </row>
    <row r="495" spans="1:8" x14ac:dyDescent="0.25">
      <c r="A495" s="773"/>
      <c r="B495" s="772" t="s">
        <v>2842</v>
      </c>
      <c r="C495" s="772" t="s">
        <v>1853</v>
      </c>
      <c r="D495" s="772" t="s">
        <v>1019</v>
      </c>
      <c r="E495" s="772"/>
      <c r="F495" s="772"/>
      <c r="G495" s="772"/>
      <c r="H495" s="772"/>
    </row>
    <row r="496" spans="1:8" x14ac:dyDescent="0.25">
      <c r="A496" s="773"/>
      <c r="B496" s="772" t="s">
        <v>2745</v>
      </c>
      <c r="C496" s="772" t="s">
        <v>1712</v>
      </c>
      <c r="D496" s="772" t="s">
        <v>1686</v>
      </c>
      <c r="E496" s="772"/>
      <c r="F496" s="772"/>
      <c r="G496" s="772"/>
      <c r="H496" s="772"/>
    </row>
    <row r="497" spans="1:8" x14ac:dyDescent="0.25">
      <c r="A497" s="773"/>
      <c r="B497" s="772" t="s">
        <v>2843</v>
      </c>
      <c r="C497" s="772" t="s">
        <v>1854</v>
      </c>
      <c r="D497" s="772" t="s">
        <v>1763</v>
      </c>
      <c r="E497" s="772"/>
      <c r="F497" s="772"/>
      <c r="G497" s="772"/>
      <c r="H497" s="772"/>
    </row>
    <row r="498" spans="1:8" x14ac:dyDescent="0.25">
      <c r="A498" s="773"/>
      <c r="B498" s="772" t="s">
        <v>2844</v>
      </c>
      <c r="C498" s="772" t="s">
        <v>1855</v>
      </c>
      <c r="D498" s="772" t="s">
        <v>1856</v>
      </c>
      <c r="E498" s="772"/>
      <c r="F498" s="772"/>
      <c r="G498" s="772"/>
      <c r="H498" s="772"/>
    </row>
    <row r="499" spans="1:8" x14ac:dyDescent="0.25">
      <c r="A499" s="773"/>
      <c r="B499" s="772" t="s">
        <v>2845</v>
      </c>
      <c r="C499" s="772" t="s">
        <v>1857</v>
      </c>
      <c r="D499" s="772" t="s">
        <v>1858</v>
      </c>
      <c r="E499" s="772"/>
      <c r="F499" s="772"/>
      <c r="G499" s="772"/>
      <c r="H499" s="772"/>
    </row>
    <row r="500" spans="1:8" x14ac:dyDescent="0.25">
      <c r="A500" s="773"/>
      <c r="B500" s="772" t="s">
        <v>2846</v>
      </c>
      <c r="C500" s="772" t="s">
        <v>1859</v>
      </c>
      <c r="D500" s="772" t="s">
        <v>1858</v>
      </c>
      <c r="E500" s="772"/>
      <c r="F500" s="772"/>
      <c r="G500" s="772"/>
      <c r="H500" s="772"/>
    </row>
    <row r="501" spans="1:8" x14ac:dyDescent="0.25">
      <c r="A501" s="773"/>
      <c r="B501" s="772" t="s">
        <v>2847</v>
      </c>
      <c r="C501" s="772" t="s">
        <v>1860</v>
      </c>
      <c r="D501" s="772" t="s">
        <v>1858</v>
      </c>
      <c r="E501" s="772"/>
      <c r="F501" s="772"/>
      <c r="G501" s="772"/>
      <c r="H501" s="772"/>
    </row>
    <row r="502" spans="1:8" x14ac:dyDescent="0.25">
      <c r="A502" s="773"/>
      <c r="B502" s="772" t="s">
        <v>2848</v>
      </c>
      <c r="C502" s="772" t="s">
        <v>1861</v>
      </c>
      <c r="D502" s="772" t="s">
        <v>1858</v>
      </c>
      <c r="E502" s="772"/>
      <c r="F502" s="772"/>
      <c r="G502" s="772"/>
      <c r="H502" s="772"/>
    </row>
    <row r="503" spans="1:8" x14ac:dyDescent="0.25">
      <c r="A503" s="773"/>
      <c r="B503" s="772" t="s">
        <v>2849</v>
      </c>
      <c r="C503" s="772" t="s">
        <v>1862</v>
      </c>
      <c r="D503" s="772" t="s">
        <v>1858</v>
      </c>
      <c r="E503" s="772"/>
      <c r="F503" s="772"/>
      <c r="G503" s="772"/>
      <c r="H503" s="772"/>
    </row>
    <row r="504" spans="1:8" x14ac:dyDescent="0.25">
      <c r="A504" s="773"/>
      <c r="B504" s="772" t="s">
        <v>2850</v>
      </c>
      <c r="C504" s="772" t="s">
        <v>1863</v>
      </c>
      <c r="D504" s="772" t="s">
        <v>1858</v>
      </c>
      <c r="E504" s="772"/>
      <c r="F504" s="772"/>
      <c r="G504" s="772"/>
      <c r="H504" s="772"/>
    </row>
    <row r="505" spans="1:8" x14ac:dyDescent="0.25">
      <c r="A505" s="773"/>
      <c r="B505" s="772" t="s">
        <v>2851</v>
      </c>
      <c r="C505" s="772" t="s">
        <v>1864</v>
      </c>
      <c r="D505" s="772" t="s">
        <v>1858</v>
      </c>
      <c r="E505" s="772"/>
      <c r="F505" s="772"/>
      <c r="G505" s="772"/>
      <c r="H505" s="772"/>
    </row>
    <row r="506" spans="1:8" x14ac:dyDescent="0.25">
      <c r="A506" s="773"/>
      <c r="B506" s="772" t="s">
        <v>2852</v>
      </c>
      <c r="C506" s="772" t="s">
        <v>1865</v>
      </c>
      <c r="D506" s="772" t="s">
        <v>1858</v>
      </c>
      <c r="E506" s="772"/>
      <c r="F506" s="772"/>
      <c r="G506" s="772"/>
      <c r="H506" s="772"/>
    </row>
    <row r="507" spans="1:8" x14ac:dyDescent="0.25">
      <c r="A507" s="773"/>
      <c r="B507" s="772" t="s">
        <v>2853</v>
      </c>
      <c r="C507" s="772" t="s">
        <v>1866</v>
      </c>
      <c r="D507" s="772" t="s">
        <v>1858</v>
      </c>
      <c r="E507" s="772"/>
      <c r="F507" s="772"/>
      <c r="G507" s="772"/>
      <c r="H507" s="772"/>
    </row>
    <row r="508" spans="1:8" x14ac:dyDescent="0.25">
      <c r="A508" s="773"/>
      <c r="B508" s="772" t="s">
        <v>2854</v>
      </c>
      <c r="C508" s="772" t="s">
        <v>1867</v>
      </c>
      <c r="D508" s="772" t="s">
        <v>1858</v>
      </c>
      <c r="E508" s="772"/>
      <c r="F508" s="772"/>
      <c r="G508" s="772"/>
      <c r="H508" s="772"/>
    </row>
    <row r="509" spans="1:8" x14ac:dyDescent="0.25">
      <c r="A509" s="773"/>
      <c r="B509" s="772" t="s">
        <v>2855</v>
      </c>
      <c r="C509" s="772" t="s">
        <v>1868</v>
      </c>
      <c r="D509" s="772" t="s">
        <v>1858</v>
      </c>
      <c r="E509" s="772"/>
      <c r="F509" s="772"/>
      <c r="G509" s="772"/>
      <c r="H509" s="772"/>
    </row>
    <row r="510" spans="1:8" x14ac:dyDescent="0.25">
      <c r="A510" s="773"/>
      <c r="B510" s="772" t="s">
        <v>2856</v>
      </c>
      <c r="C510" s="772" t="s">
        <v>1869</v>
      </c>
      <c r="D510" s="772" t="s">
        <v>1858</v>
      </c>
      <c r="E510" s="772"/>
      <c r="F510" s="772"/>
      <c r="G510" s="772"/>
      <c r="H510" s="772"/>
    </row>
    <row r="511" spans="1:8" x14ac:dyDescent="0.25">
      <c r="A511" s="773"/>
      <c r="B511" s="772" t="s">
        <v>2857</v>
      </c>
      <c r="C511" s="772" t="s">
        <v>1870</v>
      </c>
      <c r="D511" s="772" t="s">
        <v>1858</v>
      </c>
      <c r="E511" s="772"/>
      <c r="F511" s="772"/>
      <c r="G511" s="772"/>
      <c r="H511" s="772"/>
    </row>
    <row r="512" spans="1:8" x14ac:dyDescent="0.25">
      <c r="A512" s="773"/>
      <c r="B512" s="772" t="s">
        <v>2858</v>
      </c>
      <c r="C512" s="772" t="s">
        <v>1871</v>
      </c>
      <c r="D512" s="772" t="s">
        <v>1858</v>
      </c>
      <c r="E512" s="772"/>
      <c r="F512" s="772"/>
      <c r="G512" s="772"/>
      <c r="H512" s="772"/>
    </row>
    <row r="513" spans="1:8" x14ac:dyDescent="0.25">
      <c r="A513" s="773"/>
      <c r="B513" s="772" t="s">
        <v>2859</v>
      </c>
      <c r="C513" s="772" t="s">
        <v>1872</v>
      </c>
      <c r="D513" s="772" t="s">
        <v>1763</v>
      </c>
      <c r="E513" s="772"/>
      <c r="F513" s="772"/>
      <c r="G513" s="772"/>
      <c r="H513" s="772"/>
    </row>
    <row r="514" spans="1:8" x14ac:dyDescent="0.25">
      <c r="A514" s="773"/>
      <c r="B514" s="772" t="s">
        <v>2860</v>
      </c>
      <c r="C514" s="772" t="s">
        <v>1873</v>
      </c>
      <c r="D514" s="772" t="s">
        <v>1763</v>
      </c>
      <c r="E514" s="772"/>
      <c r="F514" s="772"/>
      <c r="G514" s="772"/>
      <c r="H514" s="772"/>
    </row>
    <row r="515" spans="1:8" x14ac:dyDescent="0.25">
      <c r="A515" s="773"/>
      <c r="B515" s="772" t="s">
        <v>2861</v>
      </c>
      <c r="C515" s="772" t="s">
        <v>1874</v>
      </c>
      <c r="D515" s="772" t="s">
        <v>1763</v>
      </c>
      <c r="E515" s="772"/>
      <c r="F515" s="772"/>
      <c r="G515" s="772"/>
      <c r="H515" s="772"/>
    </row>
    <row r="516" spans="1:8" x14ac:dyDescent="0.25">
      <c r="A516" s="773"/>
      <c r="B516" s="772" t="s">
        <v>2862</v>
      </c>
      <c r="C516" s="772" t="s">
        <v>1875</v>
      </c>
      <c r="D516" s="772" t="s">
        <v>1763</v>
      </c>
      <c r="E516" s="772"/>
      <c r="F516" s="772"/>
      <c r="G516" s="772"/>
      <c r="H516" s="772"/>
    </row>
    <row r="517" spans="1:8" x14ac:dyDescent="0.25">
      <c r="A517" s="773"/>
      <c r="B517" s="772" t="s">
        <v>2863</v>
      </c>
      <c r="C517" s="772" t="s">
        <v>1876</v>
      </c>
      <c r="D517" s="772" t="s">
        <v>1019</v>
      </c>
      <c r="E517" s="772"/>
      <c r="F517" s="772"/>
      <c r="G517" s="772"/>
      <c r="H517" s="772"/>
    </row>
    <row r="518" spans="1:8" x14ac:dyDescent="0.25">
      <c r="A518" s="773"/>
      <c r="B518" s="772" t="s">
        <v>2864</v>
      </c>
      <c r="C518" s="772" t="s">
        <v>1877</v>
      </c>
      <c r="D518" s="772" t="s">
        <v>1858</v>
      </c>
      <c r="E518" s="772"/>
      <c r="F518" s="772"/>
      <c r="G518" s="772"/>
      <c r="H518" s="772"/>
    </row>
    <row r="519" spans="1:8" x14ac:dyDescent="0.25">
      <c r="A519" s="773"/>
      <c r="B519" s="772" t="s">
        <v>2865</v>
      </c>
      <c r="C519" s="772" t="s">
        <v>1878</v>
      </c>
      <c r="D519" s="772" t="s">
        <v>1858</v>
      </c>
      <c r="E519" s="772"/>
      <c r="F519" s="772"/>
      <c r="G519" s="772"/>
      <c r="H519" s="772"/>
    </row>
    <row r="520" spans="1:8" x14ac:dyDescent="0.25">
      <c r="A520" s="773"/>
      <c r="B520" s="772" t="s">
        <v>2866</v>
      </c>
      <c r="C520" s="772" t="s">
        <v>1879</v>
      </c>
      <c r="D520" s="772" t="s">
        <v>1858</v>
      </c>
      <c r="E520" s="772"/>
      <c r="F520" s="772"/>
      <c r="G520" s="772"/>
      <c r="H520" s="772"/>
    </row>
    <row r="521" spans="1:8" x14ac:dyDescent="0.25">
      <c r="A521" s="773"/>
      <c r="B521" s="772" t="s">
        <v>2867</v>
      </c>
      <c r="C521" s="772" t="s">
        <v>1880</v>
      </c>
      <c r="D521" s="772" t="s">
        <v>1858</v>
      </c>
      <c r="E521" s="772"/>
      <c r="F521" s="772"/>
      <c r="G521" s="772"/>
      <c r="H521" s="772"/>
    </row>
    <row r="522" spans="1:8" x14ac:dyDescent="0.25">
      <c r="A522" s="773"/>
      <c r="B522" s="772" t="s">
        <v>2868</v>
      </c>
      <c r="C522" s="772" t="s">
        <v>1881</v>
      </c>
      <c r="D522" s="772" t="s">
        <v>1858</v>
      </c>
      <c r="E522" s="772"/>
      <c r="F522" s="772"/>
      <c r="G522" s="772"/>
      <c r="H522" s="772"/>
    </row>
    <row r="523" spans="1:8" x14ac:dyDescent="0.25">
      <c r="A523" s="773"/>
      <c r="B523" s="772" t="s">
        <v>2869</v>
      </c>
      <c r="C523" s="772" t="s">
        <v>1882</v>
      </c>
      <c r="D523" s="772" t="s">
        <v>1858</v>
      </c>
      <c r="E523" s="772"/>
      <c r="F523" s="772"/>
      <c r="G523" s="772"/>
      <c r="H523" s="772"/>
    </row>
    <row r="524" spans="1:8" x14ac:dyDescent="0.25">
      <c r="A524" s="773"/>
      <c r="B524" s="772" t="s">
        <v>1883</v>
      </c>
      <c r="C524" s="772" t="s">
        <v>1884</v>
      </c>
      <c r="D524" s="772" t="s">
        <v>1858</v>
      </c>
      <c r="E524" s="772"/>
      <c r="F524" s="772"/>
      <c r="G524" s="772"/>
      <c r="H524" s="772"/>
    </row>
    <row r="525" spans="1:8" x14ac:dyDescent="0.25">
      <c r="A525" s="773"/>
      <c r="B525" s="772" t="s">
        <v>2870</v>
      </c>
      <c r="C525" s="772" t="s">
        <v>1885</v>
      </c>
      <c r="D525" s="772" t="s">
        <v>1019</v>
      </c>
      <c r="E525" s="772"/>
      <c r="F525" s="772"/>
      <c r="G525" s="772"/>
      <c r="H525" s="772"/>
    </row>
    <row r="526" spans="1:8" x14ac:dyDescent="0.25">
      <c r="A526" s="773"/>
      <c r="B526" s="772" t="s">
        <v>2871</v>
      </c>
      <c r="C526" s="772" t="s">
        <v>1886</v>
      </c>
      <c r="D526" s="772" t="s">
        <v>1858</v>
      </c>
      <c r="E526" s="772"/>
      <c r="F526" s="772"/>
      <c r="G526" s="772"/>
      <c r="H526" s="772"/>
    </row>
    <row r="527" spans="1:8" x14ac:dyDescent="0.25">
      <c r="A527" s="773"/>
      <c r="B527" s="772" t="s">
        <v>2872</v>
      </c>
      <c r="C527" s="772" t="s">
        <v>1887</v>
      </c>
      <c r="D527" s="772" t="s">
        <v>1858</v>
      </c>
      <c r="E527" s="772"/>
      <c r="F527" s="772"/>
      <c r="G527" s="772"/>
      <c r="H527" s="772"/>
    </row>
    <row r="528" spans="1:8" x14ac:dyDescent="0.25">
      <c r="A528" s="773"/>
      <c r="B528" s="772" t="s">
        <v>2873</v>
      </c>
      <c r="C528" s="772" t="s">
        <v>1888</v>
      </c>
      <c r="D528" s="772" t="s">
        <v>1858</v>
      </c>
      <c r="E528" s="772"/>
      <c r="F528" s="772"/>
      <c r="G528" s="772"/>
      <c r="H528" s="772"/>
    </row>
    <row r="529" spans="1:8" x14ac:dyDescent="0.25">
      <c r="A529" s="773"/>
      <c r="B529" s="772" t="s">
        <v>2874</v>
      </c>
      <c r="C529" s="772" t="s">
        <v>1889</v>
      </c>
      <c r="D529" s="772" t="s">
        <v>1858</v>
      </c>
      <c r="E529" s="772"/>
      <c r="F529" s="772"/>
      <c r="G529" s="772"/>
      <c r="H529" s="772"/>
    </row>
    <row r="530" spans="1:8" x14ac:dyDescent="0.25">
      <c r="A530" s="773"/>
      <c r="B530" s="772" t="s">
        <v>2875</v>
      </c>
      <c r="C530" s="772" t="s">
        <v>1890</v>
      </c>
      <c r="D530" s="772" t="s">
        <v>1701</v>
      </c>
      <c r="E530" s="772"/>
      <c r="F530" s="772"/>
      <c r="G530" s="772"/>
      <c r="H530" s="772"/>
    </row>
    <row r="531" spans="1:8" x14ac:dyDescent="0.25">
      <c r="A531" s="773"/>
      <c r="B531" s="772" t="s">
        <v>2876</v>
      </c>
      <c r="C531" s="772" t="s">
        <v>1891</v>
      </c>
      <c r="D531" s="772" t="s">
        <v>1701</v>
      </c>
      <c r="E531" s="772"/>
      <c r="F531" s="772"/>
      <c r="G531" s="772"/>
      <c r="H531" s="772"/>
    </row>
    <row r="532" spans="1:8" x14ac:dyDescent="0.25">
      <c r="A532" s="773"/>
      <c r="B532" s="772" t="s">
        <v>2877</v>
      </c>
      <c r="C532" s="772" t="s">
        <v>1892</v>
      </c>
      <c r="D532" s="772" t="s">
        <v>1701</v>
      </c>
      <c r="E532" s="772"/>
      <c r="F532" s="772"/>
      <c r="G532" s="772"/>
      <c r="H532" s="772"/>
    </row>
    <row r="533" spans="1:8" x14ac:dyDescent="0.25">
      <c r="A533" s="773"/>
      <c r="B533" s="772" t="s">
        <v>2878</v>
      </c>
      <c r="C533" s="772" t="s">
        <v>1893</v>
      </c>
      <c r="D533" s="772" t="s">
        <v>1701</v>
      </c>
      <c r="E533" s="772"/>
      <c r="F533" s="772"/>
      <c r="G533" s="772"/>
      <c r="H533" s="772"/>
    </row>
    <row r="534" spans="1:8" x14ac:dyDescent="0.25">
      <c r="A534" s="773"/>
      <c r="B534" s="772" t="s">
        <v>2879</v>
      </c>
      <c r="C534" s="772" t="s">
        <v>1894</v>
      </c>
      <c r="D534" s="772" t="s">
        <v>1701</v>
      </c>
      <c r="E534" s="772"/>
      <c r="F534" s="772"/>
      <c r="G534" s="772"/>
      <c r="H534" s="772"/>
    </row>
    <row r="535" spans="1:8" x14ac:dyDescent="0.25">
      <c r="B535" s="772" t="s">
        <v>2880</v>
      </c>
      <c r="C535" s="772" t="s">
        <v>1895</v>
      </c>
      <c r="D535" s="772" t="s">
        <v>1701</v>
      </c>
      <c r="E535" s="772"/>
      <c r="F535" s="772"/>
      <c r="G535" s="772"/>
      <c r="H535" s="772"/>
    </row>
    <row r="536" spans="1:8" x14ac:dyDescent="0.25">
      <c r="B536" s="772" t="s">
        <v>2881</v>
      </c>
      <c r="C536" s="772" t="s">
        <v>1896</v>
      </c>
      <c r="D536" s="772" t="s">
        <v>1701</v>
      </c>
      <c r="E536" s="772"/>
      <c r="F536" s="772"/>
      <c r="G536" s="772"/>
      <c r="H536" s="772"/>
    </row>
    <row r="537" spans="1:8" x14ac:dyDescent="0.25">
      <c r="B537" s="772" t="s">
        <v>2882</v>
      </c>
      <c r="C537" s="772" t="s">
        <v>1897</v>
      </c>
      <c r="D537" s="772" t="s">
        <v>1701</v>
      </c>
      <c r="E537" s="772"/>
      <c r="F537" s="772"/>
      <c r="G537" s="772"/>
      <c r="H537" s="772"/>
    </row>
    <row r="538" spans="1:8" x14ac:dyDescent="0.25">
      <c r="B538" s="772" t="s">
        <v>2883</v>
      </c>
      <c r="C538" s="772" t="s">
        <v>1898</v>
      </c>
      <c r="D538" s="772" t="s">
        <v>1701</v>
      </c>
      <c r="E538" s="772"/>
      <c r="F538" s="772"/>
      <c r="G538" s="772"/>
      <c r="H538" s="772"/>
    </row>
    <row r="539" spans="1:8" x14ac:dyDescent="0.25">
      <c r="B539" s="772" t="s">
        <v>2884</v>
      </c>
      <c r="C539" s="772" t="s">
        <v>1899</v>
      </c>
      <c r="D539" s="772" t="s">
        <v>1701</v>
      </c>
      <c r="E539" s="772"/>
      <c r="F539" s="772"/>
      <c r="G539" s="772"/>
      <c r="H539" s="772"/>
    </row>
    <row r="540" spans="1:8" x14ac:dyDescent="0.25">
      <c r="B540" s="772" t="s">
        <v>2885</v>
      </c>
      <c r="C540" s="772" t="s">
        <v>1900</v>
      </c>
      <c r="D540" s="772" t="s">
        <v>1701</v>
      </c>
      <c r="E540" s="772"/>
      <c r="F540" s="772"/>
      <c r="G540" s="772"/>
      <c r="H540" s="772"/>
    </row>
    <row r="541" spans="1:8" x14ac:dyDescent="0.25">
      <c r="B541" s="772" t="s">
        <v>2886</v>
      </c>
      <c r="C541" s="772" t="s">
        <v>1901</v>
      </c>
      <c r="D541" s="772" t="s">
        <v>1701</v>
      </c>
      <c r="E541" s="772"/>
      <c r="F541" s="772"/>
      <c r="G541" s="772"/>
      <c r="H541" s="772"/>
    </row>
    <row r="542" spans="1:8" x14ac:dyDescent="0.25">
      <c r="B542" s="772" t="s">
        <v>2887</v>
      </c>
      <c r="C542" s="772" t="s">
        <v>1902</v>
      </c>
      <c r="D542" s="772" t="s">
        <v>1701</v>
      </c>
      <c r="E542" s="772"/>
      <c r="F542" s="772"/>
      <c r="G542" s="772"/>
      <c r="H542" s="772"/>
    </row>
    <row r="543" spans="1:8" x14ac:dyDescent="0.25">
      <c r="B543" s="772" t="s">
        <v>2888</v>
      </c>
      <c r="C543" s="772" t="s">
        <v>1903</v>
      </c>
      <c r="D543" s="772" t="s">
        <v>1701</v>
      </c>
      <c r="E543" s="772"/>
      <c r="F543" s="772"/>
      <c r="G543" s="772"/>
      <c r="H543" s="772"/>
    </row>
    <row r="544" spans="1:8" x14ac:dyDescent="0.25">
      <c r="B544" s="772" t="s">
        <v>2889</v>
      </c>
      <c r="C544" s="772" t="s">
        <v>1904</v>
      </c>
      <c r="D544" s="772" t="s">
        <v>1701</v>
      </c>
      <c r="E544" s="772"/>
      <c r="F544" s="772"/>
      <c r="G544" s="772"/>
      <c r="H544" s="772"/>
    </row>
    <row r="545" spans="2:8" x14ac:dyDescent="0.25">
      <c r="B545" s="772" t="s">
        <v>2890</v>
      </c>
      <c r="C545" s="772" t="s">
        <v>1905</v>
      </c>
      <c r="D545" s="772" t="s">
        <v>1701</v>
      </c>
      <c r="E545" s="772"/>
      <c r="F545" s="772"/>
      <c r="G545" s="772"/>
      <c r="H545" s="772"/>
    </row>
    <row r="546" spans="2:8" x14ac:dyDescent="0.25">
      <c r="B546" s="772" t="s">
        <v>1906</v>
      </c>
      <c r="C546" s="772" t="s">
        <v>1907</v>
      </c>
      <c r="D546" s="772" t="s">
        <v>1019</v>
      </c>
      <c r="E546" s="772"/>
      <c r="F546" s="772"/>
      <c r="G546" s="772"/>
      <c r="H546" s="772"/>
    </row>
    <row r="547" spans="2:8" x14ac:dyDescent="0.25">
      <c r="B547" s="772" t="s">
        <v>2891</v>
      </c>
      <c r="C547" s="772" t="s">
        <v>1908</v>
      </c>
      <c r="D547" s="772" t="s">
        <v>1701</v>
      </c>
      <c r="E547" s="772"/>
      <c r="F547" s="772"/>
      <c r="G547" s="772"/>
      <c r="H547" s="772"/>
    </row>
    <row r="548" spans="2:8" x14ac:dyDescent="0.25">
      <c r="B548" s="772" t="s">
        <v>2892</v>
      </c>
      <c r="C548" s="772" t="s">
        <v>1909</v>
      </c>
      <c r="D548" s="772" t="s">
        <v>1701</v>
      </c>
      <c r="E548" s="772"/>
      <c r="F548" s="772"/>
      <c r="G548" s="772"/>
      <c r="H548" s="772"/>
    </row>
    <row r="549" spans="2:8" x14ac:dyDescent="0.25">
      <c r="B549" s="772" t="s">
        <v>1910</v>
      </c>
      <c r="C549" s="772" t="s">
        <v>1911</v>
      </c>
      <c r="D549" s="772" t="s">
        <v>1701</v>
      </c>
      <c r="E549" s="772"/>
      <c r="F549" s="772"/>
      <c r="G549" s="772"/>
      <c r="H549" s="772"/>
    </row>
    <row r="550" spans="2:8" x14ac:dyDescent="0.25">
      <c r="B550" s="772" t="s">
        <v>2893</v>
      </c>
      <c r="C550" s="772" t="s">
        <v>1912</v>
      </c>
      <c r="D550" s="772" t="s">
        <v>1019</v>
      </c>
      <c r="E550" s="772"/>
      <c r="F550" s="772"/>
      <c r="G550" s="772"/>
      <c r="H550" s="772"/>
    </row>
    <row r="551" spans="2:8" x14ac:dyDescent="0.25">
      <c r="B551" s="772" t="s">
        <v>2894</v>
      </c>
      <c r="C551" s="772" t="s">
        <v>1913</v>
      </c>
      <c r="D551" s="772" t="s">
        <v>1019</v>
      </c>
      <c r="E551" s="772"/>
      <c r="F551" s="772"/>
      <c r="G551" s="772"/>
      <c r="H551" s="772"/>
    </row>
    <row r="552" spans="2:8" x14ac:dyDescent="0.25">
      <c r="B552" s="772" t="s">
        <v>2895</v>
      </c>
      <c r="C552" s="772" t="s">
        <v>1914</v>
      </c>
      <c r="D552" s="772" t="s">
        <v>1019</v>
      </c>
      <c r="E552" s="772"/>
      <c r="F552" s="772"/>
      <c r="G552" s="772"/>
      <c r="H552" s="772"/>
    </row>
    <row r="553" spans="2:8" x14ac:dyDescent="0.25">
      <c r="B553" s="772" t="s">
        <v>2896</v>
      </c>
      <c r="C553" s="772" t="s">
        <v>1915</v>
      </c>
      <c r="D553" s="772" t="s">
        <v>1019</v>
      </c>
      <c r="E553" s="772"/>
      <c r="F553" s="772"/>
      <c r="G553" s="772"/>
      <c r="H553" s="772"/>
    </row>
    <row r="554" spans="2:8" x14ac:dyDescent="0.25">
      <c r="B554" s="772" t="s">
        <v>2897</v>
      </c>
      <c r="C554" s="772" t="s">
        <v>1916</v>
      </c>
      <c r="D554" s="772" t="s">
        <v>1701</v>
      </c>
      <c r="E554" s="772"/>
      <c r="F554" s="772"/>
      <c r="G554" s="772"/>
      <c r="H554" s="772"/>
    </row>
    <row r="555" spans="2:8" x14ac:dyDescent="0.25">
      <c r="B555" s="772" t="s">
        <v>2898</v>
      </c>
      <c r="C555" s="772" t="s">
        <v>1917</v>
      </c>
      <c r="D555" s="772" t="s">
        <v>1019</v>
      </c>
      <c r="E555" s="772"/>
      <c r="F555" s="772"/>
      <c r="G555" s="772"/>
      <c r="H555" s="772"/>
    </row>
    <row r="556" spans="2:8" x14ac:dyDescent="0.25">
      <c r="B556" s="772" t="s">
        <v>2899</v>
      </c>
      <c r="C556" s="772" t="s">
        <v>1918</v>
      </c>
      <c r="D556" s="772" t="s">
        <v>1019</v>
      </c>
      <c r="E556" s="772"/>
      <c r="F556" s="772"/>
      <c r="G556" s="772"/>
      <c r="H556" s="772"/>
    </row>
    <row r="557" spans="2:8" x14ac:dyDescent="0.25">
      <c r="B557" s="772" t="s">
        <v>2900</v>
      </c>
      <c r="C557" s="772" t="s">
        <v>1919</v>
      </c>
      <c r="D557" s="772" t="s">
        <v>1019</v>
      </c>
      <c r="E557" s="772"/>
      <c r="F557" s="772"/>
      <c r="G557" s="772"/>
      <c r="H557" s="772"/>
    </row>
    <row r="558" spans="2:8" x14ac:dyDescent="0.25">
      <c r="B558" s="772" t="s">
        <v>2901</v>
      </c>
      <c r="C558" s="772" t="s">
        <v>1920</v>
      </c>
      <c r="D558" s="772" t="s">
        <v>1019</v>
      </c>
      <c r="E558" s="772"/>
      <c r="F558" s="772"/>
      <c r="G558" s="772"/>
      <c r="H558" s="772"/>
    </row>
    <row r="559" spans="2:8" x14ac:dyDescent="0.25">
      <c r="B559" s="772" t="s">
        <v>2902</v>
      </c>
      <c r="C559" s="772" t="s">
        <v>1921</v>
      </c>
      <c r="D559" s="772" t="s">
        <v>1019</v>
      </c>
      <c r="E559" s="772"/>
      <c r="F559" s="772"/>
      <c r="G559" s="772"/>
      <c r="H559" s="772"/>
    </row>
    <row r="560" spans="2:8" x14ac:dyDescent="0.25">
      <c r="B560" s="772" t="s">
        <v>1922</v>
      </c>
      <c r="C560" s="772" t="s">
        <v>1923</v>
      </c>
      <c r="D560" s="772" t="s">
        <v>1019</v>
      </c>
      <c r="E560" s="772"/>
      <c r="F560" s="772"/>
      <c r="G560" s="772"/>
      <c r="H560" s="772"/>
    </row>
    <row r="561" spans="2:8" x14ac:dyDescent="0.25">
      <c r="B561" s="772" t="s">
        <v>2903</v>
      </c>
      <c r="C561" s="772" t="s">
        <v>1924</v>
      </c>
      <c r="D561" s="772" t="s">
        <v>1701</v>
      </c>
      <c r="E561" s="772"/>
      <c r="F561" s="772"/>
      <c r="G561" s="772"/>
      <c r="H561" s="772"/>
    </row>
    <row r="562" spans="2:8" x14ac:dyDescent="0.25">
      <c r="B562" s="772" t="s">
        <v>2904</v>
      </c>
      <c r="C562" s="772" t="s">
        <v>1925</v>
      </c>
      <c r="D562" s="772" t="s">
        <v>1701</v>
      </c>
      <c r="E562" s="772"/>
      <c r="F562" s="772"/>
      <c r="G562" s="772"/>
      <c r="H562" s="772"/>
    </row>
    <row r="563" spans="2:8" x14ac:dyDescent="0.25">
      <c r="B563" s="772" t="s">
        <v>2905</v>
      </c>
      <c r="C563" s="772" t="s">
        <v>1926</v>
      </c>
      <c r="D563" s="772" t="s">
        <v>1701</v>
      </c>
      <c r="E563" s="772"/>
      <c r="F563" s="772"/>
      <c r="G563" s="772"/>
      <c r="H563" s="772"/>
    </row>
    <row r="564" spans="2:8" x14ac:dyDescent="0.25">
      <c r="B564" s="772" t="s">
        <v>2906</v>
      </c>
      <c r="C564" s="772" t="s">
        <v>1927</v>
      </c>
      <c r="D564" s="772" t="s">
        <v>1701</v>
      </c>
      <c r="E564" s="772"/>
      <c r="F564" s="772"/>
      <c r="G564" s="772"/>
      <c r="H564" s="772"/>
    </row>
    <row r="565" spans="2:8" x14ac:dyDescent="0.25">
      <c r="B565" s="772" t="s">
        <v>2907</v>
      </c>
      <c r="C565" s="772" t="s">
        <v>1928</v>
      </c>
      <c r="D565" s="772" t="s">
        <v>1701</v>
      </c>
      <c r="E565" s="772"/>
      <c r="F565" s="772"/>
      <c r="G565" s="772"/>
      <c r="H565" s="772"/>
    </row>
    <row r="566" spans="2:8" x14ac:dyDescent="0.25">
      <c r="B566" s="772" t="s">
        <v>2908</v>
      </c>
      <c r="C566" s="772" t="s">
        <v>1929</v>
      </c>
      <c r="D566" s="772" t="s">
        <v>1701</v>
      </c>
      <c r="E566" s="772"/>
      <c r="F566" s="772"/>
      <c r="G566" s="772"/>
      <c r="H566" s="772"/>
    </row>
    <row r="567" spans="2:8" x14ac:dyDescent="0.25">
      <c r="B567" s="772" t="s">
        <v>2909</v>
      </c>
      <c r="C567" s="772" t="s">
        <v>1930</v>
      </c>
      <c r="D567" s="772" t="s">
        <v>1701</v>
      </c>
      <c r="E567" s="772"/>
      <c r="F567" s="772"/>
      <c r="G567" s="772"/>
      <c r="H567" s="772"/>
    </row>
    <row r="568" spans="2:8" x14ac:dyDescent="0.25">
      <c r="B568" s="772" t="s">
        <v>2910</v>
      </c>
      <c r="C568" s="772" t="s">
        <v>1931</v>
      </c>
      <c r="D568" s="772" t="s">
        <v>1701</v>
      </c>
      <c r="E568" s="772"/>
      <c r="F568" s="772"/>
      <c r="G568" s="772"/>
      <c r="H568" s="772"/>
    </row>
    <row r="569" spans="2:8" x14ac:dyDescent="0.25">
      <c r="B569" s="772" t="s">
        <v>2911</v>
      </c>
      <c r="C569" s="772" t="s">
        <v>1932</v>
      </c>
      <c r="D569" s="772" t="s">
        <v>1701</v>
      </c>
      <c r="E569" s="772"/>
      <c r="F569" s="772"/>
      <c r="G569" s="772"/>
      <c r="H569" s="772"/>
    </row>
    <row r="570" spans="2:8" x14ac:dyDescent="0.25">
      <c r="B570" s="772" t="s">
        <v>2912</v>
      </c>
      <c r="C570" s="772" t="s">
        <v>1933</v>
      </c>
      <c r="D570" s="772" t="s">
        <v>1701</v>
      </c>
      <c r="E570" s="772"/>
      <c r="F570" s="772"/>
      <c r="G570" s="772"/>
      <c r="H570" s="772"/>
    </row>
    <row r="571" spans="2:8" x14ac:dyDescent="0.25">
      <c r="B571" s="772" t="s">
        <v>2913</v>
      </c>
      <c r="C571" s="772" t="s">
        <v>1934</v>
      </c>
      <c r="D571" s="772" t="s">
        <v>1701</v>
      </c>
      <c r="E571" s="772"/>
      <c r="F571" s="772"/>
      <c r="G571" s="772"/>
      <c r="H571" s="772"/>
    </row>
    <row r="572" spans="2:8" x14ac:dyDescent="0.25">
      <c r="B572" s="772" t="s">
        <v>2914</v>
      </c>
      <c r="C572" s="772" t="s">
        <v>1935</v>
      </c>
      <c r="D572" s="772" t="s">
        <v>1019</v>
      </c>
      <c r="E572" s="772"/>
      <c r="F572" s="772"/>
      <c r="G572" s="772"/>
      <c r="H572" s="772"/>
    </row>
    <row r="573" spans="2:8" x14ac:dyDescent="0.25">
      <c r="B573" s="772" t="s">
        <v>2915</v>
      </c>
      <c r="C573" s="772" t="s">
        <v>1936</v>
      </c>
      <c r="D573" s="772" t="s">
        <v>1701</v>
      </c>
      <c r="E573" s="772"/>
      <c r="F573" s="772"/>
      <c r="G573" s="772"/>
      <c r="H573" s="772"/>
    </row>
    <row r="574" spans="2:8" x14ac:dyDescent="0.25">
      <c r="B574" s="772" t="s">
        <v>2729</v>
      </c>
      <c r="C574" s="772" t="s">
        <v>1683</v>
      </c>
      <c r="D574" s="772" t="s">
        <v>1937</v>
      </c>
      <c r="E574" s="772"/>
      <c r="F574" s="772"/>
      <c r="G574" s="772"/>
      <c r="H574" s="772"/>
    </row>
    <row r="575" spans="2:8" x14ac:dyDescent="0.25">
      <c r="B575" s="772" t="s">
        <v>2730</v>
      </c>
      <c r="C575" s="772" t="s">
        <v>1684</v>
      </c>
      <c r="D575" s="772" t="s">
        <v>1938</v>
      </c>
      <c r="E575" s="772"/>
      <c r="F575" s="772"/>
      <c r="G575" s="772"/>
      <c r="H575" s="772"/>
    </row>
    <row r="576" spans="2:8" x14ac:dyDescent="0.25">
      <c r="B576" s="772" t="s">
        <v>2731</v>
      </c>
      <c r="C576" s="772" t="s">
        <v>1685</v>
      </c>
      <c r="D576" s="772" t="s">
        <v>1686</v>
      </c>
      <c r="E576" s="772"/>
      <c r="F576" s="772"/>
      <c r="G576" s="772"/>
      <c r="H576" s="772"/>
    </row>
    <row r="577" spans="2:8" x14ac:dyDescent="0.25">
      <c r="B577" s="772" t="s">
        <v>2740</v>
      </c>
      <c r="C577" s="772" t="s">
        <v>1705</v>
      </c>
      <c r="D577" s="772" t="s">
        <v>1689</v>
      </c>
      <c r="E577" s="772"/>
      <c r="F577" s="772"/>
      <c r="G577" s="772"/>
      <c r="H577" s="772"/>
    </row>
    <row r="578" spans="2:8" x14ac:dyDescent="0.25">
      <c r="B578" s="772" t="s">
        <v>2748</v>
      </c>
      <c r="C578" s="772" t="s">
        <v>1715</v>
      </c>
      <c r="D578" s="772" t="s">
        <v>943</v>
      </c>
      <c r="E578" s="772"/>
      <c r="F578" s="772"/>
      <c r="G578" s="772"/>
      <c r="H578" s="772"/>
    </row>
    <row r="579" spans="2:8" x14ac:dyDescent="0.25">
      <c r="B579" s="772" t="s">
        <v>2782</v>
      </c>
      <c r="C579" s="772" t="s">
        <v>1759</v>
      </c>
      <c r="D579" s="772" t="s">
        <v>1701</v>
      </c>
      <c r="E579" s="772"/>
      <c r="F579" s="772"/>
      <c r="G579" s="772"/>
      <c r="H579" s="772"/>
    </row>
    <row r="580" spans="2:8" x14ac:dyDescent="0.25">
      <c r="B580" s="772" t="s">
        <v>2916</v>
      </c>
      <c r="C580" s="772" t="s">
        <v>1939</v>
      </c>
      <c r="D580" s="772" t="s">
        <v>1701</v>
      </c>
      <c r="E580" s="772"/>
      <c r="F580" s="772"/>
      <c r="G580" s="772"/>
      <c r="H580" s="772"/>
    </row>
    <row r="581" spans="2:8" x14ac:dyDescent="0.25">
      <c r="B581" s="772" t="s">
        <v>1940</v>
      </c>
      <c r="C581" s="772" t="s">
        <v>1941</v>
      </c>
      <c r="D581" s="772" t="s">
        <v>1686</v>
      </c>
      <c r="E581" s="772"/>
      <c r="F581" s="772"/>
      <c r="G581" s="772"/>
      <c r="H581" s="772"/>
    </row>
    <row r="582" spans="2:8" x14ac:dyDescent="0.25">
      <c r="B582" s="772" t="s">
        <v>2917</v>
      </c>
      <c r="C582" s="772" t="s">
        <v>1942</v>
      </c>
      <c r="D582" s="772" t="s">
        <v>1701</v>
      </c>
      <c r="E582" s="772"/>
      <c r="F582" s="772"/>
      <c r="G582" s="772"/>
      <c r="H582" s="772"/>
    </row>
    <row r="583" spans="2:8" x14ac:dyDescent="0.25">
      <c r="B583" s="772" t="s">
        <v>2918</v>
      </c>
      <c r="C583" s="772" t="s">
        <v>1943</v>
      </c>
      <c r="D583" s="772" t="s">
        <v>1019</v>
      </c>
      <c r="E583" s="772"/>
      <c r="F583" s="772"/>
      <c r="G583" s="772"/>
      <c r="H583" s="772"/>
    </row>
    <row r="584" spans="2:8" x14ac:dyDescent="0.25">
      <c r="B584" s="772" t="s">
        <v>2919</v>
      </c>
      <c r="C584" s="772" t="s">
        <v>1944</v>
      </c>
      <c r="D584" s="772" t="s">
        <v>1019</v>
      </c>
      <c r="E584" s="772"/>
      <c r="F584" s="772"/>
      <c r="G584" s="772"/>
      <c r="H584" s="772"/>
    </row>
    <row r="585" spans="2:8" x14ac:dyDescent="0.25">
      <c r="B585" s="772" t="s">
        <v>2920</v>
      </c>
      <c r="C585" s="772" t="s">
        <v>1945</v>
      </c>
      <c r="D585" s="772" t="s">
        <v>1701</v>
      </c>
      <c r="E585" s="772"/>
      <c r="F585" s="772"/>
      <c r="G585" s="772"/>
      <c r="H585" s="772"/>
    </row>
    <row r="586" spans="2:8" x14ac:dyDescent="0.25">
      <c r="B586" s="772" t="s">
        <v>2921</v>
      </c>
      <c r="C586" s="772" t="s">
        <v>1946</v>
      </c>
      <c r="D586" s="772" t="s">
        <v>1019</v>
      </c>
      <c r="E586" s="772"/>
      <c r="F586" s="772"/>
      <c r="G586" s="772"/>
      <c r="H586" s="772"/>
    </row>
    <row r="587" spans="2:8" x14ac:dyDescent="0.25">
      <c r="B587" s="772" t="s">
        <v>2922</v>
      </c>
      <c r="C587" s="772" t="s">
        <v>1947</v>
      </c>
      <c r="D587" s="772" t="s">
        <v>1019</v>
      </c>
      <c r="E587" s="772"/>
      <c r="F587" s="772"/>
      <c r="G587" s="772"/>
      <c r="H587" s="772"/>
    </row>
    <row r="588" spans="2:8" x14ac:dyDescent="0.25">
      <c r="B588" s="772" t="s">
        <v>2923</v>
      </c>
      <c r="C588" s="772" t="s">
        <v>1948</v>
      </c>
      <c r="D588" s="772" t="s">
        <v>1019</v>
      </c>
      <c r="E588" s="772"/>
      <c r="F588" s="772"/>
      <c r="G588" s="772"/>
      <c r="H588" s="772"/>
    </row>
    <row r="589" spans="2:8" x14ac:dyDescent="0.25">
      <c r="B589" s="772" t="s">
        <v>1949</v>
      </c>
      <c r="C589" s="772" t="s">
        <v>1950</v>
      </c>
      <c r="D589" s="772" t="s">
        <v>1951</v>
      </c>
      <c r="E589" s="772"/>
      <c r="F589" s="772"/>
      <c r="G589" s="772"/>
      <c r="H589" s="772"/>
    </row>
    <row r="590" spans="2:8" x14ac:dyDescent="0.25">
      <c r="B590" s="772" t="s">
        <v>1952</v>
      </c>
      <c r="C590" s="772" t="s">
        <v>1953</v>
      </c>
      <c r="D590" s="772" t="s">
        <v>1951</v>
      </c>
      <c r="E590" s="772"/>
      <c r="F590" s="772"/>
      <c r="G590" s="772"/>
      <c r="H590" s="772"/>
    </row>
    <row r="591" spans="2:8" x14ac:dyDescent="0.25">
      <c r="B591" s="772" t="s">
        <v>2924</v>
      </c>
      <c r="C591" s="772" t="s">
        <v>1954</v>
      </c>
      <c r="D591" s="772" t="s">
        <v>1701</v>
      </c>
      <c r="E591" s="772"/>
      <c r="F591" s="772"/>
      <c r="G591" s="772"/>
      <c r="H591" s="772"/>
    </row>
    <row r="592" spans="2:8" x14ac:dyDescent="0.25">
      <c r="B592" s="772" t="s">
        <v>2925</v>
      </c>
      <c r="C592" s="772" t="s">
        <v>1955</v>
      </c>
      <c r="D592" s="772" t="s">
        <v>1019</v>
      </c>
      <c r="E592" s="772"/>
      <c r="F592" s="772"/>
      <c r="G592" s="772"/>
      <c r="H592" s="772"/>
    </row>
    <row r="593" spans="2:8" x14ac:dyDescent="0.25">
      <c r="B593" s="772" t="s">
        <v>2926</v>
      </c>
      <c r="C593" s="772" t="s">
        <v>1956</v>
      </c>
      <c r="D593" s="772" t="s">
        <v>1019</v>
      </c>
      <c r="E593" s="772"/>
      <c r="F593" s="772"/>
      <c r="G593" s="772"/>
      <c r="H593" s="772"/>
    </row>
    <row r="594" spans="2:8" x14ac:dyDescent="0.25">
      <c r="B594" s="772" t="s">
        <v>2927</v>
      </c>
      <c r="C594" s="772" t="s">
        <v>1957</v>
      </c>
      <c r="D594" s="772" t="s">
        <v>1019</v>
      </c>
      <c r="E594" s="772"/>
      <c r="F594" s="772"/>
      <c r="G594" s="772"/>
      <c r="H594" s="772"/>
    </row>
    <row r="595" spans="2:8" x14ac:dyDescent="0.25">
      <c r="B595" s="772" t="s">
        <v>2928</v>
      </c>
      <c r="C595" s="772" t="s">
        <v>1958</v>
      </c>
      <c r="D595" s="772" t="s">
        <v>1019</v>
      </c>
      <c r="E595" s="772"/>
      <c r="F595" s="772"/>
      <c r="G595" s="772"/>
      <c r="H595" s="772"/>
    </row>
    <row r="596" spans="2:8" x14ac:dyDescent="0.25">
      <c r="B596" s="772" t="s">
        <v>2929</v>
      </c>
      <c r="C596" s="772" t="s">
        <v>1959</v>
      </c>
      <c r="D596" s="772" t="s">
        <v>1019</v>
      </c>
      <c r="E596" s="772"/>
      <c r="F596" s="772"/>
      <c r="G596" s="772"/>
      <c r="H596" s="772"/>
    </row>
    <row r="597" spans="2:8" x14ac:dyDescent="0.25">
      <c r="B597" s="772" t="s">
        <v>2930</v>
      </c>
      <c r="C597" s="772" t="s">
        <v>1960</v>
      </c>
      <c r="D597" s="772" t="s">
        <v>1696</v>
      </c>
      <c r="E597" s="772"/>
      <c r="F597" s="772"/>
      <c r="G597" s="772"/>
      <c r="H597" s="772"/>
    </row>
    <row r="598" spans="2:8" x14ac:dyDescent="0.25">
      <c r="B598" s="772" t="s">
        <v>2931</v>
      </c>
      <c r="C598" s="772" t="s">
        <v>1961</v>
      </c>
      <c r="D598" s="772" t="s">
        <v>1696</v>
      </c>
      <c r="E598" s="772"/>
      <c r="F598" s="772"/>
      <c r="G598" s="772"/>
      <c r="H598" s="772"/>
    </row>
    <row r="599" spans="2:8" x14ac:dyDescent="0.25">
      <c r="B599" s="772" t="s">
        <v>2932</v>
      </c>
      <c r="C599" s="772" t="s">
        <v>1962</v>
      </c>
      <c r="D599" s="772" t="s">
        <v>1696</v>
      </c>
      <c r="E599" s="772"/>
      <c r="F599" s="772"/>
      <c r="G599" s="772"/>
      <c r="H599" s="772"/>
    </row>
    <row r="600" spans="2:8" x14ac:dyDescent="0.25">
      <c r="B600" s="772" t="s">
        <v>2933</v>
      </c>
      <c r="C600" s="772" t="s">
        <v>1963</v>
      </c>
      <c r="D600" s="772" t="s">
        <v>1696</v>
      </c>
      <c r="E600" s="772"/>
      <c r="F600" s="772"/>
      <c r="G600" s="772"/>
      <c r="H600" s="772"/>
    </row>
    <row r="601" spans="2:8" x14ac:dyDescent="0.25">
      <c r="B601" s="772" t="s">
        <v>2934</v>
      </c>
      <c r="C601" s="772" t="s">
        <v>1964</v>
      </c>
      <c r="D601" s="772" t="s">
        <v>1696</v>
      </c>
      <c r="E601" s="772"/>
      <c r="F601" s="772"/>
      <c r="G601" s="772"/>
      <c r="H601" s="772"/>
    </row>
    <row r="602" spans="2:8" x14ac:dyDescent="0.25">
      <c r="B602" s="772" t="s">
        <v>2935</v>
      </c>
      <c r="C602" s="772" t="s">
        <v>1965</v>
      </c>
      <c r="D602" s="772" t="s">
        <v>1019</v>
      </c>
      <c r="E602" s="772"/>
      <c r="F602" s="772"/>
      <c r="G602" s="772"/>
      <c r="H602" s="772"/>
    </row>
    <row r="603" spans="2:8" x14ac:dyDescent="0.25">
      <c r="B603" s="772" t="s">
        <v>2936</v>
      </c>
      <c r="C603" s="772" t="s">
        <v>1966</v>
      </c>
      <c r="D603" s="772" t="s">
        <v>1019</v>
      </c>
      <c r="E603" s="772"/>
      <c r="F603" s="772"/>
      <c r="G603" s="772"/>
      <c r="H603" s="772"/>
    </row>
    <row r="604" spans="2:8" x14ac:dyDescent="0.25">
      <c r="B604" s="772" t="s">
        <v>2937</v>
      </c>
      <c r="C604" s="772" t="s">
        <v>1967</v>
      </c>
      <c r="D604" s="772" t="s">
        <v>1019</v>
      </c>
      <c r="E604" s="772"/>
      <c r="F604" s="772"/>
      <c r="G604" s="772"/>
      <c r="H604" s="772"/>
    </row>
    <row r="605" spans="2:8" x14ac:dyDescent="0.25">
      <c r="B605" s="772" t="s">
        <v>2938</v>
      </c>
      <c r="C605" s="772" t="s">
        <v>1968</v>
      </c>
      <c r="D605" s="772" t="s">
        <v>1701</v>
      </c>
      <c r="E605" s="772"/>
      <c r="F605" s="772"/>
      <c r="G605" s="772"/>
      <c r="H605" s="772"/>
    </row>
    <row r="606" spans="2:8" x14ac:dyDescent="0.25">
      <c r="B606" s="772" t="s">
        <v>2939</v>
      </c>
      <c r="C606" s="772" t="s">
        <v>1969</v>
      </c>
      <c r="D606" s="772" t="s">
        <v>1019</v>
      </c>
      <c r="E606" s="772"/>
      <c r="F606" s="772"/>
      <c r="G606" s="772"/>
      <c r="H606" s="772"/>
    </row>
    <row r="607" spans="2:8" x14ac:dyDescent="0.25">
      <c r="B607" s="772" t="s">
        <v>2940</v>
      </c>
      <c r="C607" s="772" t="s">
        <v>1970</v>
      </c>
      <c r="D607" s="772" t="s">
        <v>1019</v>
      </c>
      <c r="E607" s="772"/>
      <c r="F607" s="772"/>
      <c r="G607" s="772"/>
      <c r="H607" s="772"/>
    </row>
    <row r="608" spans="2:8" x14ac:dyDescent="0.25">
      <c r="B608" s="772" t="s">
        <v>2941</v>
      </c>
      <c r="C608" s="772" t="s">
        <v>1971</v>
      </c>
      <c r="D608" s="772" t="s">
        <v>1019</v>
      </c>
      <c r="E608" s="772"/>
      <c r="F608" s="772"/>
      <c r="G608" s="772"/>
      <c r="H608" s="772"/>
    </row>
    <row r="609" spans="2:8" x14ac:dyDescent="0.25">
      <c r="B609" s="772" t="s">
        <v>1972</v>
      </c>
      <c r="C609" s="772" t="s">
        <v>1973</v>
      </c>
      <c r="D609" s="772" t="s">
        <v>1701</v>
      </c>
      <c r="E609" s="772"/>
      <c r="F609" s="772"/>
      <c r="G609" s="772"/>
      <c r="H609" s="772"/>
    </row>
    <row r="610" spans="2:8" x14ac:dyDescent="0.25">
      <c r="B610" s="772" t="s">
        <v>2942</v>
      </c>
      <c r="C610" s="772" t="s">
        <v>1974</v>
      </c>
      <c r="D610" s="772" t="s">
        <v>1701</v>
      </c>
      <c r="E610" s="772"/>
      <c r="F610" s="772"/>
      <c r="G610" s="772"/>
      <c r="H610" s="772"/>
    </row>
    <row r="611" spans="2:8" x14ac:dyDescent="0.25">
      <c r="B611" s="772" t="s">
        <v>2943</v>
      </c>
      <c r="C611" s="772" t="s">
        <v>1975</v>
      </c>
      <c r="D611" s="772" t="s">
        <v>1858</v>
      </c>
      <c r="E611" s="772"/>
      <c r="F611" s="772"/>
      <c r="G611" s="772"/>
      <c r="H611" s="772"/>
    </row>
    <row r="612" spans="2:8" x14ac:dyDescent="0.25">
      <c r="B612" s="772" t="s">
        <v>2944</v>
      </c>
      <c r="C612" s="772" t="s">
        <v>1976</v>
      </c>
      <c r="D612" s="772" t="s">
        <v>1019</v>
      </c>
      <c r="E612" s="772"/>
      <c r="F612" s="772"/>
      <c r="G612" s="772"/>
      <c r="H612" s="772"/>
    </row>
    <row r="613" spans="2:8" x14ac:dyDescent="0.25">
      <c r="B613" s="772" t="s">
        <v>2945</v>
      </c>
      <c r="C613" s="772" t="s">
        <v>1977</v>
      </c>
      <c r="D613" s="772" t="s">
        <v>1019</v>
      </c>
      <c r="E613" s="772"/>
      <c r="F613" s="772"/>
      <c r="G613" s="772"/>
      <c r="H613" s="772"/>
    </row>
    <row r="614" spans="2:8" x14ac:dyDescent="0.25">
      <c r="B614" s="772" t="s">
        <v>2946</v>
      </c>
      <c r="C614" s="772" t="s">
        <v>1978</v>
      </c>
      <c r="D614" s="772" t="s">
        <v>1019</v>
      </c>
      <c r="E614" s="772"/>
      <c r="F614" s="772"/>
      <c r="G614" s="772"/>
      <c r="H614" s="772"/>
    </row>
    <row r="615" spans="2:8" x14ac:dyDescent="0.25">
      <c r="B615" s="772" t="s">
        <v>2947</v>
      </c>
      <c r="C615" s="772" t="s">
        <v>1979</v>
      </c>
      <c r="D615" s="772" t="s">
        <v>1019</v>
      </c>
      <c r="E615" s="772"/>
      <c r="F615" s="772"/>
      <c r="G615" s="772"/>
      <c r="H615" s="772"/>
    </row>
    <row r="616" spans="2:8" x14ac:dyDescent="0.25">
      <c r="B616" s="772" t="s">
        <v>1980</v>
      </c>
      <c r="C616" s="772" t="s">
        <v>1981</v>
      </c>
      <c r="D616" s="772" t="s">
        <v>1019</v>
      </c>
      <c r="E616" s="772"/>
      <c r="F616" s="772"/>
      <c r="G616" s="772"/>
      <c r="H616" s="772"/>
    </row>
    <row r="617" spans="2:8" x14ac:dyDescent="0.25">
      <c r="B617" s="772" t="s">
        <v>2948</v>
      </c>
      <c r="C617" s="772" t="s">
        <v>1982</v>
      </c>
      <c r="D617" s="772" t="s">
        <v>1019</v>
      </c>
      <c r="E617" s="772"/>
      <c r="F617" s="772"/>
      <c r="G617" s="772"/>
      <c r="H617" s="772"/>
    </row>
    <row r="618" spans="2:8" x14ac:dyDescent="0.25">
      <c r="B618" s="772" t="s">
        <v>2949</v>
      </c>
      <c r="C618" s="772" t="s">
        <v>1983</v>
      </c>
      <c r="D618" s="772" t="s">
        <v>1019</v>
      </c>
      <c r="E618" s="772"/>
      <c r="F618" s="772"/>
      <c r="G618" s="772"/>
      <c r="H618" s="772"/>
    </row>
    <row r="619" spans="2:8" x14ac:dyDescent="0.25">
      <c r="B619" s="772" t="s">
        <v>2950</v>
      </c>
      <c r="C619" s="772" t="s">
        <v>1984</v>
      </c>
      <c r="D619" s="772" t="s">
        <v>1019</v>
      </c>
      <c r="E619" s="772"/>
      <c r="F619" s="772"/>
      <c r="G619" s="772"/>
      <c r="H619" s="772"/>
    </row>
    <row r="620" spans="2:8" x14ac:dyDescent="0.25">
      <c r="B620" s="772" t="s">
        <v>2951</v>
      </c>
      <c r="C620" s="772" t="s">
        <v>1985</v>
      </c>
      <c r="D620" s="772" t="s">
        <v>1019</v>
      </c>
      <c r="E620" s="772"/>
      <c r="F620" s="772"/>
      <c r="G620" s="772"/>
      <c r="H620" s="772"/>
    </row>
    <row r="621" spans="2:8" x14ac:dyDescent="0.25">
      <c r="B621" s="772" t="s">
        <v>2952</v>
      </c>
      <c r="C621" s="772" t="s">
        <v>1986</v>
      </c>
      <c r="D621" s="772" t="s">
        <v>1019</v>
      </c>
      <c r="E621" s="772"/>
      <c r="F621" s="772"/>
      <c r="G621" s="772"/>
      <c r="H621" s="772"/>
    </row>
    <row r="622" spans="2:8" x14ac:dyDescent="0.25">
      <c r="B622" s="772" t="s">
        <v>2953</v>
      </c>
      <c r="C622" s="772" t="s">
        <v>1987</v>
      </c>
      <c r="D622" s="772" t="s">
        <v>1019</v>
      </c>
      <c r="E622" s="772"/>
      <c r="F622" s="772"/>
      <c r="G622" s="772"/>
      <c r="H622" s="772"/>
    </row>
    <row r="623" spans="2:8" x14ac:dyDescent="0.25">
      <c r="B623" s="772" t="s">
        <v>2954</v>
      </c>
      <c r="C623" s="772" t="s">
        <v>1988</v>
      </c>
      <c r="D623" s="772" t="s">
        <v>1019</v>
      </c>
      <c r="E623" s="772"/>
      <c r="F623" s="772"/>
      <c r="G623" s="772"/>
      <c r="H623" s="772"/>
    </row>
    <row r="624" spans="2:8" x14ac:dyDescent="0.25">
      <c r="B624" s="772" t="s">
        <v>2955</v>
      </c>
      <c r="C624" s="772" t="s">
        <v>1989</v>
      </c>
      <c r="D624" s="772" t="s">
        <v>1858</v>
      </c>
      <c r="E624" s="772"/>
      <c r="F624" s="772"/>
      <c r="G624" s="772"/>
      <c r="H624" s="772"/>
    </row>
    <row r="625" spans="2:8" x14ac:dyDescent="0.25">
      <c r="B625" s="772" t="s">
        <v>1990</v>
      </c>
      <c r="C625" s="772" t="s">
        <v>1991</v>
      </c>
      <c r="D625" s="772" t="s">
        <v>1858</v>
      </c>
      <c r="E625" s="772"/>
      <c r="F625" s="772"/>
      <c r="G625" s="772"/>
      <c r="H625" s="772"/>
    </row>
    <row r="626" spans="2:8" x14ac:dyDescent="0.25">
      <c r="B626" s="772" t="s">
        <v>2956</v>
      </c>
      <c r="C626" s="772" t="s">
        <v>1992</v>
      </c>
      <c r="D626" s="772" t="s">
        <v>1858</v>
      </c>
      <c r="E626" s="772"/>
      <c r="F626" s="772"/>
      <c r="G626" s="772"/>
      <c r="H626" s="772"/>
    </row>
    <row r="627" spans="2:8" x14ac:dyDescent="0.25">
      <c r="B627" s="772" t="s">
        <v>2957</v>
      </c>
      <c r="C627" s="772" t="s">
        <v>1993</v>
      </c>
      <c r="D627" s="772" t="s">
        <v>1858</v>
      </c>
      <c r="E627" s="772"/>
      <c r="F627" s="772"/>
      <c r="G627" s="772"/>
      <c r="H627" s="772"/>
    </row>
    <row r="628" spans="2:8" x14ac:dyDescent="0.25">
      <c r="B628" s="772" t="s">
        <v>2958</v>
      </c>
      <c r="C628" s="772" t="s">
        <v>1994</v>
      </c>
      <c r="D628" s="772" t="s">
        <v>1019</v>
      </c>
      <c r="E628" s="772"/>
      <c r="F628" s="772"/>
      <c r="G628" s="772"/>
      <c r="H628" s="772"/>
    </row>
    <row r="629" spans="2:8" x14ac:dyDescent="0.25">
      <c r="B629" s="772" t="s">
        <v>2959</v>
      </c>
      <c r="C629" s="772" t="s">
        <v>1995</v>
      </c>
      <c r="D629" s="772" t="s">
        <v>1858</v>
      </c>
      <c r="E629" s="772"/>
      <c r="F629" s="772"/>
      <c r="G629" s="772"/>
      <c r="H629" s="772"/>
    </row>
    <row r="630" spans="2:8" x14ac:dyDescent="0.25">
      <c r="B630" s="772" t="s">
        <v>2960</v>
      </c>
      <c r="C630" s="772" t="s">
        <v>1996</v>
      </c>
      <c r="D630" s="772" t="s">
        <v>1858</v>
      </c>
      <c r="E630" s="772"/>
      <c r="F630" s="772"/>
      <c r="G630" s="772"/>
      <c r="H630" s="772"/>
    </row>
    <row r="631" spans="2:8" x14ac:dyDescent="0.25">
      <c r="B631" s="772" t="s">
        <v>2961</v>
      </c>
      <c r="C631" s="772" t="s">
        <v>1997</v>
      </c>
      <c r="D631" s="772" t="s">
        <v>1858</v>
      </c>
      <c r="E631" s="772"/>
      <c r="F631" s="772"/>
      <c r="G631" s="772"/>
      <c r="H631" s="772"/>
    </row>
    <row r="632" spans="2:8" x14ac:dyDescent="0.25">
      <c r="B632" s="772" t="s">
        <v>2962</v>
      </c>
      <c r="C632" s="772" t="s">
        <v>1998</v>
      </c>
      <c r="D632" s="772" t="s">
        <v>1019</v>
      </c>
      <c r="E632" s="772"/>
      <c r="F632" s="772"/>
      <c r="G632" s="772"/>
      <c r="H632" s="772"/>
    </row>
    <row r="633" spans="2:8" x14ac:dyDescent="0.25">
      <c r="B633" s="772" t="s">
        <v>2963</v>
      </c>
      <c r="C633" s="772" t="s">
        <v>1999</v>
      </c>
      <c r="D633" s="772" t="s">
        <v>1019</v>
      </c>
      <c r="E633" s="772"/>
      <c r="F633" s="772"/>
      <c r="G633" s="772"/>
      <c r="H633" s="772"/>
    </row>
    <row r="634" spans="2:8" x14ac:dyDescent="0.25">
      <c r="B634" s="772" t="s">
        <v>2964</v>
      </c>
      <c r="C634" s="772" t="s">
        <v>2000</v>
      </c>
      <c r="D634" s="772" t="s">
        <v>1689</v>
      </c>
      <c r="E634" s="772"/>
      <c r="F634" s="772"/>
      <c r="G634" s="772"/>
      <c r="H634" s="772"/>
    </row>
    <row r="635" spans="2:8" x14ac:dyDescent="0.25">
      <c r="B635" s="772" t="s">
        <v>2965</v>
      </c>
      <c r="C635" s="772" t="s">
        <v>2001</v>
      </c>
      <c r="D635" s="772" t="s">
        <v>1689</v>
      </c>
      <c r="E635" s="772"/>
      <c r="F635" s="772"/>
      <c r="G635" s="772"/>
      <c r="H635" s="772"/>
    </row>
    <row r="636" spans="2:8" x14ac:dyDescent="0.25">
      <c r="B636" s="772" t="s">
        <v>2966</v>
      </c>
      <c r="C636" s="772" t="s">
        <v>2002</v>
      </c>
      <c r="D636" s="772" t="s">
        <v>1689</v>
      </c>
      <c r="E636" s="772"/>
      <c r="F636" s="772"/>
      <c r="G636" s="772"/>
      <c r="H636" s="772"/>
    </row>
    <row r="637" spans="2:8" x14ac:dyDescent="0.25">
      <c r="B637" s="772" t="s">
        <v>2967</v>
      </c>
      <c r="C637" s="772" t="s">
        <v>2003</v>
      </c>
      <c r="D637" s="772" t="s">
        <v>1019</v>
      </c>
      <c r="E637" s="772"/>
      <c r="F637" s="772"/>
      <c r="G637" s="772"/>
      <c r="H637" s="772"/>
    </row>
    <row r="638" spans="2:8" x14ac:dyDescent="0.25">
      <c r="B638" s="772" t="s">
        <v>2968</v>
      </c>
      <c r="C638" s="772" t="s">
        <v>2004</v>
      </c>
      <c r="D638" s="772" t="s">
        <v>1019</v>
      </c>
      <c r="E638" s="772"/>
      <c r="F638" s="772"/>
      <c r="G638" s="772"/>
      <c r="H638" s="772"/>
    </row>
    <row r="639" spans="2:8" x14ac:dyDescent="0.25">
      <c r="B639" s="772" t="s">
        <v>2969</v>
      </c>
      <c r="C639" s="772" t="s">
        <v>2005</v>
      </c>
      <c r="D639" s="772" t="s">
        <v>1019</v>
      </c>
      <c r="E639" s="772"/>
      <c r="F639" s="772"/>
      <c r="G639" s="772"/>
      <c r="H639" s="772"/>
    </row>
    <row r="640" spans="2:8" x14ac:dyDescent="0.25">
      <c r="B640" s="772" t="s">
        <v>2970</v>
      </c>
      <c r="C640" s="772" t="s">
        <v>2006</v>
      </c>
      <c r="D640" s="772" t="s">
        <v>1019</v>
      </c>
      <c r="E640" s="772"/>
      <c r="F640" s="772"/>
      <c r="G640" s="772"/>
      <c r="H640" s="772"/>
    </row>
    <row r="641" spans="2:8" x14ac:dyDescent="0.25">
      <c r="B641" s="772" t="s">
        <v>2971</v>
      </c>
      <c r="C641" s="772" t="s">
        <v>2007</v>
      </c>
      <c r="D641" s="772" t="s">
        <v>1019</v>
      </c>
      <c r="E641" s="772"/>
      <c r="F641" s="772"/>
      <c r="G641" s="772"/>
      <c r="H641" s="772"/>
    </row>
    <row r="642" spans="2:8" x14ac:dyDescent="0.25">
      <c r="B642" s="772" t="s">
        <v>2972</v>
      </c>
      <c r="C642" s="772" t="s">
        <v>2008</v>
      </c>
      <c r="D642" s="772" t="s">
        <v>1019</v>
      </c>
      <c r="E642" s="772"/>
      <c r="F642" s="772"/>
      <c r="G642" s="772"/>
      <c r="H642" s="772"/>
    </row>
    <row r="643" spans="2:8" x14ac:dyDescent="0.25">
      <c r="B643" s="772" t="s">
        <v>2973</v>
      </c>
      <c r="C643" s="772" t="s">
        <v>2009</v>
      </c>
      <c r="D643" s="772" t="s">
        <v>1019</v>
      </c>
      <c r="E643" s="772"/>
      <c r="F643" s="772"/>
      <c r="G643" s="772"/>
      <c r="H643" s="772"/>
    </row>
    <row r="644" spans="2:8" x14ac:dyDescent="0.25">
      <c r="B644" s="772" t="s">
        <v>2010</v>
      </c>
      <c r="C644" s="772" t="s">
        <v>2011</v>
      </c>
      <c r="D644" s="772" t="s">
        <v>1019</v>
      </c>
      <c r="E644" s="772"/>
      <c r="F644" s="772"/>
      <c r="G644" s="772"/>
      <c r="H644" s="772"/>
    </row>
    <row r="645" spans="2:8" x14ac:dyDescent="0.25">
      <c r="B645" s="772" t="s">
        <v>2974</v>
      </c>
      <c r="C645" s="772" t="s">
        <v>2012</v>
      </c>
      <c r="D645" s="772" t="s">
        <v>1701</v>
      </c>
      <c r="E645" s="772"/>
      <c r="F645" s="772"/>
      <c r="G645" s="772"/>
      <c r="H645" s="772"/>
    </row>
    <row r="646" spans="2:8" x14ac:dyDescent="0.25">
      <c r="B646" s="772" t="s">
        <v>2975</v>
      </c>
      <c r="C646" s="772" t="s">
        <v>2013</v>
      </c>
      <c r="D646" s="772" t="s">
        <v>1019</v>
      </c>
      <c r="E646" s="772"/>
      <c r="F646" s="772"/>
      <c r="G646" s="772"/>
      <c r="H646" s="772"/>
    </row>
    <row r="647" spans="2:8" x14ac:dyDescent="0.25">
      <c r="B647" s="772" t="s">
        <v>2976</v>
      </c>
      <c r="C647" s="772" t="s">
        <v>2014</v>
      </c>
      <c r="D647" s="772" t="s">
        <v>1019</v>
      </c>
      <c r="E647" s="772"/>
      <c r="F647" s="772"/>
      <c r="G647" s="772"/>
      <c r="H647" s="772"/>
    </row>
    <row r="648" spans="2:8" x14ac:dyDescent="0.25">
      <c r="B648" s="772" t="s">
        <v>2977</v>
      </c>
      <c r="C648" s="772" t="s">
        <v>2015</v>
      </c>
      <c r="D648" s="772" t="s">
        <v>1701</v>
      </c>
      <c r="E648" s="772"/>
      <c r="F648" s="772"/>
      <c r="G648" s="772"/>
      <c r="H648" s="772"/>
    </row>
    <row r="649" spans="2:8" x14ac:dyDescent="0.25">
      <c r="B649" s="772" t="s">
        <v>2978</v>
      </c>
      <c r="C649" s="772" t="s">
        <v>2016</v>
      </c>
      <c r="D649" s="772" t="s">
        <v>1019</v>
      </c>
      <c r="E649" s="772"/>
      <c r="F649" s="772"/>
      <c r="G649" s="772"/>
      <c r="H649" s="772"/>
    </row>
    <row r="650" spans="2:8" x14ac:dyDescent="0.25">
      <c r="B650" s="772" t="s">
        <v>2979</v>
      </c>
      <c r="C650" s="772" t="s">
        <v>2017</v>
      </c>
      <c r="D650" s="772" t="s">
        <v>1019</v>
      </c>
      <c r="E650" s="772"/>
      <c r="F650" s="772"/>
      <c r="G650" s="772"/>
      <c r="H650" s="772"/>
    </row>
    <row r="651" spans="2:8" x14ac:dyDescent="0.25">
      <c r="B651" s="772" t="s">
        <v>2980</v>
      </c>
      <c r="C651" s="772" t="s">
        <v>2018</v>
      </c>
      <c r="D651" s="772" t="s">
        <v>1019</v>
      </c>
      <c r="E651" s="772"/>
      <c r="F651" s="772"/>
      <c r="G651" s="772"/>
      <c r="H651" s="772"/>
    </row>
    <row r="652" spans="2:8" x14ac:dyDescent="0.25">
      <c r="B652" s="772" t="s">
        <v>2981</v>
      </c>
      <c r="C652" s="772" t="s">
        <v>2019</v>
      </c>
      <c r="D652" s="772" t="s">
        <v>1019</v>
      </c>
      <c r="E652" s="772"/>
      <c r="F652" s="772"/>
      <c r="G652" s="772"/>
      <c r="H652" s="772"/>
    </row>
    <row r="653" spans="2:8" x14ac:dyDescent="0.25">
      <c r="B653" s="772" t="s">
        <v>2982</v>
      </c>
      <c r="C653" s="772" t="s">
        <v>2020</v>
      </c>
      <c r="D653" s="772" t="s">
        <v>1019</v>
      </c>
      <c r="E653" s="772"/>
      <c r="F653" s="772"/>
      <c r="G653" s="772"/>
      <c r="H653" s="772"/>
    </row>
    <row r="654" spans="2:8" x14ac:dyDescent="0.25">
      <c r="B654" s="772" t="s">
        <v>2983</v>
      </c>
      <c r="C654" s="772" t="s">
        <v>2021</v>
      </c>
      <c r="D654" s="772" t="s">
        <v>1019</v>
      </c>
      <c r="E654" s="772"/>
      <c r="F654" s="772"/>
      <c r="G654" s="772"/>
      <c r="H654" s="772"/>
    </row>
    <row r="655" spans="2:8" x14ac:dyDescent="0.25">
      <c r="B655" s="772" t="s">
        <v>2022</v>
      </c>
      <c r="C655" s="772" t="s">
        <v>2023</v>
      </c>
      <c r="D655" s="772" t="s">
        <v>1019</v>
      </c>
      <c r="E655" s="772"/>
      <c r="F655" s="772"/>
      <c r="G655" s="772"/>
      <c r="H655" s="772"/>
    </row>
    <row r="656" spans="2:8" x14ac:dyDescent="0.25">
      <c r="B656" s="772" t="s">
        <v>2984</v>
      </c>
      <c r="C656" s="772" t="s">
        <v>2024</v>
      </c>
      <c r="D656" s="772" t="s">
        <v>1019</v>
      </c>
      <c r="E656" s="772"/>
      <c r="F656" s="772"/>
      <c r="G656" s="772"/>
      <c r="H656" s="772"/>
    </row>
    <row r="657" spans="2:8" x14ac:dyDescent="0.25">
      <c r="B657" s="772" t="s">
        <v>2985</v>
      </c>
      <c r="C657" s="772" t="s">
        <v>2025</v>
      </c>
      <c r="D657" s="772" t="s">
        <v>1019</v>
      </c>
      <c r="E657" s="772"/>
      <c r="F657" s="772"/>
      <c r="G657" s="772"/>
      <c r="H657" s="772"/>
    </row>
    <row r="658" spans="2:8" x14ac:dyDescent="0.25">
      <c r="B658" s="772" t="s">
        <v>2986</v>
      </c>
      <c r="C658" s="772" t="s">
        <v>2026</v>
      </c>
      <c r="D658" s="772" t="s">
        <v>1019</v>
      </c>
      <c r="E658" s="772"/>
      <c r="F658" s="772"/>
      <c r="G658" s="772"/>
      <c r="H658" s="772"/>
    </row>
    <row r="659" spans="2:8" x14ac:dyDescent="0.25">
      <c r="B659" s="772" t="s">
        <v>2987</v>
      </c>
      <c r="C659" s="772" t="s">
        <v>2027</v>
      </c>
      <c r="D659" s="772" t="s">
        <v>1019</v>
      </c>
      <c r="E659" s="772"/>
      <c r="F659" s="772"/>
      <c r="G659" s="772"/>
      <c r="H659" s="772"/>
    </row>
    <row r="660" spans="2:8" x14ac:dyDescent="0.25">
      <c r="B660" s="772" t="s">
        <v>2988</v>
      </c>
      <c r="C660" s="772" t="s">
        <v>2028</v>
      </c>
      <c r="D660" s="772" t="s">
        <v>1019</v>
      </c>
      <c r="E660" s="772"/>
      <c r="F660" s="772"/>
      <c r="G660" s="772"/>
      <c r="H660" s="772"/>
    </row>
    <row r="661" spans="2:8" x14ac:dyDescent="0.25">
      <c r="B661" s="772" t="s">
        <v>2989</v>
      </c>
      <c r="C661" s="772" t="s">
        <v>2029</v>
      </c>
      <c r="D661" s="772" t="s">
        <v>1019</v>
      </c>
      <c r="E661" s="772"/>
      <c r="F661" s="772"/>
      <c r="G661" s="772"/>
      <c r="H661" s="772"/>
    </row>
    <row r="662" spans="2:8" x14ac:dyDescent="0.25">
      <c r="B662" s="772" t="s">
        <v>2990</v>
      </c>
      <c r="C662" s="772" t="s">
        <v>2030</v>
      </c>
      <c r="D662" s="772" t="s">
        <v>1019</v>
      </c>
      <c r="E662" s="772"/>
      <c r="F662" s="772"/>
      <c r="G662" s="772"/>
      <c r="H662" s="772"/>
    </row>
    <row r="663" spans="2:8" x14ac:dyDescent="0.25">
      <c r="B663" s="772" t="s">
        <v>2991</v>
      </c>
      <c r="C663" s="772" t="s">
        <v>2031</v>
      </c>
      <c r="D663" s="772" t="s">
        <v>1019</v>
      </c>
      <c r="E663" s="772"/>
      <c r="F663" s="772"/>
      <c r="G663" s="772"/>
      <c r="H663" s="772"/>
    </row>
    <row r="664" spans="2:8" x14ac:dyDescent="0.25">
      <c r="B664" s="772" t="s">
        <v>2992</v>
      </c>
      <c r="C664" s="772" t="s">
        <v>2032</v>
      </c>
      <c r="D664" s="772" t="s">
        <v>1019</v>
      </c>
      <c r="E664" s="772"/>
      <c r="F664" s="772"/>
      <c r="G664" s="772"/>
      <c r="H664" s="772"/>
    </row>
    <row r="665" spans="2:8" x14ac:dyDescent="0.25">
      <c r="B665" s="772" t="s">
        <v>2993</v>
      </c>
      <c r="C665" s="772" t="s">
        <v>2033</v>
      </c>
      <c r="D665" s="772" t="s">
        <v>1019</v>
      </c>
      <c r="E665" s="772"/>
      <c r="F665" s="772"/>
      <c r="G665" s="772"/>
      <c r="H665" s="772"/>
    </row>
    <row r="666" spans="2:8" x14ac:dyDescent="0.25">
      <c r="B666" s="772" t="s">
        <v>2994</v>
      </c>
      <c r="C666" s="772" t="s">
        <v>2034</v>
      </c>
      <c r="D666" s="772" t="s">
        <v>1019</v>
      </c>
      <c r="E666" s="772"/>
      <c r="F666" s="772"/>
      <c r="G666" s="772"/>
      <c r="H666" s="772"/>
    </row>
    <row r="667" spans="2:8" x14ac:dyDescent="0.25">
      <c r="B667" s="772" t="s">
        <v>2995</v>
      </c>
      <c r="C667" s="772" t="s">
        <v>2035</v>
      </c>
      <c r="D667" s="772" t="s">
        <v>1019</v>
      </c>
      <c r="E667" s="772"/>
      <c r="F667" s="772"/>
      <c r="G667" s="772"/>
      <c r="H667" s="772"/>
    </row>
    <row r="668" spans="2:8" x14ac:dyDescent="0.25">
      <c r="B668" s="772" t="s">
        <v>2996</v>
      </c>
      <c r="C668" s="772" t="s">
        <v>2036</v>
      </c>
      <c r="D668" s="772" t="s">
        <v>1696</v>
      </c>
      <c r="E668" s="772"/>
      <c r="F668" s="772"/>
      <c r="G668" s="772"/>
      <c r="H668" s="772"/>
    </row>
    <row r="669" spans="2:8" x14ac:dyDescent="0.25">
      <c r="B669" s="772" t="s">
        <v>2997</v>
      </c>
      <c r="C669" s="772" t="s">
        <v>2037</v>
      </c>
      <c r="D669" s="772" t="s">
        <v>1019</v>
      </c>
      <c r="E669" s="772"/>
      <c r="F669" s="772"/>
      <c r="G669" s="772"/>
      <c r="H669" s="772"/>
    </row>
    <row r="670" spans="2:8" x14ac:dyDescent="0.25">
      <c r="B670" s="772" t="s">
        <v>2998</v>
      </c>
      <c r="C670" s="772" t="s">
        <v>2038</v>
      </c>
      <c r="D670" s="772" t="s">
        <v>1019</v>
      </c>
    </row>
    <row r="671" spans="2:8" x14ac:dyDescent="0.25">
      <c r="B671" s="772" t="s">
        <v>2999</v>
      </c>
      <c r="C671" s="772" t="s">
        <v>2039</v>
      </c>
      <c r="D671" s="772" t="s">
        <v>1019</v>
      </c>
    </row>
    <row r="672" spans="2:8" x14ac:dyDescent="0.25">
      <c r="B672" s="772" t="s">
        <v>3000</v>
      </c>
      <c r="C672" s="772" t="s">
        <v>2040</v>
      </c>
      <c r="D672" s="772" t="s">
        <v>1701</v>
      </c>
    </row>
    <row r="673" spans="2:4" x14ac:dyDescent="0.25">
      <c r="B673" s="772" t="s">
        <v>3001</v>
      </c>
      <c r="C673" s="772" t="s">
        <v>2041</v>
      </c>
      <c r="D673" s="772" t="s">
        <v>1701</v>
      </c>
    </row>
    <row r="674" spans="2:4" x14ac:dyDescent="0.25">
      <c r="B674" s="772" t="s">
        <v>3002</v>
      </c>
      <c r="C674" s="772" t="s">
        <v>2042</v>
      </c>
      <c r="D674" s="772" t="s">
        <v>1701</v>
      </c>
    </row>
    <row r="675" spans="2:4" x14ac:dyDescent="0.25">
      <c r="B675" s="772" t="s">
        <v>3003</v>
      </c>
      <c r="C675" s="772" t="s">
        <v>2043</v>
      </c>
      <c r="D675" s="772" t="s">
        <v>1019</v>
      </c>
    </row>
    <row r="676" spans="2:4" x14ac:dyDescent="0.25">
      <c r="B676" s="772" t="s">
        <v>3004</v>
      </c>
      <c r="C676" s="772" t="s">
        <v>2044</v>
      </c>
      <c r="D676" s="772" t="s">
        <v>1019</v>
      </c>
    </row>
    <row r="677" spans="2:4" x14ac:dyDescent="0.25">
      <c r="B677" s="772" t="s">
        <v>3005</v>
      </c>
      <c r="C677" s="772" t="s">
        <v>2045</v>
      </c>
      <c r="D677" s="772" t="s">
        <v>1019</v>
      </c>
    </row>
    <row r="678" spans="2:4" x14ac:dyDescent="0.25">
      <c r="B678" s="772" t="s">
        <v>3006</v>
      </c>
      <c r="C678" s="772" t="s">
        <v>2046</v>
      </c>
      <c r="D678" s="772" t="s">
        <v>1019</v>
      </c>
    </row>
    <row r="679" spans="2:4" x14ac:dyDescent="0.25">
      <c r="B679" s="772" t="s">
        <v>3007</v>
      </c>
      <c r="C679" s="772" t="s">
        <v>2047</v>
      </c>
      <c r="D679" s="772" t="s">
        <v>1019</v>
      </c>
    </row>
    <row r="680" spans="2:4" x14ac:dyDescent="0.25">
      <c r="B680" s="772" t="s">
        <v>3008</v>
      </c>
      <c r="C680" s="772" t="s">
        <v>2048</v>
      </c>
      <c r="D680" s="772" t="s">
        <v>1701</v>
      </c>
    </row>
    <row r="681" spans="2:4" x14ac:dyDescent="0.25">
      <c r="B681" s="772" t="s">
        <v>3009</v>
      </c>
      <c r="C681" s="772" t="s">
        <v>2049</v>
      </c>
      <c r="D681" s="772" t="s">
        <v>1019</v>
      </c>
    </row>
    <row r="682" spans="2:4" x14ac:dyDescent="0.25">
      <c r="B682" s="772" t="s">
        <v>3010</v>
      </c>
      <c r="C682" s="772" t="s">
        <v>2050</v>
      </c>
      <c r="D682" s="772" t="s">
        <v>1019</v>
      </c>
    </row>
    <row r="683" spans="2:4" x14ac:dyDescent="0.25">
      <c r="B683" s="772" t="s">
        <v>2051</v>
      </c>
      <c r="C683" s="772" t="s">
        <v>2052</v>
      </c>
      <c r="D683" s="772" t="s">
        <v>1019</v>
      </c>
    </row>
    <row r="684" spans="2:4" x14ac:dyDescent="0.25">
      <c r="B684" s="772" t="s">
        <v>3011</v>
      </c>
      <c r="C684" s="772" t="s">
        <v>2053</v>
      </c>
      <c r="D684" s="772" t="s">
        <v>1019</v>
      </c>
    </row>
    <row r="685" spans="2:4" x14ac:dyDescent="0.25">
      <c r="B685" s="772" t="s">
        <v>3012</v>
      </c>
      <c r="C685" s="772" t="s">
        <v>2054</v>
      </c>
      <c r="D685" s="772" t="s">
        <v>1019</v>
      </c>
    </row>
    <row r="686" spans="2:4" x14ac:dyDescent="0.25">
      <c r="B686" s="772" t="s">
        <v>3013</v>
      </c>
      <c r="C686" s="772" t="s">
        <v>2055</v>
      </c>
      <c r="D686" s="772" t="s">
        <v>1019</v>
      </c>
    </row>
    <row r="687" spans="2:4" x14ac:dyDescent="0.25">
      <c r="B687" s="772" t="s">
        <v>3014</v>
      </c>
      <c r="C687" s="772" t="s">
        <v>2017</v>
      </c>
      <c r="D687" s="772" t="s">
        <v>1019</v>
      </c>
    </row>
    <row r="688" spans="2:4" x14ac:dyDescent="0.25">
      <c r="B688" s="772" t="s">
        <v>3015</v>
      </c>
      <c r="C688" s="772" t="s">
        <v>2056</v>
      </c>
      <c r="D688" s="772" t="s">
        <v>1019</v>
      </c>
    </row>
    <row r="689" spans="2:4" x14ac:dyDescent="0.25">
      <c r="B689" s="772" t="s">
        <v>3016</v>
      </c>
      <c r="C689" s="772" t="s">
        <v>2057</v>
      </c>
      <c r="D689" s="772" t="s">
        <v>1019</v>
      </c>
    </row>
    <row r="690" spans="2:4" x14ac:dyDescent="0.25">
      <c r="B690" s="772" t="s">
        <v>3017</v>
      </c>
      <c r="C690" s="772" t="s">
        <v>2058</v>
      </c>
      <c r="D690" s="772" t="s">
        <v>1019</v>
      </c>
    </row>
    <row r="691" spans="2:4" x14ac:dyDescent="0.25">
      <c r="B691" s="772" t="s">
        <v>2975</v>
      </c>
      <c r="C691" s="772" t="s">
        <v>2013</v>
      </c>
      <c r="D691" s="772" t="s">
        <v>1019</v>
      </c>
    </row>
    <row r="692" spans="2:4" x14ac:dyDescent="0.25">
      <c r="B692" s="772" t="s">
        <v>3018</v>
      </c>
      <c r="C692" s="772" t="s">
        <v>2059</v>
      </c>
      <c r="D692" s="772" t="s">
        <v>1019</v>
      </c>
    </row>
    <row r="693" spans="2:4" x14ac:dyDescent="0.25">
      <c r="B693" s="772" t="s">
        <v>3019</v>
      </c>
      <c r="C693" s="772" t="s">
        <v>2060</v>
      </c>
      <c r="D693" s="772" t="s">
        <v>1019</v>
      </c>
    </row>
    <row r="694" spans="2:4" x14ac:dyDescent="0.25">
      <c r="B694" s="772" t="s">
        <v>3020</v>
      </c>
      <c r="C694" s="772" t="s">
        <v>2061</v>
      </c>
      <c r="D694" s="772" t="s">
        <v>1019</v>
      </c>
    </row>
    <row r="695" spans="2:4" x14ac:dyDescent="0.25">
      <c r="B695" s="772" t="s">
        <v>3021</v>
      </c>
      <c r="C695" s="772" t="s">
        <v>2062</v>
      </c>
      <c r="D695" s="772" t="s">
        <v>1019</v>
      </c>
    </row>
    <row r="696" spans="2:4" x14ac:dyDescent="0.25">
      <c r="B696" s="772" t="s">
        <v>3022</v>
      </c>
      <c r="C696" s="772" t="s">
        <v>2063</v>
      </c>
      <c r="D696" s="772" t="s">
        <v>1019</v>
      </c>
    </row>
    <row r="697" spans="2:4" x14ac:dyDescent="0.25">
      <c r="B697" s="772" t="s">
        <v>3023</v>
      </c>
      <c r="C697" s="772" t="s">
        <v>2064</v>
      </c>
      <c r="D697" s="772" t="s">
        <v>1019</v>
      </c>
    </row>
    <row r="698" spans="2:4" x14ac:dyDescent="0.25">
      <c r="B698" s="772" t="s">
        <v>2976</v>
      </c>
      <c r="C698" s="772" t="s">
        <v>2014</v>
      </c>
      <c r="D698" s="772" t="s">
        <v>1019</v>
      </c>
    </row>
    <row r="699" spans="2:4" x14ac:dyDescent="0.25">
      <c r="B699" s="772" t="s">
        <v>3024</v>
      </c>
      <c r="C699" s="772" t="s">
        <v>2065</v>
      </c>
      <c r="D699" s="772" t="s">
        <v>1701</v>
      </c>
    </row>
    <row r="700" spans="2:4" x14ac:dyDescent="0.25">
      <c r="B700" s="772" t="s">
        <v>3025</v>
      </c>
      <c r="C700" s="772" t="s">
        <v>2066</v>
      </c>
      <c r="D700" s="772" t="s">
        <v>1701</v>
      </c>
    </row>
    <row r="701" spans="2:4" x14ac:dyDescent="0.25">
      <c r="B701" s="772" t="s">
        <v>3026</v>
      </c>
      <c r="C701" s="772" t="s">
        <v>2067</v>
      </c>
      <c r="D701" s="772" t="s">
        <v>1701</v>
      </c>
    </row>
    <row r="702" spans="2:4" x14ac:dyDescent="0.25">
      <c r="B702" s="772" t="s">
        <v>3027</v>
      </c>
      <c r="C702" s="772" t="s">
        <v>2068</v>
      </c>
      <c r="D702" s="772" t="s">
        <v>1701</v>
      </c>
    </row>
    <row r="703" spans="2:4" x14ac:dyDescent="0.25">
      <c r="B703" s="772" t="s">
        <v>3028</v>
      </c>
      <c r="C703" s="772" t="s">
        <v>2069</v>
      </c>
      <c r="D703" s="772" t="s">
        <v>1701</v>
      </c>
    </row>
    <row r="704" spans="2:4" x14ac:dyDescent="0.25">
      <c r="B704" s="772" t="s">
        <v>3029</v>
      </c>
      <c r="C704" s="772" t="s">
        <v>2070</v>
      </c>
      <c r="D704" s="772" t="s">
        <v>1696</v>
      </c>
    </row>
    <row r="705" spans="2:4" x14ac:dyDescent="0.25">
      <c r="B705" s="772" t="s">
        <v>3030</v>
      </c>
      <c r="C705" s="772" t="s">
        <v>2071</v>
      </c>
      <c r="D705" s="772" t="s">
        <v>1689</v>
      </c>
    </row>
    <row r="706" spans="2:4" x14ac:dyDescent="0.25">
      <c r="B706" s="772" t="s">
        <v>3031</v>
      </c>
      <c r="C706" s="772" t="s">
        <v>2072</v>
      </c>
      <c r="D706" s="772" t="s">
        <v>1689</v>
      </c>
    </row>
    <row r="707" spans="2:4" x14ac:dyDescent="0.25">
      <c r="B707" s="772" t="s">
        <v>3032</v>
      </c>
      <c r="C707" s="772" t="s">
        <v>2073</v>
      </c>
      <c r="D707" s="772" t="s">
        <v>1701</v>
      </c>
    </row>
    <row r="708" spans="2:4" x14ac:dyDescent="0.25">
      <c r="B708" s="772" t="s">
        <v>3033</v>
      </c>
      <c r="C708" s="772" t="s">
        <v>2074</v>
      </c>
      <c r="D708" s="772" t="s">
        <v>1689</v>
      </c>
    </row>
    <row r="709" spans="2:4" x14ac:dyDescent="0.25">
      <c r="B709" s="772" t="s">
        <v>3034</v>
      </c>
      <c r="C709" s="772" t="s">
        <v>2075</v>
      </c>
      <c r="D709" s="772" t="s">
        <v>1689</v>
      </c>
    </row>
    <row r="710" spans="2:4" x14ac:dyDescent="0.25">
      <c r="B710" s="772" t="s">
        <v>3035</v>
      </c>
      <c r="C710" s="772" t="s">
        <v>2076</v>
      </c>
      <c r="D710" s="772" t="s">
        <v>1689</v>
      </c>
    </row>
    <row r="711" spans="2:4" x14ac:dyDescent="0.25">
      <c r="B711" s="772" t="s">
        <v>3036</v>
      </c>
      <c r="C711" s="772" t="s">
        <v>2077</v>
      </c>
      <c r="D711" s="772" t="s">
        <v>1696</v>
      </c>
    </row>
    <row r="712" spans="2:4" x14ac:dyDescent="0.25">
      <c r="B712" s="772" t="s">
        <v>3037</v>
      </c>
      <c r="C712" s="772" t="s">
        <v>2078</v>
      </c>
      <c r="D712" s="772" t="s">
        <v>2079</v>
      </c>
    </row>
    <row r="713" spans="2:4" x14ac:dyDescent="0.25">
      <c r="B713" s="772" t="s">
        <v>3038</v>
      </c>
      <c r="C713" s="772" t="s">
        <v>2080</v>
      </c>
      <c r="D713" s="772" t="s">
        <v>2079</v>
      </c>
    </row>
    <row r="714" spans="2:4" x14ac:dyDescent="0.25">
      <c r="B714" s="772" t="s">
        <v>3039</v>
      </c>
      <c r="C714" s="772" t="s">
        <v>2081</v>
      </c>
      <c r="D714" s="772" t="s">
        <v>2082</v>
      </c>
    </row>
    <row r="715" spans="2:4" x14ac:dyDescent="0.25">
      <c r="B715" s="772" t="s">
        <v>3040</v>
      </c>
      <c r="C715" s="772" t="s">
        <v>2083</v>
      </c>
      <c r="D715" s="772" t="s">
        <v>1696</v>
      </c>
    </row>
    <row r="716" spans="2:4" x14ac:dyDescent="0.25">
      <c r="B716" s="772" t="s">
        <v>3041</v>
      </c>
      <c r="C716" s="772" t="s">
        <v>2084</v>
      </c>
      <c r="D716" s="772" t="s">
        <v>2085</v>
      </c>
    </row>
    <row r="717" spans="2:4" x14ac:dyDescent="0.25">
      <c r="B717" s="772" t="s">
        <v>3042</v>
      </c>
      <c r="C717" s="772" t="s">
        <v>2086</v>
      </c>
      <c r="D717" s="772" t="s">
        <v>943</v>
      </c>
    </row>
    <row r="718" spans="2:4" x14ac:dyDescent="0.25">
      <c r="B718" s="772" t="s">
        <v>3043</v>
      </c>
      <c r="C718" s="772" t="s">
        <v>2087</v>
      </c>
      <c r="D718" s="772" t="s">
        <v>2082</v>
      </c>
    </row>
    <row r="719" spans="2:4" x14ac:dyDescent="0.25">
      <c r="B719" s="772" t="s">
        <v>3044</v>
      </c>
      <c r="C719" s="772" t="s">
        <v>2088</v>
      </c>
      <c r="D719" s="772" t="s">
        <v>2089</v>
      </c>
    </row>
    <row r="720" spans="2:4" x14ac:dyDescent="0.25">
      <c r="B720" s="772" t="s">
        <v>3045</v>
      </c>
      <c r="C720" s="772" t="s">
        <v>2090</v>
      </c>
      <c r="D720" s="772" t="s">
        <v>2082</v>
      </c>
    </row>
    <row r="721" spans="2:4" x14ac:dyDescent="0.25">
      <c r="B721" s="772" t="s">
        <v>2091</v>
      </c>
      <c r="C721" s="772" t="s">
        <v>2092</v>
      </c>
      <c r="D721" s="772" t="s">
        <v>1019</v>
      </c>
    </row>
    <row r="722" spans="2:4" x14ac:dyDescent="0.25">
      <c r="B722" s="772" t="s">
        <v>2746</v>
      </c>
      <c r="C722" s="772" t="s">
        <v>1713</v>
      </c>
      <c r="D722" s="772" t="s">
        <v>1019</v>
      </c>
    </row>
    <row r="723" spans="2:4" x14ac:dyDescent="0.25">
      <c r="B723" s="772" t="s">
        <v>3046</v>
      </c>
      <c r="C723" s="772" t="s">
        <v>2093</v>
      </c>
      <c r="D723" s="772" t="s">
        <v>1938</v>
      </c>
    </row>
    <row r="724" spans="2:4" x14ac:dyDescent="0.25">
      <c r="B724" s="772" t="s">
        <v>3047</v>
      </c>
      <c r="C724" s="772" t="s">
        <v>2094</v>
      </c>
      <c r="D724" s="772" t="s">
        <v>943</v>
      </c>
    </row>
    <row r="725" spans="2:4" x14ac:dyDescent="0.25">
      <c r="B725" s="772" t="s">
        <v>3048</v>
      </c>
      <c r="C725" s="772" t="s">
        <v>2095</v>
      </c>
      <c r="D725" s="772" t="s">
        <v>943</v>
      </c>
    </row>
    <row r="726" spans="2:4" x14ac:dyDescent="0.25">
      <c r="B726" s="772" t="s">
        <v>3049</v>
      </c>
      <c r="C726" s="772" t="s">
        <v>2096</v>
      </c>
      <c r="D726" s="772" t="s">
        <v>943</v>
      </c>
    </row>
    <row r="727" spans="2:4" x14ac:dyDescent="0.25">
      <c r="B727" s="772" t="s">
        <v>3050</v>
      </c>
      <c r="C727" s="772" t="s">
        <v>2097</v>
      </c>
      <c r="D727" s="772" t="s">
        <v>943</v>
      </c>
    </row>
    <row r="728" spans="2:4" x14ac:dyDescent="0.25">
      <c r="B728" s="772" t="s">
        <v>3051</v>
      </c>
      <c r="C728" s="772" t="s">
        <v>2098</v>
      </c>
      <c r="D728" s="772" t="s">
        <v>943</v>
      </c>
    </row>
    <row r="729" spans="2:4" x14ac:dyDescent="0.25">
      <c r="B729" s="772" t="s">
        <v>3052</v>
      </c>
      <c r="C729" s="772" t="s">
        <v>2099</v>
      </c>
      <c r="D729" s="772" t="s">
        <v>943</v>
      </c>
    </row>
    <row r="730" spans="2:4" x14ac:dyDescent="0.25">
      <c r="B730" s="772" t="s">
        <v>3053</v>
      </c>
      <c r="C730" s="772" t="s">
        <v>2100</v>
      </c>
      <c r="D730" s="772" t="s">
        <v>943</v>
      </c>
    </row>
    <row r="731" spans="2:4" x14ac:dyDescent="0.25">
      <c r="B731" s="772" t="s">
        <v>3054</v>
      </c>
      <c r="C731" s="772" t="s">
        <v>2101</v>
      </c>
      <c r="D731" s="772" t="s">
        <v>943</v>
      </c>
    </row>
    <row r="732" spans="2:4" x14ac:dyDescent="0.25">
      <c r="B732" s="772" t="s">
        <v>3055</v>
      </c>
      <c r="C732" s="772" t="s">
        <v>2102</v>
      </c>
      <c r="D732" s="772" t="s">
        <v>943</v>
      </c>
    </row>
    <row r="733" spans="2:4" x14ac:dyDescent="0.25">
      <c r="B733" s="772" t="s">
        <v>3056</v>
      </c>
      <c r="C733" s="772" t="s">
        <v>2103</v>
      </c>
      <c r="D733" s="772" t="s">
        <v>943</v>
      </c>
    </row>
    <row r="734" spans="2:4" x14ac:dyDescent="0.25">
      <c r="B734" s="772" t="s">
        <v>3057</v>
      </c>
      <c r="C734" s="772" t="s">
        <v>2104</v>
      </c>
      <c r="D734" s="772" t="s">
        <v>943</v>
      </c>
    </row>
    <row r="735" spans="2:4" x14ac:dyDescent="0.25">
      <c r="B735" s="772" t="s">
        <v>3058</v>
      </c>
      <c r="C735" s="772" t="s">
        <v>2105</v>
      </c>
      <c r="D735" s="772" t="s">
        <v>943</v>
      </c>
    </row>
    <row r="736" spans="2:4" x14ac:dyDescent="0.25">
      <c r="B736" s="772" t="s">
        <v>3059</v>
      </c>
      <c r="C736" s="772" t="s">
        <v>2106</v>
      </c>
      <c r="D736" s="772" t="s">
        <v>943</v>
      </c>
    </row>
    <row r="737" spans="2:4" x14ac:dyDescent="0.25">
      <c r="B737" s="772" t="s">
        <v>3060</v>
      </c>
      <c r="C737" s="772" t="s">
        <v>2107</v>
      </c>
      <c r="D737" s="772" t="s">
        <v>943</v>
      </c>
    </row>
    <row r="738" spans="2:4" x14ac:dyDescent="0.25">
      <c r="B738" s="772" t="s">
        <v>3061</v>
      </c>
      <c r="C738" s="772" t="s">
        <v>2108</v>
      </c>
      <c r="D738" s="772" t="s">
        <v>943</v>
      </c>
    </row>
    <row r="739" spans="2:4" x14ac:dyDescent="0.25">
      <c r="B739" s="772" t="s">
        <v>3062</v>
      </c>
      <c r="C739" s="772" t="s">
        <v>2109</v>
      </c>
      <c r="D739" s="772" t="s">
        <v>943</v>
      </c>
    </row>
    <row r="740" spans="2:4" x14ac:dyDescent="0.25">
      <c r="B740" s="772" t="s">
        <v>3063</v>
      </c>
      <c r="C740" s="772" t="s">
        <v>2110</v>
      </c>
      <c r="D740" s="772" t="s">
        <v>943</v>
      </c>
    </row>
    <row r="741" spans="2:4" x14ac:dyDescent="0.25">
      <c r="B741" s="772" t="s">
        <v>3064</v>
      </c>
      <c r="C741" s="772" t="s">
        <v>2111</v>
      </c>
      <c r="D741" s="772" t="s">
        <v>943</v>
      </c>
    </row>
    <row r="742" spans="2:4" x14ac:dyDescent="0.25">
      <c r="B742" s="772" t="s">
        <v>3065</v>
      </c>
      <c r="C742" s="772" t="s">
        <v>2112</v>
      </c>
      <c r="D742" s="772" t="s">
        <v>943</v>
      </c>
    </row>
    <row r="743" spans="2:4" x14ac:dyDescent="0.25">
      <c r="B743" s="772" t="s">
        <v>3066</v>
      </c>
      <c r="C743" s="772" t="s">
        <v>2113</v>
      </c>
      <c r="D743" s="772" t="s">
        <v>943</v>
      </c>
    </row>
    <row r="744" spans="2:4" x14ac:dyDescent="0.25">
      <c r="B744" s="772" t="s">
        <v>3067</v>
      </c>
      <c r="C744" s="772" t="s">
        <v>2114</v>
      </c>
      <c r="D744" s="772" t="s">
        <v>943</v>
      </c>
    </row>
    <row r="745" spans="2:4" x14ac:dyDescent="0.25">
      <c r="B745" s="772" t="s">
        <v>3068</v>
      </c>
      <c r="C745" s="772" t="s">
        <v>2115</v>
      </c>
      <c r="D745" s="772" t="s">
        <v>943</v>
      </c>
    </row>
    <row r="746" spans="2:4" x14ac:dyDescent="0.25">
      <c r="B746" s="772" t="s">
        <v>3069</v>
      </c>
      <c r="C746" s="772" t="s">
        <v>2116</v>
      </c>
      <c r="D746" s="772" t="s">
        <v>943</v>
      </c>
    </row>
    <row r="747" spans="2:4" x14ac:dyDescent="0.25">
      <c r="B747" s="772" t="s">
        <v>3070</v>
      </c>
      <c r="C747" s="772" t="s">
        <v>2117</v>
      </c>
      <c r="D747" s="772" t="s">
        <v>943</v>
      </c>
    </row>
    <row r="748" spans="2:4" x14ac:dyDescent="0.25">
      <c r="B748" s="772" t="s">
        <v>3071</v>
      </c>
      <c r="C748" s="772" t="s">
        <v>2118</v>
      </c>
      <c r="D748" s="772" t="s">
        <v>943</v>
      </c>
    </row>
    <row r="749" spans="2:4" x14ac:dyDescent="0.25">
      <c r="B749" s="772" t="s">
        <v>3072</v>
      </c>
      <c r="C749" s="772" t="s">
        <v>2119</v>
      </c>
      <c r="D749" s="772" t="s">
        <v>943</v>
      </c>
    </row>
    <row r="750" spans="2:4" x14ac:dyDescent="0.25">
      <c r="B750" s="772" t="s">
        <v>3073</v>
      </c>
      <c r="C750" s="772" t="s">
        <v>2120</v>
      </c>
      <c r="D750" s="772" t="s">
        <v>943</v>
      </c>
    </row>
    <row r="751" spans="2:4" x14ac:dyDescent="0.25">
      <c r="B751" s="772" t="s">
        <v>3074</v>
      </c>
      <c r="C751" s="772" t="s">
        <v>2121</v>
      </c>
      <c r="D751" s="772" t="s">
        <v>943</v>
      </c>
    </row>
    <row r="752" spans="2:4" x14ac:dyDescent="0.25">
      <c r="B752" s="772" t="s">
        <v>3075</v>
      </c>
      <c r="C752" s="772" t="s">
        <v>2122</v>
      </c>
      <c r="D752" s="772" t="s">
        <v>943</v>
      </c>
    </row>
    <row r="753" spans="2:4" x14ac:dyDescent="0.25">
      <c r="B753" s="772" t="s">
        <v>3076</v>
      </c>
      <c r="C753" s="772" t="s">
        <v>2123</v>
      </c>
      <c r="D753" s="772" t="s">
        <v>1701</v>
      </c>
    </row>
    <row r="754" spans="2:4" x14ac:dyDescent="0.25">
      <c r="B754" s="772" t="s">
        <v>3077</v>
      </c>
      <c r="C754" s="772" t="s">
        <v>2124</v>
      </c>
      <c r="D754" s="772" t="s">
        <v>1701</v>
      </c>
    </row>
    <row r="755" spans="2:4" x14ac:dyDescent="0.25">
      <c r="B755" s="772" t="s">
        <v>3078</v>
      </c>
      <c r="C755" s="772" t="s">
        <v>2125</v>
      </c>
      <c r="D755" s="772" t="s">
        <v>1858</v>
      </c>
    </row>
    <row r="756" spans="2:4" x14ac:dyDescent="0.25">
      <c r="B756" s="772" t="s">
        <v>3079</v>
      </c>
      <c r="C756" s="772" t="s">
        <v>2126</v>
      </c>
      <c r="D756" s="772" t="s">
        <v>1701</v>
      </c>
    </row>
    <row r="757" spans="2:4" x14ac:dyDescent="0.25">
      <c r="B757" s="772" t="s">
        <v>3080</v>
      </c>
      <c r="C757" s="772" t="s">
        <v>2127</v>
      </c>
      <c r="D757" s="772" t="s">
        <v>1701</v>
      </c>
    </row>
    <row r="758" spans="2:4" x14ac:dyDescent="0.25">
      <c r="B758" s="772" t="s">
        <v>3081</v>
      </c>
      <c r="C758" s="772" t="s">
        <v>2128</v>
      </c>
      <c r="D758" s="772" t="s">
        <v>1701</v>
      </c>
    </row>
    <row r="759" spans="2:4" x14ac:dyDescent="0.25">
      <c r="B759" s="772" t="s">
        <v>2749</v>
      </c>
      <c r="C759" s="772" t="s">
        <v>1716</v>
      </c>
      <c r="D759" s="772" t="s">
        <v>1019</v>
      </c>
    </row>
    <row r="760" spans="2:4" x14ac:dyDescent="0.25">
      <c r="B760" s="772" t="s">
        <v>3082</v>
      </c>
      <c r="C760" s="772" t="s">
        <v>2129</v>
      </c>
      <c r="D760" s="772" t="s">
        <v>1019</v>
      </c>
    </row>
    <row r="761" spans="2:4" x14ac:dyDescent="0.25">
      <c r="B761" s="772" t="s">
        <v>3083</v>
      </c>
      <c r="C761" s="772" t="s">
        <v>2130</v>
      </c>
      <c r="D761" s="772" t="s">
        <v>1019</v>
      </c>
    </row>
    <row r="762" spans="2:4" x14ac:dyDescent="0.25">
      <c r="B762" s="772" t="s">
        <v>3084</v>
      </c>
      <c r="C762" s="772" t="s">
        <v>2131</v>
      </c>
      <c r="D762" s="772" t="s">
        <v>1755</v>
      </c>
    </row>
    <row r="763" spans="2:4" x14ac:dyDescent="0.25">
      <c r="B763" s="772" t="s">
        <v>3085</v>
      </c>
      <c r="C763" s="772" t="s">
        <v>2132</v>
      </c>
      <c r="D763" s="772" t="s">
        <v>1951</v>
      </c>
    </row>
    <row r="764" spans="2:4" x14ac:dyDescent="0.25">
      <c r="B764" s="772" t="s">
        <v>3086</v>
      </c>
      <c r="C764" s="772" t="s">
        <v>2133</v>
      </c>
      <c r="D764" s="772" t="s">
        <v>1696</v>
      </c>
    </row>
    <row r="765" spans="2:4" x14ac:dyDescent="0.25">
      <c r="B765" s="772" t="s">
        <v>2134</v>
      </c>
      <c r="C765" s="772" t="s">
        <v>2135</v>
      </c>
      <c r="D765" s="772" t="s">
        <v>1689</v>
      </c>
    </row>
    <row r="766" spans="2:4" x14ac:dyDescent="0.25">
      <c r="B766" s="772" t="s">
        <v>3087</v>
      </c>
      <c r="C766" s="772" t="s">
        <v>2136</v>
      </c>
      <c r="D766" s="772" t="s">
        <v>1696</v>
      </c>
    </row>
    <row r="767" spans="2:4" x14ac:dyDescent="0.25">
      <c r="B767" s="772" t="s">
        <v>3088</v>
      </c>
      <c r="C767" s="772" t="s">
        <v>2137</v>
      </c>
      <c r="D767" s="772" t="s">
        <v>1696</v>
      </c>
    </row>
    <row r="768" spans="2:4" x14ac:dyDescent="0.25">
      <c r="B768" s="772" t="s">
        <v>3089</v>
      </c>
      <c r="C768" s="772" t="s">
        <v>2138</v>
      </c>
      <c r="D768" s="772" t="s">
        <v>1696</v>
      </c>
    </row>
    <row r="769" spans="2:4" x14ac:dyDescent="0.25">
      <c r="B769" s="772" t="s">
        <v>3090</v>
      </c>
      <c r="C769" s="772" t="s">
        <v>2139</v>
      </c>
      <c r="D769" s="772" t="s">
        <v>1696</v>
      </c>
    </row>
    <row r="770" spans="2:4" x14ac:dyDescent="0.25">
      <c r="B770" s="772" t="s">
        <v>3091</v>
      </c>
      <c r="C770" s="772" t="s">
        <v>2140</v>
      </c>
      <c r="D770" s="772" t="s">
        <v>1696</v>
      </c>
    </row>
    <row r="771" spans="2:4" x14ac:dyDescent="0.25">
      <c r="B771" s="772" t="s">
        <v>3092</v>
      </c>
      <c r="C771" s="772" t="s">
        <v>2141</v>
      </c>
      <c r="D771" s="772" t="s">
        <v>1696</v>
      </c>
    </row>
    <row r="772" spans="2:4" x14ac:dyDescent="0.25">
      <c r="B772" s="772" t="s">
        <v>3093</v>
      </c>
      <c r="C772" s="772" t="s">
        <v>2142</v>
      </c>
      <c r="D772" s="772" t="s">
        <v>1696</v>
      </c>
    </row>
    <row r="773" spans="2:4" x14ac:dyDescent="0.25">
      <c r="B773" s="772" t="s">
        <v>3094</v>
      </c>
      <c r="C773" s="772" t="s">
        <v>2143</v>
      </c>
      <c r="D773" s="772" t="s">
        <v>1696</v>
      </c>
    </row>
    <row r="774" spans="2:4" x14ac:dyDescent="0.25">
      <c r="B774" s="772" t="s">
        <v>3095</v>
      </c>
      <c r="C774" s="772" t="s">
        <v>2144</v>
      </c>
      <c r="D774" s="772" t="s">
        <v>1951</v>
      </c>
    </row>
    <row r="775" spans="2:4" x14ac:dyDescent="0.25">
      <c r="B775" s="772" t="s">
        <v>3096</v>
      </c>
      <c r="C775" s="772" t="s">
        <v>2145</v>
      </c>
      <c r="D775" s="772" t="s">
        <v>1951</v>
      </c>
    </row>
    <row r="776" spans="2:4" x14ac:dyDescent="0.25">
      <c r="B776" s="772" t="s">
        <v>3097</v>
      </c>
      <c r="C776" s="772" t="s">
        <v>2146</v>
      </c>
      <c r="D776" s="772" t="s">
        <v>1696</v>
      </c>
    </row>
    <row r="777" spans="2:4" x14ac:dyDescent="0.25">
      <c r="B777" s="772" t="s">
        <v>3098</v>
      </c>
      <c r="C777" s="772" t="s">
        <v>2147</v>
      </c>
      <c r="D777" s="772" t="s">
        <v>1696</v>
      </c>
    </row>
    <row r="778" spans="2:4" x14ac:dyDescent="0.25">
      <c r="B778" s="772" t="s">
        <v>3099</v>
      </c>
      <c r="C778" s="772" t="s">
        <v>2148</v>
      </c>
      <c r="D778" s="772" t="s">
        <v>1696</v>
      </c>
    </row>
    <row r="779" spans="2:4" x14ac:dyDescent="0.25">
      <c r="B779" s="772" t="s">
        <v>3100</v>
      </c>
      <c r="C779" s="772" t="s">
        <v>2149</v>
      </c>
      <c r="D779" s="772" t="s">
        <v>1951</v>
      </c>
    </row>
    <row r="780" spans="2:4" x14ac:dyDescent="0.25">
      <c r="B780" s="772" t="s">
        <v>3101</v>
      </c>
      <c r="C780" s="772" t="s">
        <v>2150</v>
      </c>
      <c r="D780" s="772" t="s">
        <v>1951</v>
      </c>
    </row>
    <row r="781" spans="2:4" x14ac:dyDescent="0.25">
      <c r="B781" s="772" t="s">
        <v>3102</v>
      </c>
      <c r="C781" s="772" t="s">
        <v>2151</v>
      </c>
      <c r="D781" s="772" t="s">
        <v>1951</v>
      </c>
    </row>
    <row r="782" spans="2:4" x14ac:dyDescent="0.25">
      <c r="B782" s="772" t="s">
        <v>3103</v>
      </c>
      <c r="C782" s="772" t="s">
        <v>2152</v>
      </c>
      <c r="D782" s="772" t="s">
        <v>1951</v>
      </c>
    </row>
    <row r="783" spans="2:4" x14ac:dyDescent="0.25">
      <c r="B783" s="772" t="s">
        <v>3104</v>
      </c>
      <c r="C783" s="772" t="s">
        <v>2153</v>
      </c>
      <c r="D783" s="772" t="s">
        <v>1755</v>
      </c>
    </row>
    <row r="784" spans="2:4" x14ac:dyDescent="0.25">
      <c r="B784" s="772" t="s">
        <v>3105</v>
      </c>
      <c r="C784" s="772" t="s">
        <v>2154</v>
      </c>
      <c r="D784" s="772" t="s">
        <v>1951</v>
      </c>
    </row>
    <row r="785" spans="2:4" x14ac:dyDescent="0.25">
      <c r="B785" s="772" t="s">
        <v>3106</v>
      </c>
      <c r="C785" s="772" t="s">
        <v>2155</v>
      </c>
      <c r="D785" s="772" t="s">
        <v>1951</v>
      </c>
    </row>
    <row r="786" spans="2:4" x14ac:dyDescent="0.25">
      <c r="B786" s="772" t="s">
        <v>2156</v>
      </c>
      <c r="C786" s="772" t="s">
        <v>2157</v>
      </c>
      <c r="D786" s="772" t="s">
        <v>1951</v>
      </c>
    </row>
    <row r="787" spans="2:4" x14ac:dyDescent="0.25">
      <c r="B787" s="772" t="s">
        <v>2158</v>
      </c>
      <c r="C787" s="772" t="s">
        <v>2159</v>
      </c>
      <c r="D787" s="772" t="s">
        <v>1951</v>
      </c>
    </row>
    <row r="788" spans="2:4" x14ac:dyDescent="0.25">
      <c r="B788" s="772" t="s">
        <v>2160</v>
      </c>
      <c r="C788" s="772" t="s">
        <v>2161</v>
      </c>
      <c r="D788" s="772" t="s">
        <v>1951</v>
      </c>
    </row>
    <row r="789" spans="2:4" x14ac:dyDescent="0.25">
      <c r="B789" s="772" t="s">
        <v>3107</v>
      </c>
      <c r="C789" s="772" t="s">
        <v>2162</v>
      </c>
      <c r="D789" s="772" t="s">
        <v>1951</v>
      </c>
    </row>
    <row r="790" spans="2:4" x14ac:dyDescent="0.25">
      <c r="B790" s="772" t="s">
        <v>2163</v>
      </c>
      <c r="C790" s="772" t="s">
        <v>2164</v>
      </c>
      <c r="D790" s="772" t="s">
        <v>1951</v>
      </c>
    </row>
    <row r="791" spans="2:4" x14ac:dyDescent="0.25">
      <c r="B791" s="772" t="s">
        <v>3108</v>
      </c>
      <c r="C791" s="772" t="s">
        <v>2165</v>
      </c>
      <c r="D791" s="772" t="s">
        <v>1951</v>
      </c>
    </row>
    <row r="792" spans="2:4" x14ac:dyDescent="0.25">
      <c r="B792" s="772" t="s">
        <v>3109</v>
      </c>
      <c r="C792" s="772" t="s">
        <v>2166</v>
      </c>
      <c r="D792" s="772" t="s">
        <v>1951</v>
      </c>
    </row>
    <row r="793" spans="2:4" x14ac:dyDescent="0.25">
      <c r="B793" s="772" t="s">
        <v>2167</v>
      </c>
      <c r="C793" s="772" t="s">
        <v>2168</v>
      </c>
      <c r="D793" s="772" t="s">
        <v>1951</v>
      </c>
    </row>
    <row r="794" spans="2:4" x14ac:dyDescent="0.25">
      <c r="B794" s="772" t="s">
        <v>2169</v>
      </c>
      <c r="C794" s="772" t="s">
        <v>2170</v>
      </c>
      <c r="D794" s="772" t="s">
        <v>1951</v>
      </c>
    </row>
    <row r="795" spans="2:4" x14ac:dyDescent="0.25">
      <c r="B795" s="772" t="s">
        <v>2171</v>
      </c>
      <c r="C795" s="772" t="s">
        <v>2172</v>
      </c>
      <c r="D795" s="772" t="s">
        <v>1951</v>
      </c>
    </row>
    <row r="796" spans="2:4" x14ac:dyDescent="0.25">
      <c r="B796" s="772" t="s">
        <v>2173</v>
      </c>
      <c r="C796" s="772" t="s">
        <v>2174</v>
      </c>
      <c r="D796" s="772" t="s">
        <v>1951</v>
      </c>
    </row>
    <row r="797" spans="2:4" x14ac:dyDescent="0.25">
      <c r="B797" s="772" t="s">
        <v>2175</v>
      </c>
      <c r="C797" s="772" t="s">
        <v>2176</v>
      </c>
      <c r="D797" s="772" t="s">
        <v>1951</v>
      </c>
    </row>
    <row r="798" spans="2:4" x14ac:dyDescent="0.25">
      <c r="B798" s="772" t="s">
        <v>3110</v>
      </c>
      <c r="C798" s="772" t="s">
        <v>2177</v>
      </c>
      <c r="D798" s="772" t="s">
        <v>1951</v>
      </c>
    </row>
    <row r="799" spans="2:4" x14ac:dyDescent="0.25">
      <c r="B799" s="772" t="s">
        <v>3111</v>
      </c>
      <c r="C799" s="772" t="s">
        <v>2178</v>
      </c>
      <c r="D799" s="772" t="s">
        <v>1951</v>
      </c>
    </row>
    <row r="800" spans="2:4" x14ac:dyDescent="0.25">
      <c r="B800" s="772" t="s">
        <v>3112</v>
      </c>
      <c r="C800" s="772" t="s">
        <v>2179</v>
      </c>
      <c r="D800" s="772" t="s">
        <v>1951</v>
      </c>
    </row>
    <row r="801" spans="2:4" x14ac:dyDescent="0.25">
      <c r="B801" s="772" t="s">
        <v>3113</v>
      </c>
      <c r="C801" s="772" t="s">
        <v>2180</v>
      </c>
      <c r="D801" s="772" t="s">
        <v>1701</v>
      </c>
    </row>
    <row r="802" spans="2:4" x14ac:dyDescent="0.25">
      <c r="B802" s="772" t="s">
        <v>3114</v>
      </c>
      <c r="C802" s="772" t="s">
        <v>2181</v>
      </c>
      <c r="D802" s="772" t="s">
        <v>1951</v>
      </c>
    </row>
    <row r="803" spans="2:4" x14ac:dyDescent="0.25">
      <c r="B803" s="772" t="s">
        <v>3115</v>
      </c>
      <c r="C803" s="772" t="s">
        <v>2182</v>
      </c>
      <c r="D803" s="772" t="s">
        <v>1701</v>
      </c>
    </row>
    <row r="804" spans="2:4" x14ac:dyDescent="0.25">
      <c r="B804" s="772" t="s">
        <v>3116</v>
      </c>
      <c r="C804" s="772" t="s">
        <v>2183</v>
      </c>
      <c r="D804" s="772" t="s">
        <v>1951</v>
      </c>
    </row>
    <row r="805" spans="2:4" x14ac:dyDescent="0.25">
      <c r="B805" s="772" t="s">
        <v>3117</v>
      </c>
      <c r="C805" s="772" t="s">
        <v>2184</v>
      </c>
      <c r="D805" s="772" t="s">
        <v>1701</v>
      </c>
    </row>
    <row r="806" spans="2:4" x14ac:dyDescent="0.25">
      <c r="B806" s="772" t="s">
        <v>3118</v>
      </c>
      <c r="C806" s="772" t="s">
        <v>2185</v>
      </c>
      <c r="D806" s="772" t="s">
        <v>1689</v>
      </c>
    </row>
    <row r="807" spans="2:4" x14ac:dyDescent="0.25">
      <c r="B807" s="772" t="s">
        <v>3119</v>
      </c>
      <c r="C807" s="772" t="s">
        <v>2186</v>
      </c>
      <c r="D807" s="772" t="s">
        <v>1951</v>
      </c>
    </row>
    <row r="808" spans="2:4" x14ac:dyDescent="0.25">
      <c r="B808" s="772" t="s">
        <v>3120</v>
      </c>
      <c r="C808" s="772" t="s">
        <v>2187</v>
      </c>
      <c r="D808" s="772" t="s">
        <v>1951</v>
      </c>
    </row>
    <row r="809" spans="2:4" x14ac:dyDescent="0.25">
      <c r="B809" s="772" t="s">
        <v>3121</v>
      </c>
      <c r="C809" s="772" t="s">
        <v>2188</v>
      </c>
      <c r="D809" s="772" t="s">
        <v>1755</v>
      </c>
    </row>
    <row r="810" spans="2:4" x14ac:dyDescent="0.25">
      <c r="B810" s="772" t="s">
        <v>3122</v>
      </c>
      <c r="C810" s="772" t="s">
        <v>2189</v>
      </c>
      <c r="D810" s="772" t="s">
        <v>1755</v>
      </c>
    </row>
    <row r="811" spans="2:4" x14ac:dyDescent="0.25">
      <c r="B811" s="772" t="s">
        <v>3123</v>
      </c>
      <c r="C811" s="772" t="s">
        <v>2190</v>
      </c>
      <c r="D811" s="772" t="s">
        <v>1951</v>
      </c>
    </row>
    <row r="812" spans="2:4" x14ac:dyDescent="0.25">
      <c r="B812" s="772" t="s">
        <v>3124</v>
      </c>
      <c r="C812" s="772" t="s">
        <v>2191</v>
      </c>
      <c r="D812" s="772" t="s">
        <v>1951</v>
      </c>
    </row>
    <row r="813" spans="2:4" x14ac:dyDescent="0.25">
      <c r="B813" s="772" t="s">
        <v>3125</v>
      </c>
      <c r="C813" s="772" t="s">
        <v>2192</v>
      </c>
      <c r="D813" s="772" t="s">
        <v>1951</v>
      </c>
    </row>
    <row r="814" spans="2:4" x14ac:dyDescent="0.25">
      <c r="B814" s="772" t="s">
        <v>3126</v>
      </c>
      <c r="C814" s="772" t="s">
        <v>2193</v>
      </c>
      <c r="D814" s="772" t="s">
        <v>1951</v>
      </c>
    </row>
    <row r="815" spans="2:4" x14ac:dyDescent="0.25">
      <c r="B815" s="772" t="s">
        <v>3127</v>
      </c>
      <c r="C815" s="772" t="s">
        <v>2194</v>
      </c>
      <c r="D815" s="772" t="s">
        <v>1696</v>
      </c>
    </row>
    <row r="816" spans="2:4" x14ac:dyDescent="0.25">
      <c r="B816" s="772" t="s">
        <v>3128</v>
      </c>
      <c r="C816" s="772" t="s">
        <v>2195</v>
      </c>
      <c r="D816" s="772" t="s">
        <v>1755</v>
      </c>
    </row>
    <row r="817" spans="2:4" x14ac:dyDescent="0.25">
      <c r="B817" s="772" t="s">
        <v>3129</v>
      </c>
      <c r="C817" s="772" t="s">
        <v>2196</v>
      </c>
      <c r="D817" s="772" t="s">
        <v>1689</v>
      </c>
    </row>
    <row r="818" spans="2:4" x14ac:dyDescent="0.25">
      <c r="B818" s="772" t="s">
        <v>3130</v>
      </c>
      <c r="C818" s="772" t="s">
        <v>2197</v>
      </c>
      <c r="D818" s="772" t="s">
        <v>1689</v>
      </c>
    </row>
    <row r="819" spans="2:4" x14ac:dyDescent="0.25">
      <c r="B819" s="772" t="s">
        <v>3131</v>
      </c>
      <c r="C819" s="772" t="s">
        <v>2198</v>
      </c>
      <c r="D819" s="772" t="s">
        <v>1689</v>
      </c>
    </row>
    <row r="820" spans="2:4" x14ac:dyDescent="0.25">
      <c r="B820" s="772" t="s">
        <v>3132</v>
      </c>
      <c r="C820" s="772" t="s">
        <v>2199</v>
      </c>
      <c r="D820" s="772" t="s">
        <v>1019</v>
      </c>
    </row>
    <row r="821" spans="2:4" x14ac:dyDescent="0.25">
      <c r="B821" s="772" t="s">
        <v>3133</v>
      </c>
      <c r="C821" s="772" t="s">
        <v>2200</v>
      </c>
      <c r="D821" s="772" t="s">
        <v>1019</v>
      </c>
    </row>
    <row r="822" spans="2:4" x14ac:dyDescent="0.25">
      <c r="B822" s="772" t="s">
        <v>3134</v>
      </c>
      <c r="C822" s="772" t="s">
        <v>2201</v>
      </c>
      <c r="D822" s="772" t="s">
        <v>1019</v>
      </c>
    </row>
    <row r="823" spans="2:4" x14ac:dyDescent="0.25">
      <c r="B823" s="772" t="s">
        <v>3135</v>
      </c>
      <c r="C823" s="772" t="s">
        <v>2202</v>
      </c>
      <c r="D823" s="772" t="s">
        <v>1019</v>
      </c>
    </row>
    <row r="824" spans="2:4" x14ac:dyDescent="0.25">
      <c r="B824" s="772" t="s">
        <v>3136</v>
      </c>
      <c r="C824" s="772" t="s">
        <v>2203</v>
      </c>
      <c r="D824" s="772" t="s">
        <v>1019</v>
      </c>
    </row>
    <row r="825" spans="2:4" x14ac:dyDescent="0.25">
      <c r="B825" s="772" t="s">
        <v>3137</v>
      </c>
      <c r="C825" s="772" t="s">
        <v>2204</v>
      </c>
      <c r="D825" s="772" t="s">
        <v>1763</v>
      </c>
    </row>
    <row r="826" spans="2:4" x14ac:dyDescent="0.25">
      <c r="B826" s="772" t="s">
        <v>3138</v>
      </c>
      <c r="C826" s="772" t="s">
        <v>2205</v>
      </c>
      <c r="D826" s="772" t="s">
        <v>1763</v>
      </c>
    </row>
    <row r="827" spans="2:4" x14ac:dyDescent="0.25">
      <c r="B827" s="772" t="s">
        <v>3139</v>
      </c>
      <c r="C827" s="772" t="s">
        <v>2206</v>
      </c>
      <c r="D827" s="772" t="s">
        <v>943</v>
      </c>
    </row>
    <row r="828" spans="2:4" x14ac:dyDescent="0.25">
      <c r="B828" s="772" t="s">
        <v>2207</v>
      </c>
      <c r="C828" s="772" t="s">
        <v>2208</v>
      </c>
      <c r="D828" s="772" t="s">
        <v>1689</v>
      </c>
    </row>
    <row r="829" spans="2:4" x14ac:dyDescent="0.25">
      <c r="B829" s="772" t="s">
        <v>3140</v>
      </c>
      <c r="C829" s="772" t="s">
        <v>2209</v>
      </c>
      <c r="D829" s="772" t="s">
        <v>1689</v>
      </c>
    </row>
    <row r="830" spans="2:4" x14ac:dyDescent="0.25">
      <c r="B830" s="772" t="s">
        <v>3141</v>
      </c>
      <c r="C830" s="772" t="s">
        <v>2210</v>
      </c>
      <c r="D830" s="772" t="s">
        <v>1689</v>
      </c>
    </row>
    <row r="831" spans="2:4" x14ac:dyDescent="0.25">
      <c r="B831" s="772" t="s">
        <v>3142</v>
      </c>
      <c r="C831" s="772" t="s">
        <v>2211</v>
      </c>
      <c r="D831" s="772" t="s">
        <v>1689</v>
      </c>
    </row>
    <row r="832" spans="2:4" x14ac:dyDescent="0.25">
      <c r="B832" s="772" t="s">
        <v>3143</v>
      </c>
      <c r="C832" s="772" t="s">
        <v>2212</v>
      </c>
      <c r="D832" s="772" t="s">
        <v>1689</v>
      </c>
    </row>
    <row r="833" spans="2:4" x14ac:dyDescent="0.25">
      <c r="B833" s="772" t="s">
        <v>3144</v>
      </c>
      <c r="C833" s="772" t="s">
        <v>2213</v>
      </c>
      <c r="D833" s="772" t="s">
        <v>1689</v>
      </c>
    </row>
    <row r="834" spans="2:4" x14ac:dyDescent="0.25">
      <c r="B834" s="772" t="s">
        <v>3145</v>
      </c>
      <c r="C834" s="772" t="s">
        <v>2214</v>
      </c>
      <c r="D834" s="772" t="s">
        <v>1689</v>
      </c>
    </row>
    <row r="835" spans="2:4" x14ac:dyDescent="0.25">
      <c r="B835" s="772" t="s">
        <v>3146</v>
      </c>
      <c r="C835" s="772" t="s">
        <v>2215</v>
      </c>
      <c r="D835" s="772" t="s">
        <v>1689</v>
      </c>
    </row>
    <row r="836" spans="2:4" x14ac:dyDescent="0.25">
      <c r="B836" s="772" t="s">
        <v>3147</v>
      </c>
      <c r="C836" s="772" t="s">
        <v>2216</v>
      </c>
      <c r="D836" s="772" t="s">
        <v>1689</v>
      </c>
    </row>
    <row r="837" spans="2:4" x14ac:dyDescent="0.25">
      <c r="B837" s="772" t="s">
        <v>3148</v>
      </c>
      <c r="C837" s="772" t="s">
        <v>2217</v>
      </c>
      <c r="D837" s="772" t="s">
        <v>1689</v>
      </c>
    </row>
    <row r="838" spans="2:4" x14ac:dyDescent="0.25">
      <c r="B838" s="772" t="s">
        <v>3149</v>
      </c>
      <c r="C838" s="772" t="s">
        <v>2218</v>
      </c>
      <c r="D838" s="772" t="s">
        <v>1689</v>
      </c>
    </row>
    <row r="839" spans="2:4" x14ac:dyDescent="0.25">
      <c r="B839" s="772" t="s">
        <v>3150</v>
      </c>
      <c r="C839" s="772" t="s">
        <v>2219</v>
      </c>
      <c r="D839" s="772" t="s">
        <v>1689</v>
      </c>
    </row>
    <row r="840" spans="2:4" x14ac:dyDescent="0.25">
      <c r="B840" s="772" t="s">
        <v>3151</v>
      </c>
      <c r="C840" s="772" t="s">
        <v>2220</v>
      </c>
      <c r="D840" s="772" t="s">
        <v>1689</v>
      </c>
    </row>
    <row r="841" spans="2:4" x14ac:dyDescent="0.25">
      <c r="B841" s="772" t="s">
        <v>3152</v>
      </c>
      <c r="C841" s="772" t="s">
        <v>2221</v>
      </c>
      <c r="D841" s="772" t="s">
        <v>1689</v>
      </c>
    </row>
    <row r="842" spans="2:4" x14ac:dyDescent="0.25">
      <c r="B842" s="772" t="s">
        <v>3153</v>
      </c>
      <c r="C842" s="772" t="s">
        <v>2222</v>
      </c>
      <c r="D842" s="772" t="s">
        <v>1689</v>
      </c>
    </row>
    <row r="843" spans="2:4" x14ac:dyDescent="0.25">
      <c r="B843" s="772" t="s">
        <v>3154</v>
      </c>
      <c r="C843" s="772" t="s">
        <v>2223</v>
      </c>
      <c r="D843" s="772" t="s">
        <v>1689</v>
      </c>
    </row>
    <row r="844" spans="2:4" x14ac:dyDescent="0.25">
      <c r="B844" s="772" t="s">
        <v>3155</v>
      </c>
      <c r="C844" s="772" t="s">
        <v>2224</v>
      </c>
      <c r="D844" s="772" t="s">
        <v>1689</v>
      </c>
    </row>
    <row r="845" spans="2:4" x14ac:dyDescent="0.25">
      <c r="B845" s="772" t="s">
        <v>3156</v>
      </c>
      <c r="C845" s="772" t="s">
        <v>2225</v>
      </c>
      <c r="D845" s="772" t="s">
        <v>1689</v>
      </c>
    </row>
    <row r="846" spans="2:4" x14ac:dyDescent="0.25">
      <c r="B846" s="772" t="s">
        <v>3157</v>
      </c>
      <c r="C846" s="772" t="s">
        <v>2226</v>
      </c>
      <c r="D846" s="772" t="s">
        <v>1689</v>
      </c>
    </row>
    <row r="847" spans="2:4" x14ac:dyDescent="0.25">
      <c r="B847" s="772" t="s">
        <v>3158</v>
      </c>
      <c r="C847" s="772" t="s">
        <v>2227</v>
      </c>
      <c r="D847" s="772" t="s">
        <v>1689</v>
      </c>
    </row>
    <row r="848" spans="2:4" x14ac:dyDescent="0.25">
      <c r="B848" s="772" t="s">
        <v>3159</v>
      </c>
      <c r="C848" s="772" t="s">
        <v>2228</v>
      </c>
      <c r="D848" s="772" t="s">
        <v>1019</v>
      </c>
    </row>
    <row r="849" spans="2:5" x14ac:dyDescent="0.25">
      <c r="B849" s="772" t="s">
        <v>3160</v>
      </c>
      <c r="C849" s="772" t="s">
        <v>2229</v>
      </c>
      <c r="D849" s="772" t="s">
        <v>1019</v>
      </c>
    </row>
    <row r="850" spans="2:5" x14ac:dyDescent="0.25">
      <c r="B850" s="772" t="s">
        <v>3161</v>
      </c>
      <c r="C850" s="772" t="s">
        <v>2230</v>
      </c>
      <c r="D850" s="772" t="s">
        <v>1019</v>
      </c>
    </row>
    <row r="851" spans="2:5" x14ac:dyDescent="0.25">
      <c r="B851" s="772" t="s">
        <v>3162</v>
      </c>
      <c r="C851" s="772" t="s">
        <v>2231</v>
      </c>
      <c r="D851" s="772" t="s">
        <v>1019</v>
      </c>
    </row>
    <row r="852" spans="2:5" x14ac:dyDescent="0.25">
      <c r="B852" s="772" t="s">
        <v>3163</v>
      </c>
      <c r="C852" s="772" t="s">
        <v>2232</v>
      </c>
      <c r="D852" s="772" t="s">
        <v>1689</v>
      </c>
    </row>
    <row r="853" spans="2:5" x14ac:dyDescent="0.25">
      <c r="B853" s="772" t="s">
        <v>3164</v>
      </c>
      <c r="C853" s="772" t="s">
        <v>2233</v>
      </c>
      <c r="D853" s="772" t="s">
        <v>1701</v>
      </c>
    </row>
    <row r="854" spans="2:5" x14ac:dyDescent="0.25">
      <c r="B854" s="772" t="s">
        <v>3165</v>
      </c>
      <c r="C854" s="772" t="s">
        <v>2234</v>
      </c>
      <c r="D854" s="772" t="s">
        <v>1689</v>
      </c>
    </row>
    <row r="855" spans="2:5" x14ac:dyDescent="0.25">
      <c r="B855" s="772" t="s">
        <v>3166</v>
      </c>
      <c r="C855" s="772" t="s">
        <v>2235</v>
      </c>
      <c r="D855" s="772" t="s">
        <v>1689</v>
      </c>
    </row>
    <row r="856" spans="2:5" x14ac:dyDescent="0.25">
      <c r="B856" s="772" t="s">
        <v>3167</v>
      </c>
      <c r="C856" s="772" t="s">
        <v>2236</v>
      </c>
      <c r="D856" s="772" t="s">
        <v>1689</v>
      </c>
    </row>
    <row r="857" spans="2:5" x14ac:dyDescent="0.25">
      <c r="B857" s="772" t="s">
        <v>3168</v>
      </c>
      <c r="C857" s="772" t="s">
        <v>2237</v>
      </c>
      <c r="D857" s="772" t="s">
        <v>1858</v>
      </c>
      <c r="E857" s="772"/>
    </row>
    <row r="858" spans="2:5" x14ac:dyDescent="0.25">
      <c r="B858" s="772" t="s">
        <v>3169</v>
      </c>
      <c r="C858" s="772" t="s">
        <v>2238</v>
      </c>
      <c r="D858" s="772" t="s">
        <v>1689</v>
      </c>
      <c r="E858" s="772"/>
    </row>
    <row r="859" spans="2:5" x14ac:dyDescent="0.25">
      <c r="B859" s="772" t="s">
        <v>3170</v>
      </c>
      <c r="C859" s="772" t="s">
        <v>2239</v>
      </c>
      <c r="D859" s="772" t="s">
        <v>1689</v>
      </c>
      <c r="E859" s="772"/>
    </row>
    <row r="860" spans="2:5" x14ac:dyDescent="0.25">
      <c r="B860" s="772" t="s">
        <v>3171</v>
      </c>
      <c r="C860" s="772" t="s">
        <v>2240</v>
      </c>
      <c r="D860" s="772" t="s">
        <v>1689</v>
      </c>
    </row>
    <row r="861" spans="2:5" x14ac:dyDescent="0.25">
      <c r="B861" s="772" t="s">
        <v>3172</v>
      </c>
      <c r="C861" s="772" t="s">
        <v>2241</v>
      </c>
      <c r="D861" s="772" t="s">
        <v>1019</v>
      </c>
    </row>
    <row r="862" spans="2:5" x14ac:dyDescent="0.25">
      <c r="B862" s="772" t="s">
        <v>3173</v>
      </c>
      <c r="C862" s="772" t="s">
        <v>2242</v>
      </c>
      <c r="D862" s="772" t="s">
        <v>1019</v>
      </c>
    </row>
    <row r="863" spans="2:5" x14ac:dyDescent="0.25">
      <c r="B863" s="772" t="s">
        <v>2243</v>
      </c>
      <c r="C863" s="772" t="s">
        <v>2244</v>
      </c>
      <c r="D863" s="772" t="s">
        <v>1019</v>
      </c>
    </row>
    <row r="864" spans="2:5" x14ac:dyDescent="0.25">
      <c r="B864" s="772" t="s">
        <v>2245</v>
      </c>
      <c r="C864" s="772" t="s">
        <v>2246</v>
      </c>
      <c r="D864" s="772" t="s">
        <v>1019</v>
      </c>
    </row>
    <row r="865" spans="2:4" x14ac:dyDescent="0.25">
      <c r="B865" s="772" t="s">
        <v>3174</v>
      </c>
      <c r="C865" s="772" t="s">
        <v>2247</v>
      </c>
      <c r="D865" s="772" t="s">
        <v>1019</v>
      </c>
    </row>
    <row r="866" spans="2:4" x14ac:dyDescent="0.25">
      <c r="B866" s="772" t="s">
        <v>2248</v>
      </c>
      <c r="C866" s="772" t="s">
        <v>2249</v>
      </c>
      <c r="D866" s="772" t="s">
        <v>1019</v>
      </c>
    </row>
    <row r="867" spans="2:4" x14ac:dyDescent="0.25">
      <c r="B867" s="772" t="s">
        <v>3175</v>
      </c>
      <c r="C867" s="772" t="s">
        <v>2250</v>
      </c>
      <c r="D867" s="772" t="s">
        <v>1019</v>
      </c>
    </row>
    <row r="868" spans="2:4" x14ac:dyDescent="0.25">
      <c r="B868" s="772" t="s">
        <v>2251</v>
      </c>
      <c r="C868" s="772" t="s">
        <v>2252</v>
      </c>
      <c r="D868" s="772" t="s">
        <v>1019</v>
      </c>
    </row>
    <row r="869" spans="2:4" x14ac:dyDescent="0.25">
      <c r="B869" s="772" t="s">
        <v>3176</v>
      </c>
      <c r="C869" s="772" t="s">
        <v>2253</v>
      </c>
      <c r="D869" s="772" t="s">
        <v>1019</v>
      </c>
    </row>
    <row r="870" spans="2:4" x14ac:dyDescent="0.25">
      <c r="B870" s="772" t="s">
        <v>3177</v>
      </c>
      <c r="C870" s="772" t="s">
        <v>2254</v>
      </c>
      <c r="D870" s="772" t="s">
        <v>1701</v>
      </c>
    </row>
    <row r="871" spans="2:4" x14ac:dyDescent="0.25">
      <c r="B871" s="772" t="s">
        <v>3178</v>
      </c>
      <c r="C871" s="772" t="s">
        <v>2255</v>
      </c>
      <c r="D871" s="772" t="s">
        <v>1701</v>
      </c>
    </row>
    <row r="872" spans="2:4" x14ac:dyDescent="0.25">
      <c r="B872" s="772" t="s">
        <v>3179</v>
      </c>
      <c r="C872" s="772" t="s">
        <v>2256</v>
      </c>
      <c r="D872" s="772" t="s">
        <v>1701</v>
      </c>
    </row>
    <row r="873" spans="2:4" x14ac:dyDescent="0.25">
      <c r="B873" s="772" t="s">
        <v>3180</v>
      </c>
      <c r="C873" s="772" t="s">
        <v>2257</v>
      </c>
      <c r="D873" s="772" t="s">
        <v>1701</v>
      </c>
    </row>
    <row r="874" spans="2:4" x14ac:dyDescent="0.25">
      <c r="B874" s="772" t="s">
        <v>3181</v>
      </c>
      <c r="C874" s="772" t="s">
        <v>2258</v>
      </c>
      <c r="D874" s="772" t="s">
        <v>1701</v>
      </c>
    </row>
    <row r="875" spans="2:4" x14ac:dyDescent="0.25">
      <c r="B875" s="772" t="s">
        <v>3182</v>
      </c>
      <c r="C875" s="772" t="s">
        <v>2259</v>
      </c>
      <c r="D875" s="772" t="s">
        <v>1701</v>
      </c>
    </row>
    <row r="876" spans="2:4" x14ac:dyDescent="0.25">
      <c r="B876" s="772" t="s">
        <v>3183</v>
      </c>
      <c r="C876" s="772" t="s">
        <v>2260</v>
      </c>
      <c r="D876" s="772" t="s">
        <v>1701</v>
      </c>
    </row>
    <row r="877" spans="2:4" x14ac:dyDescent="0.25">
      <c r="B877" s="772" t="s">
        <v>3184</v>
      </c>
      <c r="C877" s="772" t="s">
        <v>2261</v>
      </c>
      <c r="D877" s="772" t="s">
        <v>1701</v>
      </c>
    </row>
    <row r="878" spans="2:4" x14ac:dyDescent="0.25">
      <c r="B878" s="772" t="s">
        <v>3185</v>
      </c>
      <c r="C878" s="772" t="s">
        <v>2262</v>
      </c>
      <c r="D878" s="772" t="s">
        <v>1701</v>
      </c>
    </row>
    <row r="879" spans="2:4" x14ac:dyDescent="0.25">
      <c r="B879" s="772" t="s">
        <v>3186</v>
      </c>
      <c r="C879" s="772" t="s">
        <v>2263</v>
      </c>
      <c r="D879" s="772" t="s">
        <v>1701</v>
      </c>
    </row>
    <row r="880" spans="2:4" x14ac:dyDescent="0.25">
      <c r="B880" s="772" t="s">
        <v>3187</v>
      </c>
      <c r="C880" s="772" t="s">
        <v>2264</v>
      </c>
      <c r="D880" s="772" t="s">
        <v>1701</v>
      </c>
    </row>
    <row r="881" spans="2:4" x14ac:dyDescent="0.25">
      <c r="B881" s="772" t="s">
        <v>3188</v>
      </c>
      <c r="C881" s="772" t="s">
        <v>2265</v>
      </c>
      <c r="D881" s="772" t="s">
        <v>1701</v>
      </c>
    </row>
    <row r="882" spans="2:4" x14ac:dyDescent="0.25">
      <c r="B882" s="772" t="s">
        <v>3189</v>
      </c>
      <c r="C882" s="772" t="s">
        <v>2266</v>
      </c>
      <c r="D882" s="772" t="s">
        <v>1701</v>
      </c>
    </row>
    <row r="883" spans="2:4" x14ac:dyDescent="0.25">
      <c r="B883" s="772" t="s">
        <v>3190</v>
      </c>
      <c r="C883" s="772" t="s">
        <v>2267</v>
      </c>
      <c r="D883" s="772" t="s">
        <v>1701</v>
      </c>
    </row>
    <row r="884" spans="2:4" x14ac:dyDescent="0.25">
      <c r="B884" s="772" t="s">
        <v>3191</v>
      </c>
      <c r="C884" s="772" t="s">
        <v>2268</v>
      </c>
      <c r="D884" s="772" t="s">
        <v>1701</v>
      </c>
    </row>
    <row r="885" spans="2:4" x14ac:dyDescent="0.25">
      <c r="B885" s="772" t="s">
        <v>3192</v>
      </c>
      <c r="C885" s="772" t="s">
        <v>2269</v>
      </c>
      <c r="D885" s="772" t="s">
        <v>1701</v>
      </c>
    </row>
    <row r="886" spans="2:4" x14ac:dyDescent="0.25">
      <c r="B886" s="772" t="s">
        <v>3193</v>
      </c>
      <c r="C886" s="772" t="s">
        <v>2270</v>
      </c>
      <c r="D886" s="772" t="s">
        <v>1019</v>
      </c>
    </row>
    <row r="887" spans="2:4" x14ac:dyDescent="0.25">
      <c r="B887" s="772" t="s">
        <v>2271</v>
      </c>
      <c r="C887" s="772" t="s">
        <v>2272</v>
      </c>
      <c r="D887" s="772" t="s">
        <v>1689</v>
      </c>
    </row>
    <row r="888" spans="2:4" x14ac:dyDescent="0.25">
      <c r="B888" s="772" t="s">
        <v>3194</v>
      </c>
      <c r="C888" s="772" t="s">
        <v>2273</v>
      </c>
      <c r="D888" s="772" t="s">
        <v>1689</v>
      </c>
    </row>
    <row r="889" spans="2:4" x14ac:dyDescent="0.25">
      <c r="B889" s="772" t="s">
        <v>3195</v>
      </c>
      <c r="C889" s="772" t="s">
        <v>2274</v>
      </c>
      <c r="D889" s="772" t="s">
        <v>1689</v>
      </c>
    </row>
    <row r="890" spans="2:4" x14ac:dyDescent="0.25">
      <c r="B890" s="772" t="s">
        <v>3196</v>
      </c>
      <c r="C890" s="772" t="s">
        <v>2275</v>
      </c>
      <c r="D890" s="772" t="s">
        <v>1689</v>
      </c>
    </row>
    <row r="891" spans="2:4" x14ac:dyDescent="0.25">
      <c r="B891" s="772" t="s">
        <v>3197</v>
      </c>
      <c r="C891" s="772" t="s">
        <v>2276</v>
      </c>
      <c r="D891" s="772" t="s">
        <v>1689</v>
      </c>
    </row>
    <row r="892" spans="2:4" x14ac:dyDescent="0.25">
      <c r="B892" s="772" t="s">
        <v>3198</v>
      </c>
      <c r="C892" s="772" t="s">
        <v>2277</v>
      </c>
      <c r="D892" s="772" t="s">
        <v>1019</v>
      </c>
    </row>
    <row r="893" spans="2:4" x14ac:dyDescent="0.25">
      <c r="B893" s="772" t="s">
        <v>2278</v>
      </c>
      <c r="C893" s="772" t="s">
        <v>2279</v>
      </c>
      <c r="D893" s="772" t="s">
        <v>1019</v>
      </c>
    </row>
    <row r="894" spans="2:4" x14ac:dyDescent="0.25">
      <c r="B894" s="772" t="s">
        <v>2280</v>
      </c>
      <c r="C894" s="772" t="s">
        <v>2281</v>
      </c>
      <c r="D894" s="772" t="s">
        <v>1019</v>
      </c>
    </row>
    <row r="895" spans="2:4" x14ac:dyDescent="0.25">
      <c r="B895" s="772" t="s">
        <v>3199</v>
      </c>
      <c r="C895" s="772" t="s">
        <v>2282</v>
      </c>
      <c r="D895" s="772" t="s">
        <v>1019</v>
      </c>
    </row>
    <row r="896" spans="2:4" x14ac:dyDescent="0.25">
      <c r="B896" s="772" t="s">
        <v>3200</v>
      </c>
      <c r="C896" s="772" t="s">
        <v>2283</v>
      </c>
      <c r="D896" s="772" t="s">
        <v>1019</v>
      </c>
    </row>
    <row r="897" spans="2:4" x14ac:dyDescent="0.25">
      <c r="B897" s="772" t="s">
        <v>2284</v>
      </c>
      <c r="C897" s="772" t="s">
        <v>2285</v>
      </c>
      <c r="D897" s="772" t="s">
        <v>1019</v>
      </c>
    </row>
    <row r="898" spans="2:4" x14ac:dyDescent="0.25">
      <c r="B898" s="772" t="s">
        <v>3201</v>
      </c>
      <c r="C898" s="772" t="s">
        <v>2286</v>
      </c>
      <c r="D898" s="772" t="s">
        <v>1019</v>
      </c>
    </row>
    <row r="899" spans="2:4" x14ac:dyDescent="0.25">
      <c r="B899" s="772" t="s">
        <v>3202</v>
      </c>
      <c r="C899" s="772" t="s">
        <v>2287</v>
      </c>
      <c r="D899" s="772" t="s">
        <v>1019</v>
      </c>
    </row>
    <row r="900" spans="2:4" x14ac:dyDescent="0.25">
      <c r="B900" s="772" t="s">
        <v>3203</v>
      </c>
      <c r="C900" s="772" t="s">
        <v>2288</v>
      </c>
      <c r="D900" s="772" t="s">
        <v>1019</v>
      </c>
    </row>
    <row r="901" spans="2:4" x14ac:dyDescent="0.25">
      <c r="B901" s="772" t="s">
        <v>2289</v>
      </c>
      <c r="C901" s="772" t="s">
        <v>2290</v>
      </c>
      <c r="D901" s="772" t="s">
        <v>1019</v>
      </c>
    </row>
    <row r="902" spans="2:4" x14ac:dyDescent="0.25">
      <c r="B902" s="772" t="s">
        <v>3204</v>
      </c>
      <c r="C902" s="772" t="s">
        <v>2291</v>
      </c>
      <c r="D902" s="772" t="s">
        <v>1019</v>
      </c>
    </row>
    <row r="903" spans="2:4" x14ac:dyDescent="0.25">
      <c r="B903" s="772" t="s">
        <v>3205</v>
      </c>
      <c r="C903" s="772" t="s">
        <v>2292</v>
      </c>
      <c r="D903" s="772" t="s">
        <v>1019</v>
      </c>
    </row>
    <row r="904" spans="2:4" x14ac:dyDescent="0.25">
      <c r="B904" s="772" t="s">
        <v>3206</v>
      </c>
      <c r="C904" s="772" t="s">
        <v>2293</v>
      </c>
      <c r="D904" s="772" t="s">
        <v>1019</v>
      </c>
    </row>
    <row r="905" spans="2:4" x14ac:dyDescent="0.25">
      <c r="B905" s="772" t="s">
        <v>2294</v>
      </c>
      <c r="C905" s="772" t="s">
        <v>2295</v>
      </c>
      <c r="D905" s="772" t="s">
        <v>1019</v>
      </c>
    </row>
    <row r="906" spans="2:4" x14ac:dyDescent="0.25">
      <c r="B906" s="772" t="s">
        <v>3207</v>
      </c>
      <c r="C906" s="772" t="s">
        <v>2296</v>
      </c>
      <c r="D906" s="772" t="s">
        <v>1019</v>
      </c>
    </row>
    <row r="907" spans="2:4" x14ac:dyDescent="0.25">
      <c r="B907" s="772" t="s">
        <v>3208</v>
      </c>
      <c r="C907" s="772" t="s">
        <v>2297</v>
      </c>
      <c r="D907" s="772" t="s">
        <v>1019</v>
      </c>
    </row>
    <row r="908" spans="2:4" x14ac:dyDescent="0.25">
      <c r="B908" s="772" t="s">
        <v>2298</v>
      </c>
      <c r="C908" s="772" t="s">
        <v>2299</v>
      </c>
      <c r="D908" s="772" t="s">
        <v>1019</v>
      </c>
    </row>
    <row r="909" spans="2:4" x14ac:dyDescent="0.25">
      <c r="B909" s="772" t="s">
        <v>3209</v>
      </c>
      <c r="C909" s="772" t="s">
        <v>2300</v>
      </c>
      <c r="D909" s="772" t="s">
        <v>1019</v>
      </c>
    </row>
    <row r="910" spans="2:4" x14ac:dyDescent="0.25">
      <c r="B910" s="772" t="s">
        <v>3210</v>
      </c>
      <c r="C910" s="772" t="s">
        <v>2301</v>
      </c>
      <c r="D910" s="772" t="s">
        <v>1019</v>
      </c>
    </row>
    <row r="911" spans="2:4" x14ac:dyDescent="0.25">
      <c r="B911" s="772" t="s">
        <v>3211</v>
      </c>
      <c r="C911" s="772" t="s">
        <v>2302</v>
      </c>
      <c r="D911" s="772" t="s">
        <v>1019</v>
      </c>
    </row>
    <row r="912" spans="2:4" x14ac:dyDescent="0.25">
      <c r="B912" s="772" t="s">
        <v>3212</v>
      </c>
      <c r="C912" s="772" t="s">
        <v>2303</v>
      </c>
      <c r="D912" s="772" t="s">
        <v>1019</v>
      </c>
    </row>
    <row r="913" spans="2:4" x14ac:dyDescent="0.25">
      <c r="B913" s="772" t="s">
        <v>3213</v>
      </c>
      <c r="C913" s="772" t="s">
        <v>2304</v>
      </c>
      <c r="D913" s="772" t="s">
        <v>1019</v>
      </c>
    </row>
    <row r="914" spans="2:4" x14ac:dyDescent="0.25">
      <c r="B914" s="772" t="s">
        <v>3214</v>
      </c>
      <c r="C914" s="772" t="s">
        <v>2305</v>
      </c>
      <c r="D914" s="772" t="s">
        <v>1019</v>
      </c>
    </row>
    <row r="915" spans="2:4" x14ac:dyDescent="0.25">
      <c r="B915" s="772" t="s">
        <v>2306</v>
      </c>
      <c r="C915" s="772" t="s">
        <v>2307</v>
      </c>
      <c r="D915" s="772" t="s">
        <v>1019</v>
      </c>
    </row>
    <row r="916" spans="2:4" x14ac:dyDescent="0.25">
      <c r="B916" s="772" t="s">
        <v>3215</v>
      </c>
      <c r="C916" s="772" t="s">
        <v>2308</v>
      </c>
      <c r="D916" s="772" t="s">
        <v>1701</v>
      </c>
    </row>
    <row r="917" spans="2:4" x14ac:dyDescent="0.25">
      <c r="B917" s="772" t="s">
        <v>3216</v>
      </c>
      <c r="C917" s="772" t="s">
        <v>2309</v>
      </c>
      <c r="D917" s="772" t="s">
        <v>1019</v>
      </c>
    </row>
    <row r="918" spans="2:4" x14ac:dyDescent="0.25">
      <c r="B918" s="772" t="s">
        <v>3217</v>
      </c>
      <c r="C918" s="772" t="s">
        <v>2310</v>
      </c>
      <c r="D918" s="772" t="s">
        <v>1019</v>
      </c>
    </row>
    <row r="919" spans="2:4" x14ac:dyDescent="0.25">
      <c r="B919" s="772" t="s">
        <v>3218</v>
      </c>
      <c r="C919" s="772" t="s">
        <v>2311</v>
      </c>
      <c r="D919" s="772" t="s">
        <v>1019</v>
      </c>
    </row>
    <row r="920" spans="2:4" x14ac:dyDescent="0.25">
      <c r="B920" s="772" t="s">
        <v>3219</v>
      </c>
      <c r="C920" s="772" t="s">
        <v>2312</v>
      </c>
      <c r="D920" s="772" t="s">
        <v>1019</v>
      </c>
    </row>
    <row r="921" spans="2:4" x14ac:dyDescent="0.25">
      <c r="B921" s="772" t="s">
        <v>3220</v>
      </c>
      <c r="C921" s="772" t="s">
        <v>2313</v>
      </c>
      <c r="D921" s="772" t="s">
        <v>1019</v>
      </c>
    </row>
    <row r="922" spans="2:4" x14ac:dyDescent="0.25">
      <c r="B922" s="772" t="s">
        <v>3221</v>
      </c>
      <c r="C922" s="772" t="s">
        <v>2314</v>
      </c>
      <c r="D922" s="772" t="s">
        <v>1019</v>
      </c>
    </row>
    <row r="923" spans="2:4" x14ac:dyDescent="0.25">
      <c r="B923" s="772" t="s">
        <v>3222</v>
      </c>
      <c r="C923" s="772" t="s">
        <v>2315</v>
      </c>
      <c r="D923" s="772" t="s">
        <v>1019</v>
      </c>
    </row>
    <row r="924" spans="2:4" x14ac:dyDescent="0.25">
      <c r="B924" s="772" t="s">
        <v>2316</v>
      </c>
      <c r="C924" s="772" t="s">
        <v>2317</v>
      </c>
      <c r="D924" s="772" t="s">
        <v>1019</v>
      </c>
    </row>
    <row r="925" spans="2:4" x14ac:dyDescent="0.25">
      <c r="B925" s="772" t="s">
        <v>3223</v>
      </c>
      <c r="C925" s="772" t="s">
        <v>2318</v>
      </c>
      <c r="D925" s="772" t="s">
        <v>1019</v>
      </c>
    </row>
    <row r="926" spans="2:4" x14ac:dyDescent="0.25">
      <c r="B926" s="772" t="s">
        <v>3224</v>
      </c>
      <c r="C926" s="772" t="s">
        <v>2319</v>
      </c>
      <c r="D926" s="772" t="s">
        <v>1019</v>
      </c>
    </row>
    <row r="927" spans="2:4" x14ac:dyDescent="0.25">
      <c r="B927" s="772" t="s">
        <v>3225</v>
      </c>
      <c r="C927" s="772" t="s">
        <v>2320</v>
      </c>
      <c r="D927" s="772" t="s">
        <v>1019</v>
      </c>
    </row>
    <row r="928" spans="2:4" x14ac:dyDescent="0.25">
      <c r="B928" s="772" t="s">
        <v>3226</v>
      </c>
      <c r="C928" s="772" t="s">
        <v>2321</v>
      </c>
      <c r="D928" s="772" t="s">
        <v>1019</v>
      </c>
    </row>
    <row r="929" spans="2:4" x14ac:dyDescent="0.25">
      <c r="B929" s="772" t="s">
        <v>3227</v>
      </c>
      <c r="C929" s="772" t="s">
        <v>2322</v>
      </c>
      <c r="D929" s="772" t="s">
        <v>1019</v>
      </c>
    </row>
    <row r="930" spans="2:4" x14ac:dyDescent="0.25">
      <c r="B930" s="772" t="s">
        <v>3228</v>
      </c>
      <c r="C930" s="772" t="s">
        <v>2323</v>
      </c>
      <c r="D930" s="772" t="s">
        <v>1019</v>
      </c>
    </row>
    <row r="931" spans="2:4" x14ac:dyDescent="0.25">
      <c r="B931" s="772" t="s">
        <v>3229</v>
      </c>
      <c r="C931" s="772" t="s">
        <v>2324</v>
      </c>
      <c r="D931" s="772" t="s">
        <v>1019</v>
      </c>
    </row>
    <row r="932" spans="2:4" x14ac:dyDescent="0.25">
      <c r="B932" s="772" t="s">
        <v>3230</v>
      </c>
      <c r="C932" s="772" t="s">
        <v>2325</v>
      </c>
      <c r="D932" s="772" t="s">
        <v>1019</v>
      </c>
    </row>
    <row r="933" spans="2:4" x14ac:dyDescent="0.25">
      <c r="B933" s="772" t="s">
        <v>3231</v>
      </c>
      <c r="C933" s="772" t="s">
        <v>2326</v>
      </c>
      <c r="D933" s="772" t="s">
        <v>1019</v>
      </c>
    </row>
    <row r="934" spans="2:4" x14ac:dyDescent="0.25">
      <c r="B934" s="772" t="s">
        <v>3232</v>
      </c>
      <c r="C934" s="772" t="s">
        <v>2327</v>
      </c>
      <c r="D934" s="772" t="s">
        <v>1019</v>
      </c>
    </row>
    <row r="935" spans="2:4" x14ac:dyDescent="0.25">
      <c r="B935" s="772" t="s">
        <v>3233</v>
      </c>
      <c r="C935" s="772" t="s">
        <v>2328</v>
      </c>
      <c r="D935" s="772" t="s">
        <v>1019</v>
      </c>
    </row>
    <row r="936" spans="2:4" x14ac:dyDescent="0.25">
      <c r="B936" s="772" t="s">
        <v>3234</v>
      </c>
      <c r="C936" s="772" t="s">
        <v>2329</v>
      </c>
      <c r="D936" s="772" t="s">
        <v>1019</v>
      </c>
    </row>
    <row r="937" spans="2:4" x14ac:dyDescent="0.25">
      <c r="B937" s="772" t="s">
        <v>3235</v>
      </c>
      <c r="C937" s="772" t="s">
        <v>2330</v>
      </c>
      <c r="D937" s="772" t="s">
        <v>1019</v>
      </c>
    </row>
    <row r="938" spans="2:4" x14ac:dyDescent="0.25">
      <c r="B938" s="772" t="s">
        <v>3236</v>
      </c>
      <c r="C938" s="772" t="s">
        <v>2331</v>
      </c>
      <c r="D938" s="772" t="s">
        <v>1019</v>
      </c>
    </row>
    <row r="939" spans="2:4" x14ac:dyDescent="0.25">
      <c r="B939" s="772" t="s">
        <v>3237</v>
      </c>
      <c r="C939" s="772" t="s">
        <v>2332</v>
      </c>
      <c r="D939" s="772" t="s">
        <v>1019</v>
      </c>
    </row>
    <row r="940" spans="2:4" x14ac:dyDescent="0.25">
      <c r="B940" s="772" t="s">
        <v>3238</v>
      </c>
      <c r="C940" s="772" t="s">
        <v>2333</v>
      </c>
      <c r="D940" s="772" t="s">
        <v>1019</v>
      </c>
    </row>
    <row r="941" spans="2:4" x14ac:dyDescent="0.25">
      <c r="B941" s="772" t="s">
        <v>2334</v>
      </c>
      <c r="C941" s="772" t="s">
        <v>2335</v>
      </c>
      <c r="D941" s="772" t="s">
        <v>1019</v>
      </c>
    </row>
    <row r="942" spans="2:4" x14ac:dyDescent="0.25">
      <c r="B942" s="772" t="s">
        <v>2336</v>
      </c>
      <c r="C942" s="772" t="s">
        <v>2337</v>
      </c>
      <c r="D942" s="772" t="s">
        <v>1019</v>
      </c>
    </row>
    <row r="943" spans="2:4" x14ac:dyDescent="0.25">
      <c r="B943" s="772" t="s">
        <v>2338</v>
      </c>
      <c r="C943" s="772" t="s">
        <v>2339</v>
      </c>
      <c r="D943" s="772" t="s">
        <v>1019</v>
      </c>
    </row>
    <row r="944" spans="2:4" x14ac:dyDescent="0.25">
      <c r="B944" s="772" t="s">
        <v>2340</v>
      </c>
      <c r="C944" s="772" t="s">
        <v>2341</v>
      </c>
      <c r="D944" s="772" t="s">
        <v>1019</v>
      </c>
    </row>
    <row r="945" spans="2:4" x14ac:dyDescent="0.25">
      <c r="B945" s="772" t="s">
        <v>2342</v>
      </c>
      <c r="C945" s="772" t="s">
        <v>2343</v>
      </c>
      <c r="D945" s="772" t="s">
        <v>1019</v>
      </c>
    </row>
    <row r="946" spans="2:4" x14ac:dyDescent="0.25">
      <c r="B946" s="772" t="s">
        <v>2344</v>
      </c>
      <c r="C946" s="772" t="s">
        <v>2345</v>
      </c>
      <c r="D946" s="772" t="s">
        <v>1019</v>
      </c>
    </row>
    <row r="947" spans="2:4" x14ac:dyDescent="0.25">
      <c r="B947" s="772" t="s">
        <v>2346</v>
      </c>
      <c r="C947" s="772" t="s">
        <v>2347</v>
      </c>
      <c r="D947" s="772" t="s">
        <v>1019</v>
      </c>
    </row>
    <row r="948" spans="2:4" x14ac:dyDescent="0.25">
      <c r="B948" s="772" t="s">
        <v>2348</v>
      </c>
      <c r="C948" s="772" t="s">
        <v>2349</v>
      </c>
      <c r="D948" s="772" t="s">
        <v>1019</v>
      </c>
    </row>
    <row r="949" spans="2:4" x14ac:dyDescent="0.25">
      <c r="B949" s="772" t="s">
        <v>3239</v>
      </c>
      <c r="C949" s="772" t="s">
        <v>2350</v>
      </c>
      <c r="D949" s="772" t="s">
        <v>1019</v>
      </c>
    </row>
    <row r="950" spans="2:4" x14ac:dyDescent="0.25">
      <c r="B950" s="772" t="s">
        <v>3240</v>
      </c>
      <c r="C950" s="772" t="s">
        <v>2351</v>
      </c>
      <c r="D950" s="772" t="s">
        <v>1019</v>
      </c>
    </row>
    <row r="951" spans="2:4" x14ac:dyDescent="0.25">
      <c r="B951" s="772" t="s">
        <v>3241</v>
      </c>
      <c r="C951" s="772" t="s">
        <v>2352</v>
      </c>
      <c r="D951" s="772" t="s">
        <v>1019</v>
      </c>
    </row>
    <row r="952" spans="2:4" x14ac:dyDescent="0.25">
      <c r="B952" s="772" t="s">
        <v>3242</v>
      </c>
      <c r="C952" s="772" t="s">
        <v>2353</v>
      </c>
      <c r="D952" s="772" t="s">
        <v>1019</v>
      </c>
    </row>
    <row r="953" spans="2:4" x14ac:dyDescent="0.25">
      <c r="B953" s="772" t="s">
        <v>3243</v>
      </c>
      <c r="C953" s="772" t="s">
        <v>2354</v>
      </c>
      <c r="D953" s="772" t="s">
        <v>1019</v>
      </c>
    </row>
    <row r="954" spans="2:4" x14ac:dyDescent="0.25">
      <c r="B954" s="772" t="s">
        <v>3244</v>
      </c>
      <c r="C954" s="772" t="s">
        <v>2355</v>
      </c>
      <c r="D954" s="772" t="s">
        <v>1019</v>
      </c>
    </row>
    <row r="955" spans="2:4" x14ac:dyDescent="0.25">
      <c r="B955" s="772" t="s">
        <v>3245</v>
      </c>
      <c r="C955" s="772" t="s">
        <v>2356</v>
      </c>
      <c r="D955" s="772" t="s">
        <v>1019</v>
      </c>
    </row>
    <row r="956" spans="2:4" x14ac:dyDescent="0.25">
      <c r="B956" s="772" t="s">
        <v>2357</v>
      </c>
      <c r="C956" s="772" t="s">
        <v>2358</v>
      </c>
      <c r="D956" s="772" t="s">
        <v>1019</v>
      </c>
    </row>
    <row r="957" spans="2:4" x14ac:dyDescent="0.25">
      <c r="B957" s="772" t="s">
        <v>2359</v>
      </c>
      <c r="C957" s="772" t="s">
        <v>2360</v>
      </c>
      <c r="D957" s="772" t="s">
        <v>1019</v>
      </c>
    </row>
    <row r="958" spans="2:4" x14ac:dyDescent="0.25">
      <c r="B958" s="772" t="s">
        <v>2361</v>
      </c>
      <c r="C958" s="772" t="s">
        <v>2362</v>
      </c>
      <c r="D958" s="772" t="s">
        <v>1019</v>
      </c>
    </row>
    <row r="959" spans="2:4" x14ac:dyDescent="0.25">
      <c r="B959" s="772" t="s">
        <v>3246</v>
      </c>
      <c r="C959" s="772" t="s">
        <v>2363</v>
      </c>
      <c r="D959" s="772" t="s">
        <v>1019</v>
      </c>
    </row>
    <row r="960" spans="2:4" x14ac:dyDescent="0.25">
      <c r="B960" s="772" t="s">
        <v>3247</v>
      </c>
      <c r="C960" s="772" t="s">
        <v>2364</v>
      </c>
      <c r="D960" s="772" t="s">
        <v>1019</v>
      </c>
    </row>
    <row r="961" spans="2:4" x14ac:dyDescent="0.25">
      <c r="B961" s="772" t="s">
        <v>3248</v>
      </c>
      <c r="C961" s="772" t="s">
        <v>2365</v>
      </c>
      <c r="D961" s="772" t="s">
        <v>1019</v>
      </c>
    </row>
    <row r="962" spans="2:4" x14ac:dyDescent="0.25">
      <c r="B962" s="772" t="s">
        <v>2366</v>
      </c>
      <c r="C962" s="772" t="s">
        <v>2367</v>
      </c>
      <c r="D962" s="772" t="s">
        <v>1019</v>
      </c>
    </row>
    <row r="963" spans="2:4" x14ac:dyDescent="0.25">
      <c r="B963" s="772" t="s">
        <v>2368</v>
      </c>
      <c r="C963" s="772" t="s">
        <v>2369</v>
      </c>
      <c r="D963" s="772" t="s">
        <v>1019</v>
      </c>
    </row>
    <row r="964" spans="2:4" x14ac:dyDescent="0.25">
      <c r="B964" s="772" t="s">
        <v>3249</v>
      </c>
      <c r="C964" s="772" t="s">
        <v>2370</v>
      </c>
      <c r="D964" s="772" t="s">
        <v>1019</v>
      </c>
    </row>
    <row r="965" spans="2:4" x14ac:dyDescent="0.25">
      <c r="B965" s="772" t="s">
        <v>3250</v>
      </c>
      <c r="C965" s="772" t="s">
        <v>2371</v>
      </c>
      <c r="D965" s="772" t="s">
        <v>1019</v>
      </c>
    </row>
    <row r="966" spans="2:4" x14ac:dyDescent="0.25">
      <c r="B966" s="772" t="s">
        <v>3251</v>
      </c>
      <c r="C966" s="772" t="s">
        <v>2372</v>
      </c>
      <c r="D966" s="772" t="s">
        <v>1019</v>
      </c>
    </row>
    <row r="967" spans="2:4" x14ac:dyDescent="0.25">
      <c r="B967" s="772" t="s">
        <v>2373</v>
      </c>
      <c r="C967" s="772" t="s">
        <v>2374</v>
      </c>
      <c r="D967" s="772" t="s">
        <v>1019</v>
      </c>
    </row>
    <row r="968" spans="2:4" x14ac:dyDescent="0.25">
      <c r="B968" s="772" t="s">
        <v>3252</v>
      </c>
      <c r="C968" s="772" t="s">
        <v>2375</v>
      </c>
      <c r="D968" s="772" t="s">
        <v>1019</v>
      </c>
    </row>
    <row r="969" spans="2:4" x14ac:dyDescent="0.25">
      <c r="B969" s="772" t="s">
        <v>3253</v>
      </c>
      <c r="C969" s="772" t="s">
        <v>2376</v>
      </c>
      <c r="D969" s="772" t="s">
        <v>1019</v>
      </c>
    </row>
    <row r="970" spans="2:4" x14ac:dyDescent="0.25">
      <c r="B970" s="772" t="s">
        <v>3254</v>
      </c>
      <c r="C970" s="772" t="s">
        <v>2377</v>
      </c>
      <c r="D970" s="772" t="s">
        <v>1019</v>
      </c>
    </row>
    <row r="971" spans="2:4" x14ac:dyDescent="0.25">
      <c r="B971" s="772" t="s">
        <v>3255</v>
      </c>
      <c r="C971" s="772" t="s">
        <v>2378</v>
      </c>
      <c r="D971" s="772" t="s">
        <v>1019</v>
      </c>
    </row>
    <row r="972" spans="2:4" x14ac:dyDescent="0.25">
      <c r="B972" s="772" t="s">
        <v>3256</v>
      </c>
      <c r="C972" s="772" t="s">
        <v>2379</v>
      </c>
      <c r="D972" s="772" t="s">
        <v>1019</v>
      </c>
    </row>
    <row r="973" spans="2:4" x14ac:dyDescent="0.25">
      <c r="B973" s="772" t="s">
        <v>3257</v>
      </c>
      <c r="C973" s="772" t="s">
        <v>2380</v>
      </c>
      <c r="D973" s="772" t="s">
        <v>1019</v>
      </c>
    </row>
    <row r="974" spans="2:4" x14ac:dyDescent="0.25">
      <c r="B974" s="772" t="s">
        <v>3258</v>
      </c>
      <c r="C974" s="772" t="s">
        <v>2381</v>
      </c>
      <c r="D974" s="772" t="s">
        <v>1019</v>
      </c>
    </row>
    <row r="975" spans="2:4" x14ac:dyDescent="0.25">
      <c r="B975" s="772" t="s">
        <v>3259</v>
      </c>
      <c r="C975" s="772" t="s">
        <v>2382</v>
      </c>
      <c r="D975" s="772" t="s">
        <v>1019</v>
      </c>
    </row>
    <row r="976" spans="2:4" x14ac:dyDescent="0.25">
      <c r="B976" s="772" t="s">
        <v>3260</v>
      </c>
      <c r="C976" s="772" t="s">
        <v>2383</v>
      </c>
      <c r="D976" s="772" t="s">
        <v>1019</v>
      </c>
    </row>
    <row r="977" spans="2:4" x14ac:dyDescent="0.25">
      <c r="B977" s="772" t="s">
        <v>3261</v>
      </c>
      <c r="C977" s="772" t="s">
        <v>2384</v>
      </c>
      <c r="D977" s="772" t="s">
        <v>1019</v>
      </c>
    </row>
    <row r="978" spans="2:4" x14ac:dyDescent="0.25">
      <c r="B978" s="772" t="s">
        <v>3262</v>
      </c>
      <c r="C978" s="772" t="s">
        <v>2385</v>
      </c>
      <c r="D978" s="772" t="s">
        <v>943</v>
      </c>
    </row>
    <row r="979" spans="2:4" x14ac:dyDescent="0.25">
      <c r="B979" s="772" t="s">
        <v>3263</v>
      </c>
      <c r="C979" s="772" t="s">
        <v>2386</v>
      </c>
      <c r="D979" s="772" t="s">
        <v>1701</v>
      </c>
    </row>
    <row r="980" spans="2:4" x14ac:dyDescent="0.25">
      <c r="B980" s="772" t="s">
        <v>3264</v>
      </c>
      <c r="C980" s="772" t="s">
        <v>2387</v>
      </c>
      <c r="D980" s="772" t="s">
        <v>1701</v>
      </c>
    </row>
    <row r="981" spans="2:4" x14ac:dyDescent="0.25">
      <c r="B981" s="772" t="s">
        <v>3265</v>
      </c>
      <c r="C981" s="772" t="s">
        <v>2388</v>
      </c>
      <c r="D981" s="772" t="s">
        <v>1019</v>
      </c>
    </row>
    <row r="982" spans="2:4" x14ac:dyDescent="0.25">
      <c r="B982" s="772" t="s">
        <v>3266</v>
      </c>
      <c r="C982" s="772" t="s">
        <v>2389</v>
      </c>
      <c r="D982" s="772" t="s">
        <v>1019</v>
      </c>
    </row>
    <row r="983" spans="2:4" x14ac:dyDescent="0.25">
      <c r="B983" s="772" t="s">
        <v>3267</v>
      </c>
      <c r="C983" s="772" t="s">
        <v>2390</v>
      </c>
      <c r="D983" s="772" t="s">
        <v>1019</v>
      </c>
    </row>
    <row r="984" spans="2:4" x14ac:dyDescent="0.25">
      <c r="B984" s="772" t="s">
        <v>3268</v>
      </c>
      <c r="C984" s="772" t="s">
        <v>2391</v>
      </c>
      <c r="D984" s="772" t="s">
        <v>1019</v>
      </c>
    </row>
    <row r="985" spans="2:4" x14ac:dyDescent="0.25">
      <c r="B985" s="772" t="s">
        <v>3269</v>
      </c>
      <c r="C985" s="772" t="s">
        <v>2392</v>
      </c>
      <c r="D985" s="772" t="s">
        <v>1019</v>
      </c>
    </row>
    <row r="986" spans="2:4" x14ac:dyDescent="0.25">
      <c r="B986" s="772" t="s">
        <v>2393</v>
      </c>
      <c r="C986" s="772" t="s">
        <v>2394</v>
      </c>
      <c r="D986" s="772" t="s">
        <v>1019</v>
      </c>
    </row>
    <row r="987" spans="2:4" x14ac:dyDescent="0.25">
      <c r="B987" s="772" t="s">
        <v>3270</v>
      </c>
      <c r="C987" s="772" t="s">
        <v>2395</v>
      </c>
      <c r="D987" s="772" t="s">
        <v>1938</v>
      </c>
    </row>
    <row r="988" spans="2:4" x14ac:dyDescent="0.25">
      <c r="B988" s="772" t="s">
        <v>3271</v>
      </c>
      <c r="C988" s="772" t="s">
        <v>2396</v>
      </c>
      <c r="D988" s="772" t="s">
        <v>1938</v>
      </c>
    </row>
    <row r="989" spans="2:4" x14ac:dyDescent="0.25">
      <c r="B989" s="772" t="s">
        <v>3272</v>
      </c>
      <c r="C989" s="772" t="s">
        <v>2397</v>
      </c>
      <c r="D989" s="772" t="s">
        <v>1938</v>
      </c>
    </row>
    <row r="990" spans="2:4" x14ac:dyDescent="0.25">
      <c r="B990" s="772" t="s">
        <v>3273</v>
      </c>
      <c r="C990" s="772" t="s">
        <v>2398</v>
      </c>
      <c r="D990" s="772" t="s">
        <v>1938</v>
      </c>
    </row>
    <row r="991" spans="2:4" x14ac:dyDescent="0.25">
      <c r="B991" s="772" t="s">
        <v>3274</v>
      </c>
      <c r="C991" s="772" t="s">
        <v>2399</v>
      </c>
      <c r="D991" s="772" t="s">
        <v>1938</v>
      </c>
    </row>
    <row r="992" spans="2:4" x14ac:dyDescent="0.25">
      <c r="B992" s="772" t="s">
        <v>3275</v>
      </c>
      <c r="C992" s="772" t="s">
        <v>2400</v>
      </c>
      <c r="D992" s="772" t="s">
        <v>1938</v>
      </c>
    </row>
    <row r="993" spans="2:4" x14ac:dyDescent="0.25">
      <c r="B993" s="772" t="s">
        <v>3276</v>
      </c>
      <c r="C993" s="772" t="s">
        <v>2401</v>
      </c>
      <c r="D993" s="772" t="s">
        <v>1938</v>
      </c>
    </row>
    <row r="994" spans="2:4" x14ac:dyDescent="0.25">
      <c r="B994" s="772" t="s">
        <v>3277</v>
      </c>
      <c r="C994" s="772" t="s">
        <v>2402</v>
      </c>
      <c r="D994" s="772" t="s">
        <v>1938</v>
      </c>
    </row>
    <row r="995" spans="2:4" x14ac:dyDescent="0.25">
      <c r="B995" s="772" t="s">
        <v>3278</v>
      </c>
      <c r="C995" s="772" t="s">
        <v>2403</v>
      </c>
      <c r="D995" s="772" t="s">
        <v>1938</v>
      </c>
    </row>
    <row r="996" spans="2:4" x14ac:dyDescent="0.25">
      <c r="B996" s="772" t="s">
        <v>3279</v>
      </c>
      <c r="C996" s="772" t="s">
        <v>2404</v>
      </c>
      <c r="D996" s="772" t="s">
        <v>1938</v>
      </c>
    </row>
    <row r="997" spans="2:4" x14ac:dyDescent="0.25">
      <c r="B997" s="772" t="s">
        <v>3280</v>
      </c>
      <c r="C997" s="772" t="s">
        <v>2405</v>
      </c>
      <c r="D997" s="772" t="s">
        <v>1938</v>
      </c>
    </row>
    <row r="998" spans="2:4" x14ac:dyDescent="0.25">
      <c r="B998" s="772" t="s">
        <v>3281</v>
      </c>
      <c r="C998" s="772" t="s">
        <v>2406</v>
      </c>
      <c r="D998" s="772" t="s">
        <v>1938</v>
      </c>
    </row>
    <row r="999" spans="2:4" x14ac:dyDescent="0.25">
      <c r="B999" s="772" t="s">
        <v>3282</v>
      </c>
      <c r="C999" s="772" t="s">
        <v>2407</v>
      </c>
      <c r="D999" s="772" t="s">
        <v>1938</v>
      </c>
    </row>
    <row r="1000" spans="2:4" x14ac:dyDescent="0.25">
      <c r="B1000" s="772" t="s">
        <v>3283</v>
      </c>
      <c r="C1000" s="772" t="s">
        <v>2408</v>
      </c>
      <c r="D1000" s="772" t="s">
        <v>1938</v>
      </c>
    </row>
    <row r="1001" spans="2:4" x14ac:dyDescent="0.25">
      <c r="B1001" s="772" t="s">
        <v>3284</v>
      </c>
      <c r="C1001" s="772" t="s">
        <v>2409</v>
      </c>
      <c r="D1001" s="772" t="s">
        <v>1938</v>
      </c>
    </row>
    <row r="1002" spans="2:4" x14ac:dyDescent="0.25">
      <c r="B1002" s="772" t="s">
        <v>3285</v>
      </c>
      <c r="C1002" s="772" t="s">
        <v>2410</v>
      </c>
      <c r="D1002" s="772" t="s">
        <v>1938</v>
      </c>
    </row>
    <row r="1003" spans="2:4" x14ac:dyDescent="0.25">
      <c r="B1003" s="772" t="s">
        <v>3286</v>
      </c>
      <c r="C1003" s="772" t="s">
        <v>2411</v>
      </c>
      <c r="D1003" s="772" t="s">
        <v>1938</v>
      </c>
    </row>
    <row r="1004" spans="2:4" x14ac:dyDescent="0.25">
      <c r="B1004" s="772" t="s">
        <v>3287</v>
      </c>
      <c r="C1004" s="772" t="s">
        <v>2412</v>
      </c>
      <c r="D1004" s="772" t="s">
        <v>1938</v>
      </c>
    </row>
    <row r="1005" spans="2:4" x14ac:dyDescent="0.25">
      <c r="B1005" s="772" t="s">
        <v>3288</v>
      </c>
      <c r="C1005" s="772" t="s">
        <v>2413</v>
      </c>
      <c r="D1005" s="772" t="s">
        <v>1938</v>
      </c>
    </row>
    <row r="1006" spans="2:4" x14ac:dyDescent="0.25">
      <c r="B1006" s="772" t="s">
        <v>3289</v>
      </c>
      <c r="C1006" s="772" t="s">
        <v>2414</v>
      </c>
      <c r="D1006" s="772" t="s">
        <v>1938</v>
      </c>
    </row>
    <row r="1007" spans="2:4" x14ac:dyDescent="0.25">
      <c r="B1007" s="772" t="s">
        <v>3290</v>
      </c>
      <c r="C1007" s="772" t="s">
        <v>2415</v>
      </c>
      <c r="D1007" s="772" t="s">
        <v>1938</v>
      </c>
    </row>
    <row r="1008" spans="2:4" x14ac:dyDescent="0.25">
      <c r="B1008" s="772" t="s">
        <v>3291</v>
      </c>
      <c r="C1008" s="772" t="s">
        <v>2416</v>
      </c>
      <c r="D1008" s="772" t="s">
        <v>1938</v>
      </c>
    </row>
    <row r="1009" spans="2:4" x14ac:dyDescent="0.25">
      <c r="B1009" s="772" t="s">
        <v>3292</v>
      </c>
      <c r="C1009" s="772" t="s">
        <v>2417</v>
      </c>
      <c r="D1009" s="772" t="s">
        <v>1938</v>
      </c>
    </row>
    <row r="1010" spans="2:4" x14ac:dyDescent="0.25">
      <c r="B1010" s="772" t="s">
        <v>3293</v>
      </c>
      <c r="C1010" s="772" t="s">
        <v>2418</v>
      </c>
      <c r="D1010" s="772" t="s">
        <v>1938</v>
      </c>
    </row>
    <row r="1011" spans="2:4" x14ac:dyDescent="0.25">
      <c r="B1011" s="772" t="s">
        <v>3294</v>
      </c>
      <c r="C1011" s="772" t="s">
        <v>2419</v>
      </c>
      <c r="D1011" s="772" t="s">
        <v>1938</v>
      </c>
    </row>
    <row r="1012" spans="2:4" x14ac:dyDescent="0.25">
      <c r="B1012" s="772" t="s">
        <v>3295</v>
      </c>
      <c r="C1012" s="772" t="s">
        <v>2420</v>
      </c>
      <c r="D1012" s="772" t="s">
        <v>1938</v>
      </c>
    </row>
    <row r="1013" spans="2:4" x14ac:dyDescent="0.25">
      <c r="B1013" s="772" t="s">
        <v>3296</v>
      </c>
      <c r="C1013" s="772" t="s">
        <v>2421</v>
      </c>
      <c r="D1013" s="772" t="s">
        <v>1938</v>
      </c>
    </row>
    <row r="1014" spans="2:4" x14ac:dyDescent="0.25">
      <c r="B1014" s="772" t="s">
        <v>3297</v>
      </c>
      <c r="C1014" s="772" t="s">
        <v>2422</v>
      </c>
      <c r="D1014" s="772" t="s">
        <v>1938</v>
      </c>
    </row>
    <row r="1015" spans="2:4" x14ac:dyDescent="0.25">
      <c r="B1015" s="772" t="s">
        <v>3298</v>
      </c>
      <c r="C1015" s="772" t="s">
        <v>2423</v>
      </c>
      <c r="D1015" s="772" t="s">
        <v>1938</v>
      </c>
    </row>
    <row r="1016" spans="2:4" x14ac:dyDescent="0.25">
      <c r="B1016" s="772" t="s">
        <v>3299</v>
      </c>
      <c r="C1016" s="772" t="s">
        <v>2424</v>
      </c>
      <c r="D1016" s="772" t="s">
        <v>1938</v>
      </c>
    </row>
    <row r="1017" spans="2:4" x14ac:dyDescent="0.25">
      <c r="B1017" s="772" t="s">
        <v>3300</v>
      </c>
      <c r="C1017" s="772" t="s">
        <v>2425</v>
      </c>
      <c r="D1017" s="772" t="s">
        <v>1938</v>
      </c>
    </row>
    <row r="1018" spans="2:4" x14ac:dyDescent="0.25">
      <c r="B1018" s="772" t="s">
        <v>3301</v>
      </c>
      <c r="C1018" s="772" t="s">
        <v>2426</v>
      </c>
      <c r="D1018" s="772" t="s">
        <v>943</v>
      </c>
    </row>
    <row r="1019" spans="2:4" x14ac:dyDescent="0.25">
      <c r="B1019" s="772" t="s">
        <v>3302</v>
      </c>
      <c r="C1019" s="772" t="s">
        <v>2427</v>
      </c>
      <c r="D1019" s="772" t="s">
        <v>1938</v>
      </c>
    </row>
    <row r="1020" spans="2:4" x14ac:dyDescent="0.25">
      <c r="B1020" s="772" t="s">
        <v>3303</v>
      </c>
      <c r="C1020" s="772" t="s">
        <v>2428</v>
      </c>
      <c r="D1020" s="772" t="s">
        <v>943</v>
      </c>
    </row>
    <row r="1021" spans="2:4" x14ac:dyDescent="0.25">
      <c r="B1021" s="772" t="s">
        <v>3304</v>
      </c>
      <c r="C1021" s="772" t="s">
        <v>2429</v>
      </c>
      <c r="D1021" s="772" t="s">
        <v>943</v>
      </c>
    </row>
    <row r="1022" spans="2:4" x14ac:dyDescent="0.25">
      <c r="B1022" s="772" t="s">
        <v>2430</v>
      </c>
      <c r="C1022" s="772" t="s">
        <v>2431</v>
      </c>
      <c r="D1022" s="772" t="s">
        <v>1938</v>
      </c>
    </row>
    <row r="1023" spans="2:4" x14ac:dyDescent="0.25">
      <c r="B1023" s="772" t="s">
        <v>3305</v>
      </c>
      <c r="C1023" s="772" t="s">
        <v>2432</v>
      </c>
      <c r="D1023" s="772" t="s">
        <v>943</v>
      </c>
    </row>
    <row r="1024" spans="2:4" x14ac:dyDescent="0.25">
      <c r="B1024" s="772" t="s">
        <v>3306</v>
      </c>
      <c r="C1024" s="772" t="s">
        <v>2433</v>
      </c>
      <c r="D1024" s="772" t="s">
        <v>943</v>
      </c>
    </row>
    <row r="1025" spans="2:4" x14ac:dyDescent="0.25">
      <c r="B1025" s="772" t="s">
        <v>3307</v>
      </c>
      <c r="C1025" s="772" t="s">
        <v>2434</v>
      </c>
      <c r="D1025" s="772" t="s">
        <v>943</v>
      </c>
    </row>
    <row r="1026" spans="2:4" x14ac:dyDescent="0.25">
      <c r="B1026" s="772" t="s">
        <v>3308</v>
      </c>
      <c r="C1026" s="772" t="s">
        <v>2435</v>
      </c>
      <c r="D1026" s="772" t="s">
        <v>943</v>
      </c>
    </row>
    <row r="1027" spans="2:4" x14ac:dyDescent="0.25">
      <c r="B1027" s="772" t="s">
        <v>3309</v>
      </c>
      <c r="C1027" s="772" t="s">
        <v>2436</v>
      </c>
      <c r="D1027" s="772" t="s">
        <v>943</v>
      </c>
    </row>
    <row r="1028" spans="2:4" x14ac:dyDescent="0.25">
      <c r="B1028" s="772" t="s">
        <v>3310</v>
      </c>
      <c r="C1028" s="772" t="s">
        <v>2437</v>
      </c>
      <c r="D1028" s="772" t="s">
        <v>943</v>
      </c>
    </row>
    <row r="1029" spans="2:4" x14ac:dyDescent="0.25">
      <c r="B1029" s="772" t="s">
        <v>3311</v>
      </c>
      <c r="C1029" s="772" t="s">
        <v>2438</v>
      </c>
      <c r="D1029" s="772" t="s">
        <v>943</v>
      </c>
    </row>
    <row r="1030" spans="2:4" x14ac:dyDescent="0.25">
      <c r="B1030" s="772" t="s">
        <v>3312</v>
      </c>
      <c r="C1030" s="772" t="s">
        <v>2439</v>
      </c>
      <c r="D1030" s="772" t="s">
        <v>943</v>
      </c>
    </row>
    <row r="1031" spans="2:4" x14ac:dyDescent="0.25">
      <c r="B1031" s="772" t="s">
        <v>3313</v>
      </c>
      <c r="C1031" s="772" t="s">
        <v>2440</v>
      </c>
      <c r="D1031" s="772" t="s">
        <v>943</v>
      </c>
    </row>
    <row r="1032" spans="2:4" x14ac:dyDescent="0.25">
      <c r="B1032" s="772" t="s">
        <v>3314</v>
      </c>
      <c r="C1032" s="772" t="s">
        <v>2441</v>
      </c>
      <c r="D1032" s="772" t="s">
        <v>1019</v>
      </c>
    </row>
    <row r="1033" spans="2:4" x14ac:dyDescent="0.25">
      <c r="B1033" s="772" t="s">
        <v>3315</v>
      </c>
      <c r="C1033" s="772" t="s">
        <v>2442</v>
      </c>
      <c r="D1033" s="772" t="s">
        <v>1019</v>
      </c>
    </row>
    <row r="1034" spans="2:4" x14ac:dyDescent="0.25">
      <c r="B1034" s="772" t="s">
        <v>3126</v>
      </c>
      <c r="C1034" s="772" t="s">
        <v>2193</v>
      </c>
      <c r="D1034" s="772" t="s">
        <v>1951</v>
      </c>
    </row>
    <row r="1035" spans="2:4" x14ac:dyDescent="0.25">
      <c r="B1035" s="772" t="s">
        <v>3316</v>
      </c>
      <c r="C1035" s="772" t="s">
        <v>2443</v>
      </c>
      <c r="D1035" s="772" t="s">
        <v>2444</v>
      </c>
    </row>
    <row r="1036" spans="2:4" x14ac:dyDescent="0.25">
      <c r="B1036" s="772" t="s">
        <v>2445</v>
      </c>
      <c r="C1036" s="772" t="s">
        <v>2446</v>
      </c>
      <c r="D1036" s="772" t="s">
        <v>1019</v>
      </c>
    </row>
    <row r="1037" spans="2:4" x14ac:dyDescent="0.25">
      <c r="B1037" s="772" t="s">
        <v>3317</v>
      </c>
      <c r="C1037" s="772" t="s">
        <v>2447</v>
      </c>
      <c r="D1037" s="772" t="s">
        <v>2448</v>
      </c>
    </row>
    <row r="1038" spans="2:4" x14ac:dyDescent="0.25">
      <c r="B1038" s="772" t="s">
        <v>3318</v>
      </c>
      <c r="C1038" s="772" t="s">
        <v>2449</v>
      </c>
      <c r="D1038" s="772" t="s">
        <v>943</v>
      </c>
    </row>
    <row r="1039" spans="2:4" x14ac:dyDescent="0.25">
      <c r="B1039" s="772" t="s">
        <v>3319</v>
      </c>
      <c r="C1039" s="772" t="s">
        <v>2450</v>
      </c>
      <c r="D1039" s="772" t="s">
        <v>943</v>
      </c>
    </row>
    <row r="1040" spans="2:4" x14ac:dyDescent="0.25">
      <c r="B1040" s="772" t="s">
        <v>3320</v>
      </c>
      <c r="C1040" s="772" t="s">
        <v>2451</v>
      </c>
      <c r="D1040" s="772" t="s">
        <v>2448</v>
      </c>
    </row>
    <row r="1041" spans="2:4" x14ac:dyDescent="0.25">
      <c r="B1041" s="772" t="s">
        <v>3321</v>
      </c>
      <c r="C1041" s="772" t="s">
        <v>2452</v>
      </c>
      <c r="D1041" s="772" t="s">
        <v>1686</v>
      </c>
    </row>
    <row r="1042" spans="2:4" x14ac:dyDescent="0.25">
      <c r="B1042" s="772" t="s">
        <v>3322</v>
      </c>
      <c r="C1042" s="772" t="s">
        <v>2453</v>
      </c>
      <c r="D1042" s="772" t="s">
        <v>2448</v>
      </c>
    </row>
    <row r="1043" spans="2:4" x14ac:dyDescent="0.25">
      <c r="B1043" s="772" t="s">
        <v>3323</v>
      </c>
      <c r="C1043" s="772" t="s">
        <v>2454</v>
      </c>
      <c r="D1043" s="772" t="s">
        <v>2448</v>
      </c>
    </row>
    <row r="1044" spans="2:4" x14ac:dyDescent="0.25">
      <c r="B1044" s="772" t="s">
        <v>3324</v>
      </c>
      <c r="C1044" s="772" t="s">
        <v>2455</v>
      </c>
      <c r="D1044" s="772" t="s">
        <v>2448</v>
      </c>
    </row>
    <row r="1045" spans="2:4" x14ac:dyDescent="0.25">
      <c r="B1045" s="772" t="s">
        <v>3325</v>
      </c>
      <c r="C1045" s="772" t="s">
        <v>2456</v>
      </c>
      <c r="D1045" s="772" t="s">
        <v>2448</v>
      </c>
    </row>
    <row r="1046" spans="2:4" x14ac:dyDescent="0.25">
      <c r="B1046" s="772" t="s">
        <v>3326</v>
      </c>
      <c r="C1046" s="772" t="s">
        <v>2457</v>
      </c>
      <c r="D1046" s="772" t="s">
        <v>2448</v>
      </c>
    </row>
    <row r="1047" spans="2:4" x14ac:dyDescent="0.25">
      <c r="B1047" s="772" t="s">
        <v>3327</v>
      </c>
      <c r="C1047" s="772" t="s">
        <v>2458</v>
      </c>
      <c r="D1047" s="772" t="s">
        <v>1019</v>
      </c>
    </row>
    <row r="1048" spans="2:4" x14ac:dyDescent="0.25">
      <c r="B1048" s="772" t="s">
        <v>3328</v>
      </c>
      <c r="C1048" s="772" t="s">
        <v>2459</v>
      </c>
      <c r="D1048" s="772" t="s">
        <v>2448</v>
      </c>
    </row>
    <row r="1049" spans="2:4" x14ac:dyDescent="0.25">
      <c r="B1049" s="772" t="s">
        <v>3329</v>
      </c>
      <c r="C1049" s="772" t="s">
        <v>2460</v>
      </c>
      <c r="D1049" s="772" t="s">
        <v>2448</v>
      </c>
    </row>
    <row r="1050" spans="2:4" x14ac:dyDescent="0.25">
      <c r="B1050" s="772" t="s">
        <v>3330</v>
      </c>
      <c r="C1050" s="772" t="s">
        <v>2461</v>
      </c>
      <c r="D1050" s="772" t="s">
        <v>943</v>
      </c>
    </row>
    <row r="1051" spans="2:4" x14ac:dyDescent="0.25">
      <c r="B1051" s="772" t="s">
        <v>3331</v>
      </c>
      <c r="C1051" s="772" t="s">
        <v>2462</v>
      </c>
      <c r="D1051" s="772" t="s">
        <v>943</v>
      </c>
    </row>
    <row r="1052" spans="2:4" x14ac:dyDescent="0.25">
      <c r="B1052" s="772" t="s">
        <v>3332</v>
      </c>
      <c r="C1052" s="772" t="s">
        <v>2463</v>
      </c>
      <c r="D1052" s="772" t="s">
        <v>943</v>
      </c>
    </row>
    <row r="1053" spans="2:4" x14ac:dyDescent="0.25">
      <c r="B1053" s="772" t="s">
        <v>3333</v>
      </c>
      <c r="C1053" s="772" t="s">
        <v>2464</v>
      </c>
      <c r="D1053" s="772" t="s">
        <v>943</v>
      </c>
    </row>
    <row r="1054" spans="2:4" x14ac:dyDescent="0.25">
      <c r="B1054" s="772" t="s">
        <v>3334</v>
      </c>
      <c r="C1054" s="772" t="s">
        <v>2465</v>
      </c>
      <c r="D1054" s="772" t="s">
        <v>943</v>
      </c>
    </row>
    <row r="1055" spans="2:4" x14ac:dyDescent="0.25">
      <c r="B1055" s="772" t="s">
        <v>3335</v>
      </c>
      <c r="C1055" s="772" t="s">
        <v>2466</v>
      </c>
      <c r="D1055" s="772" t="s">
        <v>943</v>
      </c>
    </row>
    <row r="1056" spans="2:4" x14ac:dyDescent="0.25">
      <c r="B1056" s="772" t="s">
        <v>3336</v>
      </c>
      <c r="C1056" s="772" t="s">
        <v>2467</v>
      </c>
      <c r="D1056" s="772" t="s">
        <v>943</v>
      </c>
    </row>
    <row r="1057" spans="2:4" x14ac:dyDescent="0.25">
      <c r="B1057" s="772" t="s">
        <v>3337</v>
      </c>
      <c r="C1057" s="772" t="s">
        <v>2468</v>
      </c>
      <c r="D1057" s="772" t="s">
        <v>2448</v>
      </c>
    </row>
    <row r="1058" spans="2:4" x14ac:dyDescent="0.25">
      <c r="B1058" s="772" t="s">
        <v>3338</v>
      </c>
      <c r="C1058" s="772" t="s">
        <v>2469</v>
      </c>
      <c r="D1058" s="772" t="s">
        <v>2444</v>
      </c>
    </row>
    <row r="1059" spans="2:4" x14ac:dyDescent="0.25">
      <c r="B1059" s="772" t="s">
        <v>3339</v>
      </c>
      <c r="C1059" s="772" t="s">
        <v>2470</v>
      </c>
      <c r="D1059" s="772" t="s">
        <v>2444</v>
      </c>
    </row>
    <row r="1060" spans="2:4" x14ac:dyDescent="0.25">
      <c r="B1060" s="772" t="s">
        <v>3340</v>
      </c>
      <c r="C1060" s="772" t="s">
        <v>2471</v>
      </c>
      <c r="D1060" s="772" t="s">
        <v>2448</v>
      </c>
    </row>
    <row r="1061" spans="2:4" x14ac:dyDescent="0.25">
      <c r="B1061" s="772" t="s">
        <v>3341</v>
      </c>
      <c r="C1061" s="772" t="s">
        <v>2472</v>
      </c>
      <c r="D1061" s="772" t="s">
        <v>2448</v>
      </c>
    </row>
    <row r="1062" spans="2:4" x14ac:dyDescent="0.25">
      <c r="B1062" s="772" t="s">
        <v>3342</v>
      </c>
      <c r="C1062" s="772" t="s">
        <v>2473</v>
      </c>
      <c r="D1062" s="772" t="s">
        <v>2448</v>
      </c>
    </row>
    <row r="1063" spans="2:4" x14ac:dyDescent="0.25">
      <c r="B1063" s="772" t="s">
        <v>3343</v>
      </c>
      <c r="C1063" s="772" t="s">
        <v>2474</v>
      </c>
      <c r="D1063" s="772" t="s">
        <v>2448</v>
      </c>
    </row>
    <row r="1064" spans="2:4" x14ac:dyDescent="0.25">
      <c r="B1064" s="772" t="s">
        <v>3344</v>
      </c>
      <c r="C1064" s="772" t="s">
        <v>2475</v>
      </c>
      <c r="D1064" s="772" t="s">
        <v>2448</v>
      </c>
    </row>
    <row r="1065" spans="2:4" x14ac:dyDescent="0.25">
      <c r="B1065" s="772" t="s">
        <v>3345</v>
      </c>
      <c r="C1065" s="772" t="s">
        <v>2476</v>
      </c>
      <c r="D1065" s="772" t="s">
        <v>2448</v>
      </c>
    </row>
    <row r="1066" spans="2:4" x14ac:dyDescent="0.25">
      <c r="B1066" s="772" t="s">
        <v>3346</v>
      </c>
      <c r="C1066" s="772" t="s">
        <v>2477</v>
      </c>
      <c r="D1066" s="772" t="s">
        <v>2448</v>
      </c>
    </row>
    <row r="1067" spans="2:4" x14ac:dyDescent="0.25">
      <c r="B1067" s="772" t="s">
        <v>3347</v>
      </c>
      <c r="C1067" s="772" t="s">
        <v>2478</v>
      </c>
      <c r="D1067" s="772" t="s">
        <v>2448</v>
      </c>
    </row>
    <row r="1068" spans="2:4" x14ac:dyDescent="0.25">
      <c r="B1068" s="772" t="s">
        <v>3348</v>
      </c>
      <c r="C1068" s="772" t="s">
        <v>2479</v>
      </c>
      <c r="D1068" s="772" t="s">
        <v>2448</v>
      </c>
    </row>
    <row r="1069" spans="2:4" x14ac:dyDescent="0.25">
      <c r="B1069" s="772" t="s">
        <v>3349</v>
      </c>
      <c r="C1069" s="772" t="s">
        <v>2480</v>
      </c>
      <c r="D1069" s="772" t="s">
        <v>2444</v>
      </c>
    </row>
    <row r="1070" spans="2:4" x14ac:dyDescent="0.25">
      <c r="B1070" s="772" t="s">
        <v>3350</v>
      </c>
      <c r="C1070" s="772" t="s">
        <v>2481</v>
      </c>
      <c r="D1070" s="772" t="s">
        <v>1019</v>
      </c>
    </row>
    <row r="1071" spans="2:4" x14ac:dyDescent="0.25">
      <c r="B1071" s="772" t="s">
        <v>3351</v>
      </c>
      <c r="C1071" s="772" t="s">
        <v>2482</v>
      </c>
      <c r="D1071" s="772" t="s">
        <v>1019</v>
      </c>
    </row>
    <row r="1072" spans="2:4" x14ac:dyDescent="0.25">
      <c r="B1072" s="772" t="s">
        <v>3352</v>
      </c>
      <c r="C1072" s="772" t="s">
        <v>2483</v>
      </c>
      <c r="D1072" s="772" t="s">
        <v>1019</v>
      </c>
    </row>
    <row r="1073" spans="2:4" x14ac:dyDescent="0.25">
      <c r="B1073" s="772" t="s">
        <v>3353</v>
      </c>
      <c r="C1073" s="772" t="s">
        <v>2484</v>
      </c>
      <c r="D1073" s="772" t="s">
        <v>1019</v>
      </c>
    </row>
    <row r="1074" spans="2:4" x14ac:dyDescent="0.25">
      <c r="B1074" s="772" t="s">
        <v>3354</v>
      </c>
      <c r="C1074" s="772" t="s">
        <v>2485</v>
      </c>
      <c r="D1074" s="772" t="s">
        <v>1019</v>
      </c>
    </row>
    <row r="1075" spans="2:4" x14ac:dyDescent="0.25">
      <c r="B1075" s="772" t="s">
        <v>3355</v>
      </c>
      <c r="C1075" s="772" t="s">
        <v>2486</v>
      </c>
      <c r="D1075" s="772" t="s">
        <v>1019</v>
      </c>
    </row>
    <row r="1076" spans="2:4" x14ac:dyDescent="0.25">
      <c r="B1076" s="772" t="s">
        <v>3356</v>
      </c>
      <c r="C1076" s="772" t="s">
        <v>2487</v>
      </c>
      <c r="D1076" s="772" t="s">
        <v>1019</v>
      </c>
    </row>
    <row r="1077" spans="2:4" x14ac:dyDescent="0.25">
      <c r="B1077" s="772" t="s">
        <v>3357</v>
      </c>
      <c r="C1077" s="772" t="s">
        <v>2488</v>
      </c>
      <c r="D1077" s="772" t="s">
        <v>1019</v>
      </c>
    </row>
    <row r="1078" spans="2:4" x14ac:dyDescent="0.25">
      <c r="B1078" s="772" t="s">
        <v>3358</v>
      </c>
      <c r="C1078" s="772" t="s">
        <v>2489</v>
      </c>
      <c r="D1078" s="772" t="s">
        <v>1019</v>
      </c>
    </row>
    <row r="1079" spans="2:4" x14ac:dyDescent="0.25">
      <c r="B1079" s="772" t="s">
        <v>3359</v>
      </c>
      <c r="C1079" s="772" t="s">
        <v>2490</v>
      </c>
      <c r="D1079" s="772" t="s">
        <v>1019</v>
      </c>
    </row>
    <row r="1080" spans="2:4" x14ac:dyDescent="0.25">
      <c r="B1080" s="772" t="s">
        <v>3360</v>
      </c>
      <c r="C1080" s="772" t="s">
        <v>2491</v>
      </c>
      <c r="D1080" s="772" t="s">
        <v>1019</v>
      </c>
    </row>
    <row r="1081" spans="2:4" x14ac:dyDescent="0.25">
      <c r="B1081" s="772" t="s">
        <v>3361</v>
      </c>
      <c r="C1081" s="772" t="s">
        <v>2492</v>
      </c>
      <c r="D1081" s="772" t="s">
        <v>1019</v>
      </c>
    </row>
    <row r="1082" spans="2:4" x14ac:dyDescent="0.25">
      <c r="B1082" s="772" t="s">
        <v>3362</v>
      </c>
      <c r="C1082" s="772" t="s">
        <v>2493</v>
      </c>
      <c r="D1082" s="772" t="s">
        <v>1019</v>
      </c>
    </row>
    <row r="1083" spans="2:4" x14ac:dyDescent="0.25">
      <c r="B1083" s="772" t="s">
        <v>3363</v>
      </c>
      <c r="C1083" s="772" t="s">
        <v>2494</v>
      </c>
      <c r="D1083" s="772" t="s">
        <v>1019</v>
      </c>
    </row>
    <row r="1084" spans="2:4" x14ac:dyDescent="0.25">
      <c r="B1084" s="772" t="s">
        <v>3364</v>
      </c>
      <c r="C1084" s="772" t="s">
        <v>2495</v>
      </c>
      <c r="D1084" s="772" t="s">
        <v>1701</v>
      </c>
    </row>
    <row r="1085" spans="2:4" x14ac:dyDescent="0.25">
      <c r="B1085" s="772" t="s">
        <v>2496</v>
      </c>
      <c r="C1085" s="772" t="s">
        <v>2497</v>
      </c>
      <c r="D1085" s="772" t="s">
        <v>1019</v>
      </c>
    </row>
    <row r="1086" spans="2:4" x14ac:dyDescent="0.25">
      <c r="B1086" s="772" t="s">
        <v>3365</v>
      </c>
      <c r="C1086" s="772" t="s">
        <v>2498</v>
      </c>
      <c r="D1086" s="772" t="s">
        <v>1701</v>
      </c>
    </row>
    <row r="1087" spans="2:4" x14ac:dyDescent="0.25">
      <c r="B1087" s="772" t="s">
        <v>3366</v>
      </c>
      <c r="C1087" s="772" t="s">
        <v>2499</v>
      </c>
      <c r="D1087" s="772" t="s">
        <v>1701</v>
      </c>
    </row>
    <row r="1088" spans="2:4" x14ac:dyDescent="0.25">
      <c r="B1088" s="772" t="s">
        <v>3367</v>
      </c>
      <c r="C1088" s="772" t="s">
        <v>2500</v>
      </c>
      <c r="D1088" s="772" t="s">
        <v>1701</v>
      </c>
    </row>
    <row r="1089" spans="2:4" x14ac:dyDescent="0.25">
      <c r="B1089" s="772" t="s">
        <v>3368</v>
      </c>
      <c r="C1089" s="772" t="s">
        <v>2501</v>
      </c>
      <c r="D1089" s="772" t="s">
        <v>1701</v>
      </c>
    </row>
    <row r="1090" spans="2:4" x14ac:dyDescent="0.25">
      <c r="B1090" s="772" t="s">
        <v>3369</v>
      </c>
      <c r="C1090" s="772" t="s">
        <v>2502</v>
      </c>
      <c r="D1090" s="772" t="s">
        <v>1701</v>
      </c>
    </row>
    <row r="1091" spans="2:4" x14ac:dyDescent="0.25">
      <c r="B1091" s="772" t="s">
        <v>3370</v>
      </c>
      <c r="C1091" s="772" t="s">
        <v>2503</v>
      </c>
      <c r="D1091" s="772" t="s">
        <v>1701</v>
      </c>
    </row>
    <row r="1092" spans="2:4" x14ac:dyDescent="0.25">
      <c r="B1092" s="772" t="s">
        <v>3371</v>
      </c>
      <c r="C1092" s="772" t="s">
        <v>2504</v>
      </c>
      <c r="D1092" s="772" t="s">
        <v>1701</v>
      </c>
    </row>
    <row r="1093" spans="2:4" x14ac:dyDescent="0.25">
      <c r="B1093" s="772" t="s">
        <v>2505</v>
      </c>
      <c r="C1093" s="772" t="s">
        <v>2506</v>
      </c>
      <c r="D1093" s="772" t="s">
        <v>1696</v>
      </c>
    </row>
    <row r="1094" spans="2:4" x14ac:dyDescent="0.25">
      <c r="B1094" s="772" t="s">
        <v>3372</v>
      </c>
      <c r="C1094" s="772" t="s">
        <v>2507</v>
      </c>
      <c r="D1094" s="772" t="s">
        <v>1689</v>
      </c>
    </row>
    <row r="1095" spans="2:4" x14ac:dyDescent="0.25">
      <c r="B1095" s="772" t="s">
        <v>3373</v>
      </c>
      <c r="C1095" s="772" t="s">
        <v>2508</v>
      </c>
      <c r="D1095" s="772" t="s">
        <v>1701</v>
      </c>
    </row>
    <row r="1096" spans="2:4" x14ac:dyDescent="0.25">
      <c r="B1096" s="772" t="s">
        <v>3374</v>
      </c>
      <c r="C1096" s="772" t="s">
        <v>2509</v>
      </c>
      <c r="D1096" s="772" t="s">
        <v>1701</v>
      </c>
    </row>
    <row r="1097" spans="2:4" x14ac:dyDescent="0.25">
      <c r="B1097" s="772" t="s">
        <v>2510</v>
      </c>
      <c r="C1097" s="772" t="s">
        <v>2511</v>
      </c>
      <c r="D1097" s="772" t="s">
        <v>1701</v>
      </c>
    </row>
    <row r="1098" spans="2:4" x14ac:dyDescent="0.25">
      <c r="B1098" s="772" t="s">
        <v>3375</v>
      </c>
      <c r="C1098" s="772" t="s">
        <v>2512</v>
      </c>
      <c r="D1098" s="772" t="s">
        <v>1689</v>
      </c>
    </row>
    <row r="1099" spans="2:4" x14ac:dyDescent="0.25">
      <c r="B1099" s="772" t="s">
        <v>3376</v>
      </c>
      <c r="C1099" s="772" t="s">
        <v>2513</v>
      </c>
      <c r="D1099" s="772" t="s">
        <v>1019</v>
      </c>
    </row>
    <row r="1100" spans="2:4" x14ac:dyDescent="0.25">
      <c r="B1100" s="772" t="s">
        <v>3377</v>
      </c>
      <c r="C1100" s="772" t="s">
        <v>2514</v>
      </c>
      <c r="D1100" s="772" t="s">
        <v>1019</v>
      </c>
    </row>
    <row r="1101" spans="2:4" x14ac:dyDescent="0.25">
      <c r="B1101" s="772" t="s">
        <v>3378</v>
      </c>
      <c r="C1101" s="772" t="s">
        <v>2515</v>
      </c>
      <c r="D1101" s="772" t="s">
        <v>1019</v>
      </c>
    </row>
    <row r="1102" spans="2:4" x14ac:dyDescent="0.25">
      <c r="B1102" s="772" t="s">
        <v>2516</v>
      </c>
      <c r="C1102" s="772" t="s">
        <v>2517</v>
      </c>
      <c r="D1102" s="772" t="s">
        <v>1689</v>
      </c>
    </row>
    <row r="1103" spans="2:4" x14ac:dyDescent="0.25">
      <c r="B1103" s="772" t="s">
        <v>2518</v>
      </c>
      <c r="C1103" s="772" t="s">
        <v>2519</v>
      </c>
      <c r="D1103" s="772" t="s">
        <v>1689</v>
      </c>
    </row>
    <row r="1104" spans="2:4" x14ac:dyDescent="0.25">
      <c r="B1104" s="772" t="s">
        <v>2520</v>
      </c>
      <c r="C1104" s="772" t="s">
        <v>2521</v>
      </c>
      <c r="D1104" s="772" t="s">
        <v>1701</v>
      </c>
    </row>
    <row r="1105" spans="2:4" x14ac:dyDescent="0.25">
      <c r="B1105" s="772" t="s">
        <v>2522</v>
      </c>
      <c r="C1105" s="772" t="s">
        <v>2523</v>
      </c>
      <c r="D1105" s="772" t="s">
        <v>1696</v>
      </c>
    </row>
    <row r="1106" spans="2:4" x14ac:dyDescent="0.25">
      <c r="B1106" s="772" t="s">
        <v>3379</v>
      </c>
      <c r="C1106" s="772" t="s">
        <v>2524</v>
      </c>
      <c r="D1106" s="772" t="s">
        <v>1019</v>
      </c>
    </row>
    <row r="1107" spans="2:4" x14ac:dyDescent="0.25">
      <c r="B1107" s="772" t="s">
        <v>3380</v>
      </c>
      <c r="C1107" s="772" t="s">
        <v>2525</v>
      </c>
      <c r="D1107" s="772" t="s">
        <v>1696</v>
      </c>
    </row>
    <row r="1108" spans="2:4" x14ac:dyDescent="0.25">
      <c r="B1108" s="772" t="s">
        <v>3381</v>
      </c>
      <c r="C1108" s="772" t="s">
        <v>2526</v>
      </c>
      <c r="D1108" s="772" t="s">
        <v>1689</v>
      </c>
    </row>
    <row r="1109" spans="2:4" x14ac:dyDescent="0.25">
      <c r="B1109" s="772" t="s">
        <v>3382</v>
      </c>
      <c r="C1109" s="772" t="s">
        <v>2527</v>
      </c>
      <c r="D1109" s="772" t="s">
        <v>1689</v>
      </c>
    </row>
    <row r="1110" spans="2:4" x14ac:dyDescent="0.25">
      <c r="B1110" s="772" t="s">
        <v>2528</v>
      </c>
      <c r="C1110" s="772" t="s">
        <v>2529</v>
      </c>
      <c r="D1110" s="772" t="s">
        <v>1689</v>
      </c>
    </row>
    <row r="1111" spans="2:4" x14ac:dyDescent="0.25">
      <c r="B1111" s="772" t="s">
        <v>3383</v>
      </c>
      <c r="C1111" s="772" t="s">
        <v>2530</v>
      </c>
      <c r="D1111" s="772" t="s">
        <v>1689</v>
      </c>
    </row>
    <row r="1112" spans="2:4" x14ac:dyDescent="0.25">
      <c r="B1112" s="772" t="s">
        <v>3384</v>
      </c>
      <c r="C1112" s="772" t="s">
        <v>2531</v>
      </c>
      <c r="D1112" s="772" t="s">
        <v>1689</v>
      </c>
    </row>
    <row r="1113" spans="2:4" x14ac:dyDescent="0.25">
      <c r="B1113" s="772" t="s">
        <v>3385</v>
      </c>
      <c r="C1113" s="772" t="s">
        <v>2532</v>
      </c>
      <c r="D1113" s="772" t="s">
        <v>1689</v>
      </c>
    </row>
    <row r="1114" spans="2:4" x14ac:dyDescent="0.25">
      <c r="B1114" s="772" t="s">
        <v>3386</v>
      </c>
      <c r="C1114" s="772" t="s">
        <v>2533</v>
      </c>
      <c r="D1114" s="772" t="s">
        <v>1689</v>
      </c>
    </row>
    <row r="1115" spans="2:4" x14ac:dyDescent="0.25">
      <c r="B1115" s="772" t="s">
        <v>2534</v>
      </c>
      <c r="C1115" s="772" t="s">
        <v>2535</v>
      </c>
      <c r="D1115" s="772" t="s">
        <v>1689</v>
      </c>
    </row>
    <row r="1116" spans="2:4" x14ac:dyDescent="0.25">
      <c r="B1116" s="772" t="s">
        <v>3387</v>
      </c>
      <c r="C1116" s="772" t="s">
        <v>2536</v>
      </c>
      <c r="D1116" s="772" t="s">
        <v>1019</v>
      </c>
    </row>
    <row r="1117" spans="2:4" x14ac:dyDescent="0.25">
      <c r="B1117" s="772" t="s">
        <v>3388</v>
      </c>
      <c r="C1117" s="772" t="s">
        <v>2537</v>
      </c>
      <c r="D1117" s="772" t="s">
        <v>1689</v>
      </c>
    </row>
    <row r="1118" spans="2:4" x14ac:dyDescent="0.25">
      <c r="B1118" s="772" t="s">
        <v>3389</v>
      </c>
      <c r="C1118" s="772" t="s">
        <v>2538</v>
      </c>
      <c r="D1118" s="772" t="s">
        <v>1689</v>
      </c>
    </row>
    <row r="1119" spans="2:4" x14ac:dyDescent="0.25">
      <c r="B1119" s="772" t="s">
        <v>3390</v>
      </c>
      <c r="C1119" s="772" t="s">
        <v>2539</v>
      </c>
      <c r="D1119" s="772" t="s">
        <v>1701</v>
      </c>
    </row>
    <row r="1120" spans="2:4" x14ac:dyDescent="0.25">
      <c r="B1120" s="772" t="s">
        <v>3391</v>
      </c>
      <c r="C1120" s="772" t="s">
        <v>2540</v>
      </c>
      <c r="D1120" s="772" t="s">
        <v>1701</v>
      </c>
    </row>
    <row r="1121" spans="1:4" x14ac:dyDescent="0.25">
      <c r="B1121" s="772" t="s">
        <v>3392</v>
      </c>
      <c r="C1121" s="772" t="s">
        <v>2541</v>
      </c>
      <c r="D1121" s="772" t="s">
        <v>1701</v>
      </c>
    </row>
    <row r="1122" spans="1:4" x14ac:dyDescent="0.25">
      <c r="B1122" s="772" t="s">
        <v>3393</v>
      </c>
      <c r="C1122" s="772" t="s">
        <v>2542</v>
      </c>
      <c r="D1122" s="772" t="s">
        <v>1701</v>
      </c>
    </row>
    <row r="1123" spans="1:4" x14ac:dyDescent="0.25">
      <c r="B1123" s="772" t="s">
        <v>3394</v>
      </c>
      <c r="C1123" s="772" t="s">
        <v>2543</v>
      </c>
      <c r="D1123" s="772" t="s">
        <v>1701</v>
      </c>
    </row>
    <row r="1124" spans="1:4" x14ac:dyDescent="0.25">
      <c r="B1124" s="772" t="s">
        <v>3395</v>
      </c>
      <c r="C1124" s="772" t="s">
        <v>2544</v>
      </c>
      <c r="D1124" s="772" t="s">
        <v>1701</v>
      </c>
    </row>
    <row r="1125" spans="1:4" x14ac:dyDescent="0.25">
      <c r="B1125" s="772" t="s">
        <v>3396</v>
      </c>
      <c r="C1125" s="772" t="s">
        <v>2545</v>
      </c>
      <c r="D1125" s="772" t="s">
        <v>1701</v>
      </c>
    </row>
    <row r="1126" spans="1:4" x14ac:dyDescent="0.25">
      <c r="B1126" s="772" t="s">
        <v>3397</v>
      </c>
      <c r="C1126" s="772" t="s">
        <v>2546</v>
      </c>
      <c r="D1126" s="772" t="s">
        <v>1696</v>
      </c>
    </row>
    <row r="1127" spans="1:4" x14ac:dyDescent="0.25">
      <c r="B1127" s="772" t="s">
        <v>3398</v>
      </c>
      <c r="C1127" s="772" t="s">
        <v>2547</v>
      </c>
      <c r="D1127" s="772" t="s">
        <v>1696</v>
      </c>
    </row>
    <row r="1128" spans="1:4" x14ac:dyDescent="0.25">
      <c r="B1128" s="772" t="s">
        <v>3399</v>
      </c>
      <c r="C1128" s="772" t="s">
        <v>2548</v>
      </c>
      <c r="D1128" s="772" t="s">
        <v>1701</v>
      </c>
    </row>
    <row r="1129" spans="1:4" x14ac:dyDescent="0.25">
      <c r="B1129" s="772" t="s">
        <v>3400</v>
      </c>
      <c r="C1129" s="772" t="s">
        <v>2549</v>
      </c>
      <c r="D1129" s="772" t="s">
        <v>1701</v>
      </c>
    </row>
    <row r="1130" spans="1:4" x14ac:dyDescent="0.25">
      <c r="A1130" s="545" t="s">
        <v>3489</v>
      </c>
      <c r="B1130" s="772" t="s">
        <v>3407</v>
      </c>
      <c r="C1130" s="772" t="s">
        <v>3408</v>
      </c>
      <c r="D1130" s="772" t="s">
        <v>1031</v>
      </c>
    </row>
    <row r="1131" spans="1:4" x14ac:dyDescent="0.25">
      <c r="B1131" s="772" t="s">
        <v>3409</v>
      </c>
      <c r="C1131" s="772" t="s">
        <v>3410</v>
      </c>
      <c r="D1131" s="772" t="s">
        <v>1031</v>
      </c>
    </row>
    <row r="1132" spans="1:4" x14ac:dyDescent="0.25">
      <c r="B1132" s="772" t="s">
        <v>3411</v>
      </c>
      <c r="C1132" s="772" t="s">
        <v>3412</v>
      </c>
      <c r="D1132" s="772" t="s">
        <v>1031</v>
      </c>
    </row>
    <row r="1133" spans="1:4" x14ac:dyDescent="0.25">
      <c r="B1133" s="772" t="s">
        <v>3413</v>
      </c>
      <c r="C1133" s="772" t="s">
        <v>3414</v>
      </c>
      <c r="D1133" s="772" t="s">
        <v>1031</v>
      </c>
    </row>
    <row r="1134" spans="1:4" x14ac:dyDescent="0.25">
      <c r="B1134" s="772" t="s">
        <v>3415</v>
      </c>
      <c r="C1134" s="772" t="s">
        <v>3416</v>
      </c>
      <c r="D1134" s="772" t="s">
        <v>1031</v>
      </c>
    </row>
    <row r="1135" spans="1:4" x14ac:dyDescent="0.25">
      <c r="B1135" s="772" t="s">
        <v>3417</v>
      </c>
      <c r="C1135" s="772" t="s">
        <v>3418</v>
      </c>
      <c r="D1135" s="772" t="s">
        <v>1031</v>
      </c>
    </row>
    <row r="1136" spans="1:4" x14ac:dyDescent="0.25">
      <c r="B1136" s="772" t="s">
        <v>3419</v>
      </c>
      <c r="C1136" s="772" t="s">
        <v>3420</v>
      </c>
      <c r="D1136" s="772" t="s">
        <v>1031</v>
      </c>
    </row>
    <row r="1137" spans="2:4" x14ac:dyDescent="0.25">
      <c r="B1137" s="772" t="s">
        <v>3421</v>
      </c>
      <c r="C1137" s="772" t="s">
        <v>3422</v>
      </c>
      <c r="D1137" s="772" t="s">
        <v>1031</v>
      </c>
    </row>
    <row r="1138" spans="2:4" x14ac:dyDescent="0.25">
      <c r="B1138" s="772" t="s">
        <v>3423</v>
      </c>
      <c r="C1138" s="772" t="s">
        <v>3424</v>
      </c>
      <c r="D1138" s="772" t="s">
        <v>1031</v>
      </c>
    </row>
    <row r="1139" spans="2:4" x14ac:dyDescent="0.25">
      <c r="B1139" s="772" t="s">
        <v>3425</v>
      </c>
      <c r="C1139" s="772" t="s">
        <v>3426</v>
      </c>
      <c r="D1139" s="772" t="s">
        <v>1031</v>
      </c>
    </row>
    <row r="1140" spans="2:4" x14ac:dyDescent="0.25">
      <c r="B1140" s="772" t="s">
        <v>3427</v>
      </c>
      <c r="C1140" s="772" t="s">
        <v>3428</v>
      </c>
      <c r="D1140" s="772" t="s">
        <v>1031</v>
      </c>
    </row>
    <row r="1141" spans="2:4" x14ac:dyDescent="0.25">
      <c r="B1141" s="772" t="s">
        <v>3429</v>
      </c>
      <c r="C1141" s="772" t="s">
        <v>3430</v>
      </c>
      <c r="D1141" s="772" t="s">
        <v>1031</v>
      </c>
    </row>
    <row r="1142" spans="2:4" x14ac:dyDescent="0.25">
      <c r="B1142" s="772" t="s">
        <v>3431</v>
      </c>
      <c r="C1142" s="772" t="s">
        <v>3432</v>
      </c>
      <c r="D1142" s="772" t="s">
        <v>1031</v>
      </c>
    </row>
    <row r="1143" spans="2:4" x14ac:dyDescent="0.25">
      <c r="B1143" s="772" t="s">
        <v>3433</v>
      </c>
      <c r="C1143" s="772" t="s">
        <v>3434</v>
      </c>
      <c r="D1143" s="772" t="s">
        <v>1031</v>
      </c>
    </row>
    <row r="1144" spans="2:4" x14ac:dyDescent="0.25">
      <c r="B1144" s="772" t="s">
        <v>3435</v>
      </c>
      <c r="C1144" s="772" t="s">
        <v>3436</v>
      </c>
      <c r="D1144" s="772" t="s">
        <v>1031</v>
      </c>
    </row>
    <row r="1145" spans="2:4" x14ac:dyDescent="0.25">
      <c r="B1145" s="772" t="s">
        <v>3437</v>
      </c>
      <c r="C1145" s="772" t="s">
        <v>3438</v>
      </c>
      <c r="D1145" s="772" t="s">
        <v>1031</v>
      </c>
    </row>
    <row r="1146" spans="2:4" x14ac:dyDescent="0.25">
      <c r="B1146" s="772" t="s">
        <v>3439</v>
      </c>
      <c r="C1146" s="772" t="s">
        <v>3440</v>
      </c>
      <c r="D1146" s="772" t="s">
        <v>1031</v>
      </c>
    </row>
    <row r="1147" spans="2:4" x14ac:dyDescent="0.25">
      <c r="B1147" s="772" t="s">
        <v>3441</v>
      </c>
      <c r="C1147" s="772" t="s">
        <v>3442</v>
      </c>
      <c r="D1147" s="772" t="s">
        <v>1031</v>
      </c>
    </row>
    <row r="1148" spans="2:4" x14ac:dyDescent="0.25">
      <c r="B1148" s="772" t="s">
        <v>3443</v>
      </c>
      <c r="C1148" s="772" t="s">
        <v>3444</v>
      </c>
      <c r="D1148" s="772" t="s">
        <v>1031</v>
      </c>
    </row>
    <row r="1149" spans="2:4" x14ac:dyDescent="0.25">
      <c r="B1149" s="772" t="s">
        <v>3445</v>
      </c>
      <c r="C1149" s="772" t="s">
        <v>3446</v>
      </c>
      <c r="D1149" s="772" t="s">
        <v>1031</v>
      </c>
    </row>
    <row r="1150" spans="2:4" x14ac:dyDescent="0.25">
      <c r="B1150" s="772" t="s">
        <v>3447</v>
      </c>
      <c r="C1150" s="772" t="s">
        <v>3448</v>
      </c>
      <c r="D1150" s="772" t="s">
        <v>1031</v>
      </c>
    </row>
    <row r="1151" spans="2:4" x14ac:dyDescent="0.25">
      <c r="B1151" s="772" t="s">
        <v>3449</v>
      </c>
      <c r="C1151" s="772" t="s">
        <v>3450</v>
      </c>
      <c r="D1151" s="772" t="s">
        <v>1031</v>
      </c>
    </row>
    <row r="1152" spans="2:4" x14ac:dyDescent="0.25">
      <c r="B1152" s="772" t="s">
        <v>3451</v>
      </c>
      <c r="C1152" s="772" t="s">
        <v>3452</v>
      </c>
      <c r="D1152" s="772" t="s">
        <v>1031</v>
      </c>
    </row>
    <row r="1153" spans="2:4" x14ac:dyDescent="0.25">
      <c r="B1153" s="772" t="s">
        <v>3453</v>
      </c>
      <c r="C1153" s="772" t="s">
        <v>3454</v>
      </c>
      <c r="D1153" s="772" t="s">
        <v>1031</v>
      </c>
    </row>
    <row r="1154" spans="2:4" x14ac:dyDescent="0.25">
      <c r="B1154" s="772" t="s">
        <v>3455</v>
      </c>
      <c r="C1154" s="772" t="s">
        <v>3456</v>
      </c>
      <c r="D1154" s="772" t="s">
        <v>1031</v>
      </c>
    </row>
    <row r="1155" spans="2:4" x14ac:dyDescent="0.25">
      <c r="B1155" s="772" t="s">
        <v>3457</v>
      </c>
      <c r="C1155" s="772" t="s">
        <v>3458</v>
      </c>
      <c r="D1155" s="772" t="s">
        <v>1031</v>
      </c>
    </row>
    <row r="1156" spans="2:4" x14ac:dyDescent="0.25">
      <c r="B1156" s="772" t="s">
        <v>3459</v>
      </c>
      <c r="C1156" s="772" t="s">
        <v>3460</v>
      </c>
      <c r="D1156" s="772" t="s">
        <v>1031</v>
      </c>
    </row>
    <row r="1157" spans="2:4" x14ac:dyDescent="0.25">
      <c r="B1157" s="772" t="s">
        <v>3461</v>
      </c>
      <c r="C1157" s="772" t="s">
        <v>3462</v>
      </c>
      <c r="D1157" s="772" t="s">
        <v>1031</v>
      </c>
    </row>
    <row r="1158" spans="2:4" x14ac:dyDescent="0.25">
      <c r="B1158" s="772" t="s">
        <v>3463</v>
      </c>
      <c r="C1158" s="772" t="s">
        <v>3464</v>
      </c>
      <c r="D1158" s="772" t="s">
        <v>1031</v>
      </c>
    </row>
    <row r="1159" spans="2:4" x14ac:dyDescent="0.25">
      <c r="B1159" s="772" t="s">
        <v>3465</v>
      </c>
      <c r="C1159" s="772" t="s">
        <v>3466</v>
      </c>
      <c r="D1159" s="772" t="s">
        <v>1031</v>
      </c>
    </row>
    <row r="1160" spans="2:4" x14ac:dyDescent="0.25">
      <c r="B1160" s="772" t="s">
        <v>3467</v>
      </c>
      <c r="C1160" s="772" t="s">
        <v>3468</v>
      </c>
      <c r="D1160" s="772" t="s">
        <v>1031</v>
      </c>
    </row>
    <row r="1161" spans="2:4" x14ac:dyDescent="0.25">
      <c r="B1161" s="772" t="s">
        <v>3469</v>
      </c>
      <c r="C1161" s="772" t="s">
        <v>3470</v>
      </c>
      <c r="D1161" s="772" t="s">
        <v>1031</v>
      </c>
    </row>
    <row r="1162" spans="2:4" x14ac:dyDescent="0.25">
      <c r="B1162" s="772" t="s">
        <v>3471</v>
      </c>
      <c r="C1162" s="772" t="s">
        <v>3472</v>
      </c>
      <c r="D1162" s="772" t="s">
        <v>1031</v>
      </c>
    </row>
    <row r="1163" spans="2:4" x14ac:dyDescent="0.25">
      <c r="B1163" s="772" t="s">
        <v>3473</v>
      </c>
      <c r="C1163" s="772" t="s">
        <v>3474</v>
      </c>
      <c r="D1163" s="772" t="s">
        <v>1031</v>
      </c>
    </row>
    <row r="1164" spans="2:4" x14ac:dyDescent="0.25">
      <c r="B1164" s="772" t="s">
        <v>3475</v>
      </c>
      <c r="C1164" s="772" t="s">
        <v>3476</v>
      </c>
      <c r="D1164" s="772" t="s">
        <v>1031</v>
      </c>
    </row>
    <row r="1165" spans="2:4" x14ac:dyDescent="0.25">
      <c r="B1165" s="772" t="s">
        <v>3477</v>
      </c>
      <c r="C1165" s="772" t="s">
        <v>3478</v>
      </c>
      <c r="D1165" s="772" t="s">
        <v>1031</v>
      </c>
    </row>
    <row r="1166" spans="2:4" x14ac:dyDescent="0.25">
      <c r="B1166" s="772" t="s">
        <v>3479</v>
      </c>
      <c r="C1166" s="772" t="s">
        <v>3480</v>
      </c>
      <c r="D1166" s="772" t="s">
        <v>1031</v>
      </c>
    </row>
    <row r="1167" spans="2:4" x14ac:dyDescent="0.25">
      <c r="B1167" s="772" t="s">
        <v>3481</v>
      </c>
      <c r="C1167" s="772" t="s">
        <v>3482</v>
      </c>
      <c r="D1167" s="772" t="s">
        <v>1031</v>
      </c>
    </row>
    <row r="1168" spans="2:4" x14ac:dyDescent="0.25">
      <c r="B1168" s="772" t="s">
        <v>3483</v>
      </c>
      <c r="C1168" s="772" t="s">
        <v>3484</v>
      </c>
      <c r="D1168" s="772" t="s">
        <v>1031</v>
      </c>
    </row>
    <row r="1169" spans="2:4" x14ac:dyDescent="0.25">
      <c r="B1169" s="772" t="s">
        <v>3485</v>
      </c>
      <c r="C1169" s="772" t="s">
        <v>3486</v>
      </c>
      <c r="D1169" s="772" t="s">
        <v>1031</v>
      </c>
    </row>
    <row r="1170" spans="2:4" x14ac:dyDescent="0.25">
      <c r="B1170" s="772" t="s">
        <v>3487</v>
      </c>
      <c r="C1170" s="772" t="s">
        <v>3488</v>
      </c>
      <c r="D1170" s="772" t="s">
        <v>1031</v>
      </c>
    </row>
    <row r="1270" spans="2:4" x14ac:dyDescent="0.25">
      <c r="B1270" s="772"/>
      <c r="C1270" s="772"/>
      <c r="D1270" s="772"/>
    </row>
    <row r="1271" spans="2:4" x14ac:dyDescent="0.25">
      <c r="B1271" s="772"/>
      <c r="C1271" s="772"/>
      <c r="D1271" s="772"/>
    </row>
  </sheetData>
  <autoFilter ref="B1:E117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U294"/>
  <sheetViews>
    <sheetView zoomScale="85" zoomScaleNormal="85" workbookViewId="0">
      <pane ySplit="1" topLeftCell="A2" activePane="bottomLeft" state="frozen"/>
      <selection pane="bottomLeft" activeCell="F3" sqref="F3"/>
    </sheetView>
  </sheetViews>
  <sheetFormatPr defaultColWidth="8.85546875" defaultRowHeight="15" x14ac:dyDescent="0.25"/>
  <cols>
    <col min="1" max="1" width="8.28515625" style="1" customWidth="1"/>
    <col min="2" max="2" width="32.5703125" style="1" customWidth="1"/>
    <col min="3" max="3" width="18.42578125" style="1" customWidth="1"/>
    <col min="4" max="4" width="22.7109375" style="1" customWidth="1"/>
    <col min="5" max="5" width="15.7109375" style="1" customWidth="1"/>
    <col min="6" max="6" width="21.5703125" style="1" customWidth="1"/>
    <col min="7" max="7" width="29.85546875" style="1" customWidth="1"/>
    <col min="8" max="8" width="15.28515625" style="1" customWidth="1"/>
    <col min="9" max="9" width="19.28515625" style="1" customWidth="1"/>
    <col min="10" max="10" width="16.28515625" style="1" customWidth="1"/>
    <col min="11" max="11" width="46" style="1" customWidth="1"/>
    <col min="12" max="12" width="22.140625" style="1" customWidth="1"/>
    <col min="13" max="14" width="15.28515625" style="1" customWidth="1"/>
    <col min="15" max="15" width="8.85546875" style="1"/>
    <col min="16" max="16" width="10.7109375" style="1" customWidth="1"/>
    <col min="17" max="17" width="13.5703125" style="1" customWidth="1"/>
    <col min="18" max="18" width="15.7109375" style="1" customWidth="1"/>
    <col min="19" max="16384" width="8.85546875" style="1"/>
  </cols>
  <sheetData>
    <row r="1" spans="1:15" ht="64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69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ht="15.75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ht="16.5" thickTop="1" thickBot="1" x14ac:dyDescent="0.3">
      <c r="A6" s="3"/>
      <c r="B6" s="5" t="s">
        <v>7</v>
      </c>
      <c r="C6" s="9" t="s">
        <v>3727</v>
      </c>
      <c r="D6" s="5" t="s">
        <v>23</v>
      </c>
      <c r="E6" s="5" t="s">
        <v>19</v>
      </c>
      <c r="F6" s="5" t="s">
        <v>20</v>
      </c>
      <c r="G6" s="5" t="s">
        <v>21</v>
      </c>
      <c r="H6" s="5" t="s">
        <v>22</v>
      </c>
      <c r="I6" s="3"/>
      <c r="J6" s="3"/>
      <c r="K6" s="3"/>
      <c r="L6" s="3"/>
      <c r="M6" s="3"/>
      <c r="N6" s="3"/>
      <c r="O6" s="3"/>
    </row>
    <row r="7" spans="1:15" ht="16.5" thickTop="1" thickBot="1" x14ac:dyDescent="0.3">
      <c r="A7" s="3"/>
      <c r="B7" s="5">
        <v>1</v>
      </c>
      <c r="C7" s="9" t="s">
        <v>84</v>
      </c>
      <c r="D7" s="5">
        <v>50</v>
      </c>
      <c r="E7" s="5">
        <f>IF(Sheet5!B12&lt;=500,6,8)</f>
        <v>8</v>
      </c>
      <c r="F7" s="5">
        <v>32</v>
      </c>
      <c r="G7" s="5">
        <v>12</v>
      </c>
      <c r="H7" s="5">
        <v>10</v>
      </c>
      <c r="I7" s="25">
        <f>VLOOKUP(Sheet2!F22,C7:H9,2,FALSE)</f>
        <v>60</v>
      </c>
      <c r="J7" s="22">
        <f>VLOOKUP(Sheet2!F22,C7:H9,3,FALSE)</f>
        <v>8</v>
      </c>
      <c r="K7" s="22">
        <f>VLOOKUP(Sheet2!F22,C7:H9,4,FALSE)</f>
        <v>35</v>
      </c>
      <c r="L7" s="22">
        <f>VLOOKUP(Sheet2!F22,C7:H9,5,FALSE)</f>
        <v>12</v>
      </c>
      <c r="M7" s="22">
        <f>VLOOKUP(Sheet2!F22,C7:H9,6,FALSE)</f>
        <v>15</v>
      </c>
      <c r="N7" s="3"/>
      <c r="O7" s="3"/>
    </row>
    <row r="8" spans="1:15" ht="16.5" thickTop="1" thickBot="1" x14ac:dyDescent="0.3">
      <c r="A8" s="3"/>
      <c r="B8" s="5">
        <v>2</v>
      </c>
      <c r="C8" s="9" t="s">
        <v>3728</v>
      </c>
      <c r="D8" s="5">
        <v>60</v>
      </c>
      <c r="E8" s="5">
        <f>IF(Sheet5!B12&lt;=500,6,8)</f>
        <v>8</v>
      </c>
      <c r="F8" s="5">
        <v>35</v>
      </c>
      <c r="G8" s="5">
        <v>12</v>
      </c>
      <c r="H8" s="5">
        <v>15</v>
      </c>
      <c r="I8" s="3"/>
      <c r="J8" s="3"/>
      <c r="K8" s="3"/>
      <c r="L8" s="3"/>
      <c r="M8" s="3"/>
      <c r="N8" s="9">
        <v>60</v>
      </c>
      <c r="O8" s="3"/>
    </row>
    <row r="9" spans="1:15" ht="16.5" thickTop="1" thickBot="1" x14ac:dyDescent="0.3">
      <c r="A9" s="3"/>
      <c r="B9" s="9">
        <v>3</v>
      </c>
      <c r="C9" s="9"/>
      <c r="D9" s="9"/>
      <c r="E9" s="9"/>
      <c r="F9" s="9"/>
      <c r="G9" s="9"/>
      <c r="H9" s="9"/>
      <c r="I9" s="3"/>
      <c r="J9" s="3"/>
      <c r="K9" s="3"/>
      <c r="L9" s="3"/>
      <c r="M9" s="3"/>
      <c r="N9" s="9">
        <v>63</v>
      </c>
      <c r="O9" s="3"/>
    </row>
    <row r="10" spans="1:15" ht="16.5" thickTop="1" thickBot="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ht="16.5" thickTop="1" thickBot="1" x14ac:dyDescent="0.3">
      <c r="A11" s="3"/>
      <c r="B11" s="5" t="s">
        <v>4</v>
      </c>
      <c r="C11" s="5" t="s">
        <v>36</v>
      </c>
      <c r="D11" s="5" t="s">
        <v>43</v>
      </c>
      <c r="E11" s="5" t="s">
        <v>35</v>
      </c>
      <c r="F11" s="5" t="s">
        <v>604</v>
      </c>
      <c r="G11" s="5" t="s">
        <v>65</v>
      </c>
      <c r="H11" s="5" t="s">
        <v>46</v>
      </c>
      <c r="I11" s="3"/>
      <c r="J11" s="3"/>
      <c r="K11" s="3"/>
      <c r="L11" s="3"/>
      <c r="M11" s="3"/>
      <c r="N11" s="3"/>
      <c r="O11" s="3"/>
    </row>
    <row r="12" spans="1:15" ht="16.5" thickTop="1" thickBot="1" x14ac:dyDescent="0.3">
      <c r="A12" s="3"/>
      <c r="B12" s="5">
        <v>1</v>
      </c>
      <c r="C12" s="5" t="s">
        <v>37</v>
      </c>
      <c r="D12" s="5" t="s">
        <v>44</v>
      </c>
      <c r="E12" s="5">
        <v>78</v>
      </c>
      <c r="F12" s="5">
        <v>123</v>
      </c>
      <c r="G12" s="5">
        <f>IF(AND(Sheet5!E10="plugin",Sheet5!B18&gt;=35),300,IF(AND(Sheet5!E10="plugin",Sheet5!B18&lt;35),270,IF(AND(Sheet5!E10="thường",Sheet5!B18&gt;=35),370,IF(AND(Sheet5!E10="thường",Sheet5!B18&lt;35,Sheet5!B17&gt;=560),300,IF(AND(Sheet5!E10="thường",Sheet5!B18&lt;35,Sheet5!B17&lt;560),270,"sai")))))</f>
        <v>270</v>
      </c>
      <c r="H12" s="9" t="s">
        <v>66</v>
      </c>
      <c r="I12" s="22" t="str">
        <f>VLOOKUP(Sheet2!F31,C12:H18,2,FALSE)</f>
        <v>M12</v>
      </c>
      <c r="J12" s="22">
        <f>VLOOKUP(Sheet2!F31,C12:H18,3,FALSE)</f>
        <v>78</v>
      </c>
      <c r="K12" s="22">
        <f>VLOOKUP(Sheet2!F31,C12:H18,4,FALSE)</f>
        <v>123</v>
      </c>
      <c r="L12" s="22">
        <f>VLOOKUP(Sheet2!F31,C12:H18,5,FALSE)</f>
        <v>270</v>
      </c>
      <c r="M12" s="22" t="str">
        <f>VLOOKUP(Sheet2!F31,C12:H18,6,FALSE)</f>
        <v>M10X58/M10X55</v>
      </c>
      <c r="N12" s="3"/>
      <c r="O12" s="3"/>
    </row>
    <row r="13" spans="1:15" ht="16.5" thickTop="1" thickBot="1" x14ac:dyDescent="0.3">
      <c r="A13" s="3"/>
      <c r="B13" s="5">
        <v>2</v>
      </c>
      <c r="C13" s="5" t="s">
        <v>38</v>
      </c>
      <c r="D13" s="5" t="s">
        <v>44</v>
      </c>
      <c r="E13" s="5">
        <v>78</v>
      </c>
      <c r="F13" s="5">
        <v>123</v>
      </c>
      <c r="G13" s="5">
        <f>IF(AND(Sheet5!E10="plugin",Sheet5!B18&gt;=35),300,IF(AND(Sheet5!E10="plugin",Sheet5!B18&lt;35),270,IF(AND(Sheet5!E10="thường",Sheet5!B18&gt;=35),370,IF(AND(Sheet5!E10="thường",Sheet5!B18&lt;35,Sheet5!B17&gt;=560),300,IF(AND(Sheet5!E10="thường",Sheet5!B18&lt;35,Sheet5!B17&lt;560),270,"sai")))))</f>
        <v>270</v>
      </c>
      <c r="H13" s="9" t="s">
        <v>66</v>
      </c>
      <c r="I13" s="3"/>
      <c r="J13" s="3"/>
      <c r="K13" s="3"/>
      <c r="L13" s="3"/>
      <c r="M13" s="3"/>
      <c r="N13" s="3"/>
      <c r="O13" s="3"/>
    </row>
    <row r="14" spans="1:15" ht="16.5" thickTop="1" thickBot="1" x14ac:dyDescent="0.3">
      <c r="A14" s="3"/>
      <c r="B14" s="5">
        <v>3</v>
      </c>
      <c r="C14" s="5" t="s">
        <v>39</v>
      </c>
      <c r="D14" s="5" t="s">
        <v>44</v>
      </c>
      <c r="E14" s="5">
        <v>78</v>
      </c>
      <c r="F14" s="5">
        <v>123</v>
      </c>
      <c r="G14" s="5">
        <f>IF(AND(Sheet5!E10="plugin",Sheet5!B18&gt;=35),300,IF(AND(Sheet5!E10="plugin",Sheet5!B18&lt;35),270,IF(AND(Sheet5!E10="thường",Sheet5!B18&gt;=35),370,IF(AND(Sheet5!E10="thường",Sheet5!B18&lt;35,Sheet5!B17&gt;=560),300,IF(AND(Sheet5!E10="thường",Sheet5!B18&lt;35,Sheet5!B17&lt;560),270,"sai")))))</f>
        <v>270</v>
      </c>
      <c r="H14" s="9" t="s">
        <v>47</v>
      </c>
      <c r="I14" s="3"/>
      <c r="J14" s="3"/>
      <c r="K14" s="3"/>
      <c r="L14" s="3"/>
      <c r="M14" s="3"/>
      <c r="N14" s="3"/>
      <c r="O14" s="3"/>
    </row>
    <row r="15" spans="1:15" ht="16.5" thickTop="1" thickBot="1" x14ac:dyDescent="0.3">
      <c r="A15" s="3"/>
      <c r="B15" s="5">
        <v>4</v>
      </c>
      <c r="C15" s="5"/>
      <c r="D15" s="5"/>
      <c r="E15" s="5"/>
      <c r="F15" s="5"/>
      <c r="G15" s="5"/>
      <c r="H15" s="9"/>
      <c r="I15" s="3"/>
      <c r="J15" s="3"/>
      <c r="K15" s="3"/>
      <c r="L15" s="3"/>
      <c r="M15" s="3"/>
      <c r="N15" s="3"/>
      <c r="O15" s="3"/>
    </row>
    <row r="16" spans="1:15" ht="16.5" thickTop="1" thickBot="1" x14ac:dyDescent="0.3">
      <c r="A16" s="3"/>
      <c r="B16" s="5">
        <v>5</v>
      </c>
      <c r="C16" s="5" t="s">
        <v>40</v>
      </c>
      <c r="D16" s="5" t="s">
        <v>45</v>
      </c>
      <c r="E16" s="5">
        <v>92</v>
      </c>
      <c r="F16" s="5">
        <v>140</v>
      </c>
      <c r="G16" s="5">
        <f>IF(AND(Sheet5!E10="plugin",Sheet5!B18&gt;=35),300,IF(AND(Sheet5!E10="plugin",Sheet5!B18&lt;35),270,IF(AND(Sheet5!E10="thường",Sheet5!B18&gt;=35),370,IF(AND(Sheet5!E10="thường",Sheet5!B18&lt;35,Sheet5!B17&gt;=560),300,IF(AND(Sheet5!E10="thường",Sheet5!B18&lt;35,Sheet5!B17&lt;560),270,"sai")))))</f>
        <v>270</v>
      </c>
      <c r="H16" s="9" t="s">
        <v>66</v>
      </c>
      <c r="I16" s="3"/>
      <c r="J16" s="3"/>
      <c r="K16" s="3"/>
      <c r="L16" s="3"/>
      <c r="M16" s="3"/>
      <c r="N16" s="3"/>
      <c r="O16" s="3"/>
    </row>
    <row r="17" spans="1:19" ht="16.5" thickTop="1" thickBot="1" x14ac:dyDescent="0.3">
      <c r="A17" s="3"/>
      <c r="B17" s="5">
        <v>6</v>
      </c>
      <c r="C17" s="5" t="s">
        <v>41</v>
      </c>
      <c r="D17" s="5" t="s">
        <v>45</v>
      </c>
      <c r="E17" s="5">
        <v>92</v>
      </c>
      <c r="F17" s="5">
        <v>140</v>
      </c>
      <c r="G17" s="5">
        <f>IF(AND(Sheet5!E10="plugin",Sheet5!B18&gt;=35),300,IF(AND(Sheet5!E10="plugin",Sheet5!B18&lt;35),270,IF(AND(Sheet5!E10="thường",Sheet5!B18&gt;=35),370,IF(AND(Sheet5!E10="thường",Sheet5!B18&lt;35,Sheet5!B17&gt;=560),300,IF(AND(Sheet5!E10="thường",Sheet5!B18&lt;35,Sheet5!B17&lt;560),270,"sai")))))</f>
        <v>270</v>
      </c>
      <c r="H17" s="9" t="s">
        <v>66</v>
      </c>
      <c r="I17" s="3"/>
      <c r="K17" s="3"/>
      <c r="L17" s="3"/>
      <c r="M17" s="3"/>
      <c r="N17" s="3"/>
      <c r="O17" s="3"/>
    </row>
    <row r="18" spans="1:19" ht="16.5" thickTop="1" thickBot="1" x14ac:dyDescent="0.3">
      <c r="A18" s="3"/>
      <c r="B18" s="5">
        <v>7</v>
      </c>
      <c r="C18" s="5" t="s">
        <v>42</v>
      </c>
      <c r="D18" s="5" t="s">
        <v>45</v>
      </c>
      <c r="E18" s="5">
        <v>92</v>
      </c>
      <c r="F18" s="5">
        <v>140</v>
      </c>
      <c r="G18" s="5">
        <f>IF(AND(Sheet5!E10="plugin",Sheet5!B18&gt;=35),300,IF(AND(Sheet5!E10="plugin",Sheet5!B18&lt;35),270,IF(AND(Sheet5!E10="thường",Sheet5!B18&gt;=35),370,IF(AND(Sheet5!E10="thường",Sheet5!B18&lt;35,Sheet5!B17&gt;=560),300,IF(AND(Sheet5!E10="thường",Sheet5!B18&lt;35,Sheet5!B17&lt;560),270,"sai")))))</f>
        <v>270</v>
      </c>
      <c r="H18" s="9" t="s">
        <v>47</v>
      </c>
      <c r="I18" s="3"/>
      <c r="J18" s="3"/>
      <c r="K18" s="3"/>
      <c r="L18" s="3"/>
      <c r="M18" s="3"/>
      <c r="N18" s="3"/>
      <c r="O18" s="3"/>
    </row>
    <row r="19" spans="1:19" ht="16.5" thickTop="1" thickBot="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9" ht="26.25" customHeight="1" thickTop="1" thickBot="1" x14ac:dyDescent="0.3">
      <c r="B20" s="11" t="s">
        <v>8</v>
      </c>
      <c r="C20" s="5" t="s">
        <v>48</v>
      </c>
      <c r="D20" s="5" t="s">
        <v>49</v>
      </c>
      <c r="E20" s="11" t="s">
        <v>50</v>
      </c>
      <c r="F20" s="12" t="s">
        <v>51</v>
      </c>
      <c r="G20" s="51" t="s">
        <v>68</v>
      </c>
      <c r="H20" s="9" t="s">
        <v>268</v>
      </c>
      <c r="I20" s="3"/>
      <c r="J20" s="3" t="s">
        <v>690</v>
      </c>
      <c r="K20" s="3"/>
      <c r="L20" s="3"/>
      <c r="M20" s="3"/>
      <c r="N20" s="3"/>
      <c r="O20" s="3"/>
      <c r="R20" s="3" t="s">
        <v>3636</v>
      </c>
    </row>
    <row r="21" spans="1:19" ht="16.5" thickTop="1" thickBot="1" x14ac:dyDescent="0.3">
      <c r="B21" s="11">
        <v>1</v>
      </c>
      <c r="C21" s="5" t="s">
        <v>247</v>
      </c>
      <c r="D21" s="11" t="s">
        <v>67</v>
      </c>
      <c r="E21" s="11">
        <v>29</v>
      </c>
      <c r="F21" s="12">
        <v>100</v>
      </c>
      <c r="G21" s="52">
        <v>28</v>
      </c>
      <c r="H21" s="9">
        <v>50</v>
      </c>
      <c r="I21" s="3">
        <v>40</v>
      </c>
      <c r="J21" s="1">
        <v>1</v>
      </c>
      <c r="K21" s="22" t="str">
        <f>VLOOKUP(Sheet2!F28,C21:H26,2,FALSE)</f>
        <v>M12-250A</v>
      </c>
      <c r="L21" s="22">
        <f>VLOOKUP(Sheet2!F28,C21:H26,3,FALSE)</f>
        <v>29</v>
      </c>
      <c r="M21" s="22">
        <f>VLOOKUP(Sheet2!F28,C21:H26,4,FALSE)</f>
        <v>100</v>
      </c>
      <c r="N21" s="22">
        <f>VLOOKUP(Sheet2!F28,C21:H26,5,FALSE)</f>
        <v>28</v>
      </c>
      <c r="O21" s="25">
        <f>VLOOKUP(Sheet2!F28,Sheet3!C21:H26,6,FALSE)</f>
        <v>50</v>
      </c>
      <c r="P21" s="25">
        <f>VLOOKUP(Sheet2!F28,C21:J26,8,FALSE)</f>
        <v>1</v>
      </c>
      <c r="Q21" s="5" t="s">
        <v>247</v>
      </c>
      <c r="R21" s="3">
        <v>131</v>
      </c>
      <c r="S21" s="1">
        <f>VLOOKUP(Sheet2!F28,Q21:R25,2,FALSE)</f>
        <v>131</v>
      </c>
    </row>
    <row r="22" spans="1:19" ht="16.5" thickTop="1" thickBot="1" x14ac:dyDescent="0.3">
      <c r="B22" s="11">
        <v>2</v>
      </c>
      <c r="C22" s="5" t="s">
        <v>52</v>
      </c>
      <c r="D22" s="11" t="s">
        <v>56</v>
      </c>
      <c r="E22" s="11">
        <v>45</v>
      </c>
      <c r="F22" s="12">
        <v>120</v>
      </c>
      <c r="G22" s="53">
        <v>38</v>
      </c>
      <c r="H22" s="9">
        <v>60</v>
      </c>
      <c r="I22" s="3">
        <v>50</v>
      </c>
      <c r="J22" s="3">
        <v>2</v>
      </c>
      <c r="L22" s="3"/>
      <c r="M22" s="3"/>
      <c r="N22" s="3"/>
      <c r="O22" s="3"/>
      <c r="Q22" s="5" t="s">
        <v>52</v>
      </c>
      <c r="R22" s="3">
        <v>226</v>
      </c>
    </row>
    <row r="23" spans="1:19" ht="16.5" thickTop="1" thickBot="1" x14ac:dyDescent="0.3">
      <c r="B23" s="11">
        <v>3</v>
      </c>
      <c r="C23" s="5" t="s">
        <v>53</v>
      </c>
      <c r="D23" s="11" t="s">
        <v>57</v>
      </c>
      <c r="E23" s="11">
        <v>56</v>
      </c>
      <c r="F23" s="12">
        <v>160</v>
      </c>
      <c r="G23" s="54">
        <v>48</v>
      </c>
      <c r="H23" s="9">
        <v>75</v>
      </c>
      <c r="I23" s="3">
        <v>65</v>
      </c>
      <c r="J23" s="26">
        <v>2</v>
      </c>
      <c r="L23" s="3"/>
      <c r="M23" s="3"/>
      <c r="N23" s="3"/>
      <c r="O23" s="3"/>
      <c r="Q23" s="5" t="s">
        <v>53</v>
      </c>
      <c r="R23" s="3">
        <v>260</v>
      </c>
    </row>
    <row r="24" spans="1:19" ht="31.5" thickTop="1" thickBot="1" x14ac:dyDescent="0.3">
      <c r="B24" s="11">
        <v>4</v>
      </c>
      <c r="C24" s="5" t="s">
        <v>54</v>
      </c>
      <c r="D24" s="11" t="s">
        <v>58</v>
      </c>
      <c r="E24" s="11">
        <v>70</v>
      </c>
      <c r="F24" s="12">
        <v>200</v>
      </c>
      <c r="G24" s="6">
        <v>56</v>
      </c>
      <c r="H24" s="9">
        <v>80</v>
      </c>
      <c r="I24" s="3">
        <v>80</v>
      </c>
      <c r="J24" s="3">
        <v>4</v>
      </c>
      <c r="K24" s="48" t="s">
        <v>246</v>
      </c>
      <c r="L24" s="48"/>
      <c r="M24" s="3"/>
      <c r="N24" s="3"/>
      <c r="O24" s="3"/>
      <c r="Q24" s="5" t="s">
        <v>54</v>
      </c>
      <c r="R24" s="3">
        <v>340</v>
      </c>
    </row>
    <row r="25" spans="1:19" ht="16.5" thickTop="1" thickBot="1" x14ac:dyDescent="0.3">
      <c r="B25" s="11">
        <v>5</v>
      </c>
      <c r="C25" s="5" t="s">
        <v>55</v>
      </c>
      <c r="D25" s="11" t="s">
        <v>59</v>
      </c>
      <c r="E25" s="11">
        <v>90</v>
      </c>
      <c r="F25" s="12">
        <v>220</v>
      </c>
      <c r="G25" s="55">
        <v>67</v>
      </c>
      <c r="H25" s="9">
        <v>95</v>
      </c>
      <c r="I25" s="3">
        <v>95</v>
      </c>
      <c r="J25" s="3">
        <v>4</v>
      </c>
      <c r="K25" s="48"/>
      <c r="L25" s="3"/>
      <c r="M25" s="3"/>
      <c r="N25" s="3"/>
      <c r="O25" s="3"/>
      <c r="Q25" s="5" t="s">
        <v>55</v>
      </c>
      <c r="R25" s="3">
        <v>355</v>
      </c>
    </row>
    <row r="26" spans="1:19" ht="15.75" thickTop="1" x14ac:dyDescent="0.25">
      <c r="A26" s="3"/>
      <c r="B26" s="3">
        <v>6</v>
      </c>
      <c r="C26" s="3" t="s">
        <v>3671</v>
      </c>
      <c r="D26" s="3" t="s">
        <v>3673</v>
      </c>
      <c r="E26" s="3">
        <v>104</v>
      </c>
      <c r="F26" s="3">
        <v>240</v>
      </c>
      <c r="G26" s="3">
        <v>85</v>
      </c>
      <c r="H26" s="1">
        <v>110</v>
      </c>
      <c r="I26" s="3">
        <v>110</v>
      </c>
      <c r="J26" s="3">
        <v>4</v>
      </c>
      <c r="K26" s="3"/>
      <c r="L26" s="3"/>
      <c r="M26" s="3"/>
      <c r="N26" s="3"/>
      <c r="O26" s="3"/>
    </row>
    <row r="27" spans="1:19" x14ac:dyDescent="0.25">
      <c r="A27" s="3"/>
      <c r="B27" s="3"/>
      <c r="C27" s="3"/>
      <c r="D27" s="3"/>
      <c r="F27" s="3"/>
      <c r="G27" s="3"/>
      <c r="H27" s="3"/>
      <c r="I27" s="3"/>
      <c r="J27" s="3"/>
      <c r="K27" s="3"/>
      <c r="L27" s="3"/>
      <c r="M27" s="3"/>
      <c r="N27" s="3"/>
      <c r="O27" s="3"/>
    </row>
    <row r="28" spans="1:1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</row>
    <row r="29" spans="1:19" ht="15.75" thickBot="1" x14ac:dyDescent="0.3">
      <c r="A29" s="3"/>
      <c r="B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</row>
    <row r="30" spans="1:19" ht="16.5" thickTop="1" thickBot="1" x14ac:dyDescent="0.3">
      <c r="A30" s="3"/>
      <c r="B30" s="9" t="s">
        <v>60</v>
      </c>
      <c r="C30" s="18" t="s">
        <v>64</v>
      </c>
      <c r="D30" s="23" t="s">
        <v>61</v>
      </c>
      <c r="E30" s="14" t="s">
        <v>72</v>
      </c>
      <c r="F30" s="15" t="s">
        <v>71</v>
      </c>
      <c r="G30" s="16" t="s">
        <v>14</v>
      </c>
      <c r="H30" s="24" t="s">
        <v>62</v>
      </c>
      <c r="I30" s="18" t="s">
        <v>63</v>
      </c>
      <c r="J30" s="3"/>
      <c r="K30" s="3"/>
      <c r="L30" s="3"/>
      <c r="M30" s="3"/>
      <c r="N30" s="3"/>
      <c r="O30" s="3"/>
    </row>
    <row r="31" spans="1:19" ht="16.5" thickTop="1" thickBot="1" x14ac:dyDescent="0.3">
      <c r="A31" s="3"/>
      <c r="B31" s="9"/>
      <c r="C31" s="9" t="s">
        <v>223</v>
      </c>
      <c r="D31" s="9">
        <v>520</v>
      </c>
      <c r="E31" s="9">
        <v>100</v>
      </c>
      <c r="F31" s="9">
        <v>50</v>
      </c>
      <c r="G31" s="9">
        <v>6</v>
      </c>
      <c r="H31" s="9">
        <v>37</v>
      </c>
      <c r="I31" s="9">
        <v>22</v>
      </c>
      <c r="J31" s="22">
        <f>VLOOKUP(Sheet2!F34,Sheet3!C31:I35,2,FALSE)</f>
        <v>520</v>
      </c>
      <c r="K31" s="25">
        <f>VLOOKUP(Sheet2!F34,Sheet3!C31:I35,3,FALSE)</f>
        <v>100</v>
      </c>
      <c r="L31" s="25">
        <f>VLOOKUP(Sheet2!F34,Sheet3!C31:I35,4,FALSE)</f>
        <v>50</v>
      </c>
      <c r="M31" s="25">
        <f>VLOOKUP(Sheet2!F34,Sheet3!C31:I35,5,FALSE)</f>
        <v>6</v>
      </c>
      <c r="N31" s="25">
        <f>VLOOKUP(Sheet2!F34,Sheet3!C31:I35,6,FALSE)</f>
        <v>37</v>
      </c>
      <c r="O31" s="25">
        <f>VLOOKUP(Sheet2!F34,Sheet3!C31:I35,7,FALSE)</f>
        <v>22</v>
      </c>
    </row>
    <row r="32" spans="1:19" ht="16.5" thickTop="1" thickBot="1" x14ac:dyDescent="0.3">
      <c r="A32" s="3"/>
      <c r="B32" s="9"/>
      <c r="C32" s="9" t="s">
        <v>219</v>
      </c>
      <c r="D32" s="9">
        <v>670</v>
      </c>
      <c r="E32" s="9">
        <v>100</v>
      </c>
      <c r="F32" s="9">
        <v>50</v>
      </c>
      <c r="G32" s="9">
        <v>6</v>
      </c>
      <c r="H32" s="9">
        <v>37</v>
      </c>
      <c r="I32" s="9">
        <v>22</v>
      </c>
      <c r="J32" s="3"/>
      <c r="K32" s="3"/>
      <c r="L32" s="3"/>
      <c r="M32" s="3"/>
      <c r="N32" s="3"/>
      <c r="O32" s="3"/>
    </row>
    <row r="33" spans="1:15" ht="16.5" thickTop="1" thickBot="1" x14ac:dyDescent="0.3">
      <c r="A33" s="3"/>
      <c r="B33" s="9"/>
      <c r="C33" s="9" t="s">
        <v>127</v>
      </c>
      <c r="D33" s="9">
        <v>820</v>
      </c>
      <c r="E33" s="9">
        <v>100</v>
      </c>
      <c r="F33" s="9">
        <v>50</v>
      </c>
      <c r="G33" s="9">
        <v>6</v>
      </c>
      <c r="H33" s="9">
        <v>42</v>
      </c>
      <c r="I33" s="9">
        <v>22</v>
      </c>
      <c r="J33" s="3"/>
      <c r="K33" s="3"/>
      <c r="L33" s="3"/>
      <c r="M33" s="3"/>
      <c r="N33" s="3"/>
      <c r="O33" s="3"/>
    </row>
    <row r="34" spans="1:15" ht="16.5" thickTop="1" thickBot="1" x14ac:dyDescent="0.3">
      <c r="A34" s="3"/>
      <c r="B34" s="9"/>
      <c r="C34" s="9" t="s">
        <v>128</v>
      </c>
      <c r="D34" s="9">
        <v>1070</v>
      </c>
      <c r="E34" s="9">
        <v>100</v>
      </c>
      <c r="F34" s="9">
        <v>50</v>
      </c>
      <c r="G34" s="9">
        <v>6</v>
      </c>
      <c r="H34" s="9">
        <v>42</v>
      </c>
      <c r="I34" s="9">
        <v>22</v>
      </c>
      <c r="J34" s="3"/>
      <c r="K34" s="3"/>
      <c r="L34" s="3"/>
      <c r="M34" s="3"/>
      <c r="N34" s="3"/>
      <c r="O34" s="3"/>
    </row>
    <row r="35" spans="1:15" ht="16.5" thickTop="1" thickBot="1" x14ac:dyDescent="0.3">
      <c r="A35" s="3"/>
      <c r="B35" s="9"/>
      <c r="C35" s="9" t="s">
        <v>129</v>
      </c>
      <c r="D35" s="9">
        <v>1200</v>
      </c>
      <c r="E35" s="9">
        <v>100</v>
      </c>
      <c r="F35" s="9">
        <v>50</v>
      </c>
      <c r="G35" s="9">
        <v>6</v>
      </c>
      <c r="H35" s="9">
        <v>42</v>
      </c>
      <c r="I35" s="9">
        <v>22</v>
      </c>
      <c r="J35" s="3"/>
      <c r="K35" s="3"/>
      <c r="L35" s="3"/>
      <c r="M35" s="3"/>
      <c r="N35" s="3"/>
      <c r="O35" s="3"/>
    </row>
    <row r="36" spans="1:15" ht="16.149999999999999" customHeight="1" thickTop="1" thickBot="1" x14ac:dyDescent="0.3">
      <c r="A36" s="3"/>
      <c r="B36" s="9"/>
      <c r="C36" s="9"/>
      <c r="D36" s="9"/>
      <c r="E36" s="9"/>
      <c r="F36" s="9"/>
      <c r="G36" s="9"/>
      <c r="H36" s="9"/>
      <c r="I36" s="9"/>
      <c r="J36" s="3"/>
      <c r="K36" s="3"/>
      <c r="L36" s="3"/>
      <c r="M36" s="3"/>
      <c r="N36" s="3"/>
      <c r="O36" s="3"/>
    </row>
    <row r="37" spans="1:15" ht="16.5" thickTop="1" thickBot="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</row>
    <row r="38" spans="1:15" ht="16.5" thickTop="1" thickBot="1" x14ac:dyDescent="0.3">
      <c r="A38" s="3"/>
      <c r="B38" s="18" t="s">
        <v>12</v>
      </c>
      <c r="C38" s="18" t="s">
        <v>104</v>
      </c>
      <c r="D38" s="19" t="s">
        <v>48</v>
      </c>
      <c r="E38" s="18" t="s">
        <v>116</v>
      </c>
      <c r="F38" s="9" t="s">
        <v>912</v>
      </c>
      <c r="G38" s="20" t="s">
        <v>911</v>
      </c>
      <c r="H38" s="9" t="s">
        <v>117</v>
      </c>
      <c r="I38" s="17" t="s">
        <v>105</v>
      </c>
      <c r="J38" s="10" t="s">
        <v>103</v>
      </c>
      <c r="K38" s="3"/>
      <c r="L38" s="3"/>
      <c r="M38" s="3"/>
      <c r="N38" s="3"/>
      <c r="O38" s="3"/>
    </row>
    <row r="39" spans="1:15" ht="16.5" thickTop="1" thickBot="1" x14ac:dyDescent="0.3">
      <c r="A39" s="3"/>
      <c r="B39" s="9"/>
      <c r="C39" s="10">
        <v>300</v>
      </c>
      <c r="D39" s="9" t="s">
        <v>107</v>
      </c>
      <c r="E39" s="9">
        <v>30</v>
      </c>
      <c r="F39" s="9">
        <v>60</v>
      </c>
      <c r="G39" s="10">
        <v>60</v>
      </c>
      <c r="H39" s="10">
        <v>8</v>
      </c>
      <c r="I39" s="9">
        <v>2</v>
      </c>
      <c r="J39" s="10" t="s">
        <v>106</v>
      </c>
      <c r="K39" s="3"/>
      <c r="L39" s="3"/>
      <c r="M39" s="3"/>
      <c r="N39" s="3"/>
      <c r="O39" s="3"/>
    </row>
    <row r="40" spans="1:15" ht="16.5" thickTop="1" thickBot="1" x14ac:dyDescent="0.3">
      <c r="A40" s="3"/>
      <c r="B40" s="9"/>
      <c r="C40" s="10">
        <v>500</v>
      </c>
      <c r="D40" s="9" t="s">
        <v>109</v>
      </c>
      <c r="E40" s="9">
        <v>40</v>
      </c>
      <c r="F40" s="9">
        <v>80</v>
      </c>
      <c r="G40" s="10">
        <v>80</v>
      </c>
      <c r="H40" s="10">
        <v>10</v>
      </c>
      <c r="I40" s="9">
        <v>2</v>
      </c>
      <c r="J40" s="10" t="s">
        <v>108</v>
      </c>
      <c r="K40" s="3"/>
      <c r="L40" s="3"/>
      <c r="M40" s="3"/>
      <c r="N40" s="3"/>
      <c r="O40" s="3"/>
    </row>
    <row r="41" spans="1:15" ht="16.5" thickTop="1" thickBot="1" x14ac:dyDescent="0.3">
      <c r="A41" s="3"/>
      <c r="B41" s="9"/>
      <c r="C41" s="10">
        <v>1000</v>
      </c>
      <c r="D41" s="9" t="s">
        <v>113</v>
      </c>
      <c r="E41" s="9">
        <v>40</v>
      </c>
      <c r="F41" s="9">
        <v>100</v>
      </c>
      <c r="G41" s="10">
        <v>100</v>
      </c>
      <c r="H41" s="10">
        <v>10</v>
      </c>
      <c r="I41" s="9">
        <v>3</v>
      </c>
      <c r="J41" s="10" t="s">
        <v>110</v>
      </c>
      <c r="K41" s="3"/>
      <c r="L41" s="3"/>
      <c r="M41" s="3"/>
      <c r="N41" s="3"/>
      <c r="O41" s="3"/>
    </row>
    <row r="42" spans="1:15" ht="16.5" thickTop="1" thickBot="1" x14ac:dyDescent="0.3">
      <c r="A42" s="3"/>
      <c r="B42" s="9"/>
      <c r="C42" s="10">
        <v>1500</v>
      </c>
      <c r="D42" s="9" t="s">
        <v>114</v>
      </c>
      <c r="E42" s="9">
        <v>50</v>
      </c>
      <c r="F42" s="9">
        <v>120</v>
      </c>
      <c r="G42" s="10">
        <v>100</v>
      </c>
      <c r="H42" s="9">
        <v>20</v>
      </c>
      <c r="I42" s="9">
        <v>5</v>
      </c>
      <c r="J42" s="10" t="s">
        <v>111</v>
      </c>
      <c r="K42" s="3"/>
      <c r="L42" s="3"/>
      <c r="M42" s="3"/>
      <c r="N42" s="3"/>
      <c r="O42" s="3"/>
    </row>
    <row r="43" spans="1:15" ht="16.5" thickTop="1" thickBot="1" x14ac:dyDescent="0.3">
      <c r="A43" s="3"/>
      <c r="B43" s="9"/>
      <c r="C43" s="10">
        <v>2000</v>
      </c>
      <c r="D43" s="9" t="s">
        <v>115</v>
      </c>
      <c r="E43" s="9">
        <v>60</v>
      </c>
      <c r="F43" s="9">
        <v>140</v>
      </c>
      <c r="G43" s="10">
        <v>120</v>
      </c>
      <c r="H43" s="9">
        <v>25</v>
      </c>
      <c r="I43" s="9">
        <v>5</v>
      </c>
      <c r="J43" s="10" t="s">
        <v>112</v>
      </c>
      <c r="K43" s="3"/>
      <c r="L43" s="3"/>
      <c r="M43" s="3"/>
      <c r="N43" s="3"/>
      <c r="O43" s="3"/>
    </row>
    <row r="44" spans="1:15" ht="15.75" thickTop="1" x14ac:dyDescent="0.25">
      <c r="A44" s="3"/>
      <c r="B44" s="3"/>
      <c r="C44" s="49"/>
      <c r="D44" s="22" t="str">
        <f>VLOOKUP(Sheet2!G37,C39:I43,2,FALSE)</f>
        <v>1000-1800</v>
      </c>
      <c r="E44" s="22">
        <f>VLOOKUP(Sheet2!G37,C39:I43,3,FALSE)</f>
        <v>50</v>
      </c>
      <c r="F44" s="22">
        <f>VLOOKUP(Sheet2!G37,C39:I43,4,FALSE)</f>
        <v>120</v>
      </c>
      <c r="G44" s="22">
        <f>VLOOKUP(Sheet2!G37,C39:I43,5,FALSE)</f>
        <v>100</v>
      </c>
      <c r="H44" s="22">
        <f>VLOOKUP(Sheet2!G37,C39:I43,6,FALSE)</f>
        <v>20</v>
      </c>
      <c r="I44" s="3"/>
      <c r="J44" s="25" t="str">
        <f>VLOOKUP(Sheet2!G37,C39:J43,8,FALSE)</f>
        <v>MTN-4</v>
      </c>
      <c r="K44" s="3"/>
      <c r="L44" s="3"/>
      <c r="M44" s="3"/>
      <c r="N44" s="3"/>
      <c r="O44" s="3"/>
    </row>
    <row r="45" spans="1:15" ht="15.75" thickBot="1" x14ac:dyDescent="0.3">
      <c r="A45" s="3"/>
      <c r="B45" s="3"/>
      <c r="C45" s="26"/>
      <c r="D45" s="26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</row>
    <row r="46" spans="1:15" ht="16.5" thickTop="1" thickBot="1" x14ac:dyDescent="0.3">
      <c r="A46" s="3"/>
      <c r="B46" s="223" t="s">
        <v>85</v>
      </c>
      <c r="C46" s="212" t="s">
        <v>83</v>
      </c>
      <c r="E46" s="3"/>
      <c r="F46" s="26"/>
      <c r="G46" s="26"/>
      <c r="H46" s="3"/>
      <c r="I46" s="3"/>
      <c r="J46" s="3"/>
      <c r="K46" s="3"/>
      <c r="L46" s="3"/>
      <c r="M46" s="3"/>
      <c r="N46" s="3"/>
      <c r="O46" s="3"/>
    </row>
    <row r="47" spans="1:15" ht="16.5" thickTop="1" thickBot="1" x14ac:dyDescent="0.3">
      <c r="A47" s="3"/>
      <c r="B47" s="4" t="s">
        <v>84</v>
      </c>
      <c r="C47" s="7">
        <v>4</v>
      </c>
      <c r="D47" s="50"/>
      <c r="E47" s="3"/>
      <c r="F47" s="3"/>
      <c r="G47" s="26"/>
      <c r="H47" s="3"/>
      <c r="I47" s="3"/>
      <c r="J47" s="3"/>
      <c r="K47" s="3"/>
      <c r="L47" s="3"/>
      <c r="M47" s="3"/>
      <c r="N47" s="3"/>
      <c r="O47" s="3"/>
    </row>
    <row r="48" spans="1:15" ht="16.5" thickTop="1" thickBot="1" x14ac:dyDescent="0.3">
      <c r="A48" s="3"/>
      <c r="B48" s="4" t="s">
        <v>87</v>
      </c>
      <c r="C48" s="4">
        <v>6</v>
      </c>
      <c r="D48" s="22" t="e">
        <f>VLOOKUP(Sheet2!F19,B47:C49,2,FALSE)</f>
        <v>#N/A</v>
      </c>
      <c r="E48" s="3" t="s">
        <v>221</v>
      </c>
      <c r="F48" s="3"/>
      <c r="G48" s="26"/>
      <c r="H48" s="3"/>
      <c r="I48" s="3"/>
      <c r="J48" s="3"/>
      <c r="K48" s="3"/>
      <c r="L48" s="3"/>
      <c r="M48" s="3"/>
      <c r="N48" s="3"/>
      <c r="O48" s="3"/>
    </row>
    <row r="49" spans="1:15" ht="16.5" thickTop="1" thickBot="1" x14ac:dyDescent="0.3">
      <c r="A49" s="3"/>
      <c r="B49" s="4" t="s">
        <v>88</v>
      </c>
      <c r="C49" s="4">
        <v>8</v>
      </c>
      <c r="D49" s="3"/>
      <c r="E49" s="3"/>
      <c r="F49" s="3"/>
      <c r="G49" s="26"/>
      <c r="H49" s="3"/>
      <c r="I49" s="3"/>
      <c r="J49" s="3"/>
      <c r="K49" s="3"/>
      <c r="L49" s="3"/>
      <c r="M49" s="3"/>
      <c r="N49" s="3"/>
      <c r="O49" s="3"/>
    </row>
    <row r="50" spans="1:15" ht="16.5" thickTop="1" thickBot="1" x14ac:dyDescent="0.3">
      <c r="A50" s="3"/>
      <c r="B50" s="3"/>
      <c r="C50" s="3"/>
      <c r="D50" s="3"/>
      <c r="E50" s="3"/>
      <c r="F50" s="3"/>
      <c r="G50" s="26"/>
      <c r="H50" s="3"/>
      <c r="I50" s="3"/>
      <c r="J50" s="3"/>
      <c r="K50" s="3"/>
      <c r="L50" s="3"/>
      <c r="M50" s="3"/>
      <c r="N50" s="3"/>
      <c r="O50" s="3"/>
    </row>
    <row r="51" spans="1:15" ht="16.5" thickTop="1" thickBot="1" x14ac:dyDescent="0.3">
      <c r="A51" s="3"/>
      <c r="B51" s="21" t="s">
        <v>240</v>
      </c>
      <c r="C51" s="4" t="s">
        <v>86</v>
      </c>
      <c r="D51" s="3"/>
      <c r="E51" s="3"/>
      <c r="F51" s="3"/>
      <c r="G51" s="26"/>
      <c r="H51" s="3"/>
      <c r="I51" s="3"/>
      <c r="J51" s="3"/>
      <c r="K51" s="3"/>
      <c r="L51" s="3"/>
      <c r="M51" s="3"/>
      <c r="N51" s="3"/>
      <c r="O51" s="3"/>
    </row>
    <row r="52" spans="1:15" ht="16.5" thickTop="1" thickBot="1" x14ac:dyDescent="0.3">
      <c r="A52" s="3"/>
      <c r="B52" s="21" t="s">
        <v>241</v>
      </c>
      <c r="C52" s="4">
        <v>4</v>
      </c>
      <c r="D52" s="22">
        <f>VLOOKUP(Sheet2!F16,B52:C53,2,FALSE)</f>
        <v>4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</row>
    <row r="53" spans="1:15" ht="16.5" thickTop="1" thickBot="1" x14ac:dyDescent="0.3">
      <c r="A53" s="3"/>
      <c r="B53" s="21" t="s">
        <v>242</v>
      </c>
      <c r="C53" s="4">
        <v>6</v>
      </c>
      <c r="D53" s="3"/>
      <c r="E53" s="3"/>
      <c r="H53" s="3"/>
      <c r="I53" s="3"/>
      <c r="J53" s="3"/>
      <c r="K53" s="3"/>
      <c r="L53" s="3"/>
      <c r="M53" s="3"/>
      <c r="N53" s="3"/>
      <c r="O53" s="3"/>
    </row>
    <row r="54" spans="1:15" ht="16.5" thickTop="1" thickBot="1" x14ac:dyDescent="0.3">
      <c r="A54" s="3"/>
      <c r="B54" s="3"/>
      <c r="C54" s="3"/>
      <c r="D54" s="3"/>
      <c r="E54" s="3"/>
      <c r="H54" s="3"/>
      <c r="I54" s="3"/>
      <c r="J54" s="3"/>
      <c r="K54" s="3"/>
      <c r="L54" s="3"/>
      <c r="M54" s="3"/>
      <c r="N54" s="3"/>
      <c r="O54" s="3"/>
    </row>
    <row r="55" spans="1:15" ht="16.5" thickTop="1" thickBot="1" x14ac:dyDescent="0.3">
      <c r="A55" s="3"/>
      <c r="B55" s="21" t="s">
        <v>89</v>
      </c>
      <c r="C55" s="4" t="s">
        <v>90</v>
      </c>
      <c r="D55" s="3"/>
      <c r="E55" s="3"/>
      <c r="H55" s="3"/>
      <c r="I55" s="3"/>
      <c r="J55" s="3"/>
      <c r="K55" s="3"/>
      <c r="L55" s="3"/>
      <c r="M55" s="3"/>
      <c r="N55" s="3"/>
      <c r="O55" s="3"/>
    </row>
    <row r="56" spans="1:15" ht="16.5" thickTop="1" thickBot="1" x14ac:dyDescent="0.3">
      <c r="A56" s="3"/>
      <c r="B56" s="21">
        <v>50</v>
      </c>
      <c r="C56" s="4">
        <v>5</v>
      </c>
      <c r="D56" s="22">
        <f>VLOOKUP(Sheet2!F13,B56:C57,2,FALSE)</f>
        <v>10</v>
      </c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</row>
    <row r="57" spans="1:15" ht="16.5" thickTop="1" thickBot="1" x14ac:dyDescent="0.3">
      <c r="A57" s="3"/>
      <c r="B57" s="21">
        <f>D8</f>
        <v>60</v>
      </c>
      <c r="C57" s="4">
        <v>10</v>
      </c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</row>
    <row r="58" spans="1:15" ht="15.75" thickTop="1" x14ac:dyDescent="0.25">
      <c r="A58" s="3"/>
      <c r="B58" s="3"/>
      <c r="C58" s="3"/>
      <c r="D58" s="3"/>
      <c r="E58" s="3"/>
      <c r="F58" s="3"/>
      <c r="H58" s="3"/>
      <c r="I58" s="3"/>
      <c r="J58" s="3"/>
      <c r="K58" s="3"/>
      <c r="L58" s="3"/>
      <c r="M58" s="3"/>
      <c r="N58" s="3"/>
      <c r="O58" s="3"/>
    </row>
    <row r="59" spans="1:15" ht="15.75" thickBot="1" x14ac:dyDescent="0.3">
      <c r="A59" s="3"/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</row>
    <row r="60" spans="1:15" ht="16.5" thickTop="1" thickBot="1" x14ac:dyDescent="0.3">
      <c r="A60" s="3"/>
      <c r="B60" s="8" t="s">
        <v>5</v>
      </c>
      <c r="C60" s="9" t="s">
        <v>48</v>
      </c>
      <c r="D60" s="5" t="s">
        <v>27</v>
      </c>
      <c r="E60" s="5" t="s">
        <v>28</v>
      </c>
      <c r="F60" s="5" t="s">
        <v>18</v>
      </c>
      <c r="G60" s="5" t="s">
        <v>123</v>
      </c>
      <c r="H60" s="5" t="s">
        <v>124</v>
      </c>
      <c r="I60" s="5" t="s">
        <v>125</v>
      </c>
      <c r="J60" s="5" t="s">
        <v>126</v>
      </c>
      <c r="K60" s="5" t="s">
        <v>29</v>
      </c>
      <c r="L60" s="5" t="s">
        <v>29</v>
      </c>
      <c r="M60" s="3"/>
      <c r="N60" s="3"/>
      <c r="O60" s="3"/>
    </row>
    <row r="61" spans="1:15" ht="16.5" thickTop="1" thickBot="1" x14ac:dyDescent="0.3">
      <c r="A61" s="3"/>
      <c r="C61" s="3" t="s">
        <v>244</v>
      </c>
      <c r="D61" s="1">
        <v>40</v>
      </c>
      <c r="E61" s="1">
        <v>4</v>
      </c>
      <c r="F61" s="452">
        <f>G61+IF(Sheet2!B39&gt;100,40,25)</f>
        <v>210</v>
      </c>
      <c r="G61" s="452">
        <f>Sheet5!B27+Sheet2!M168</f>
        <v>170</v>
      </c>
      <c r="H61" s="452">
        <f>G61-90</f>
        <v>80</v>
      </c>
      <c r="I61" s="1">
        <v>12</v>
      </c>
      <c r="J61" s="1">
        <v>16</v>
      </c>
      <c r="M61" s="3"/>
      <c r="N61" s="3"/>
      <c r="O61" s="3"/>
    </row>
    <row r="62" spans="1:15" ht="16.5" thickTop="1" thickBot="1" x14ac:dyDescent="0.3">
      <c r="A62" s="3"/>
      <c r="B62" s="8"/>
      <c r="C62" s="9" t="s">
        <v>779</v>
      </c>
      <c r="D62" s="5">
        <f>IF(Sheet2!B26&lt;=100,40,50)</f>
        <v>50</v>
      </c>
      <c r="E62" s="5">
        <v>6</v>
      </c>
      <c r="F62" s="119">
        <f>G62+IF(Sheet2!B39&gt;100,40,25)</f>
        <v>210</v>
      </c>
      <c r="G62" s="68">
        <f>Sheet5!B27+Sheet2!M168</f>
        <v>170</v>
      </c>
      <c r="H62" s="68">
        <f>G62-90</f>
        <v>80</v>
      </c>
      <c r="I62" s="5">
        <v>12</v>
      </c>
      <c r="J62" s="5">
        <v>16</v>
      </c>
      <c r="K62" s="5">
        <v>85</v>
      </c>
      <c r="L62" s="5">
        <v>85</v>
      </c>
      <c r="M62" s="3"/>
      <c r="N62" s="3"/>
      <c r="O62" s="3"/>
    </row>
    <row r="63" spans="1:15" ht="16.5" thickTop="1" thickBot="1" x14ac:dyDescent="0.3">
      <c r="A63" s="3"/>
      <c r="B63" s="9"/>
      <c r="C63" s="9" t="s">
        <v>121</v>
      </c>
      <c r="D63" s="9">
        <v>60</v>
      </c>
      <c r="E63" s="9">
        <v>6</v>
      </c>
      <c r="F63" s="56">
        <f>G63+IF(Sheet2!B39&gt;100,40,25)</f>
        <v>210</v>
      </c>
      <c r="G63" s="68">
        <f>Sheet5!B27+Sheet2!M168</f>
        <v>170</v>
      </c>
      <c r="H63" s="68">
        <f>G63-90</f>
        <v>80</v>
      </c>
      <c r="I63" s="5">
        <v>12</v>
      </c>
      <c r="J63" s="5">
        <v>16</v>
      </c>
      <c r="K63" s="9"/>
      <c r="L63" s="9"/>
      <c r="M63" s="3"/>
      <c r="N63" s="3"/>
      <c r="O63" s="3"/>
    </row>
    <row r="64" spans="1:15" ht="16.5" thickTop="1" thickBot="1" x14ac:dyDescent="0.3">
      <c r="A64" s="3"/>
      <c r="B64" s="9"/>
      <c r="C64" s="9" t="s">
        <v>122</v>
      </c>
      <c r="D64" s="28">
        <v>60</v>
      </c>
      <c r="E64" s="9">
        <v>8</v>
      </c>
      <c r="F64" s="56">
        <f>G64+IF(Sheet2!B39&gt;100,40,25)</f>
        <v>210</v>
      </c>
      <c r="G64" s="68">
        <f>Sheet5!B27+Sheet2!M168</f>
        <v>170</v>
      </c>
      <c r="H64" s="68">
        <f>G64-90</f>
        <v>80</v>
      </c>
      <c r="I64" s="5">
        <v>12</v>
      </c>
      <c r="J64" s="5">
        <v>16</v>
      </c>
      <c r="K64" s="9"/>
      <c r="L64" s="9"/>
      <c r="M64" s="3"/>
      <c r="N64" s="3"/>
      <c r="O64" s="3"/>
    </row>
    <row r="65" spans="1:15" ht="16.5" thickTop="1" thickBo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</row>
    <row r="66" spans="1:15" ht="16.5" thickTop="1" thickBot="1" x14ac:dyDescent="0.3">
      <c r="A66" s="3"/>
      <c r="B66" s="3"/>
      <c r="C66" s="3"/>
      <c r="D66" s="9">
        <v>60</v>
      </c>
      <c r="E66" s="3"/>
      <c r="F66" s="9">
        <v>230</v>
      </c>
      <c r="G66" s="9">
        <v>190</v>
      </c>
      <c r="H66" s="9">
        <v>100</v>
      </c>
      <c r="I66" s="28">
        <v>12</v>
      </c>
      <c r="J66" s="28">
        <v>16</v>
      </c>
      <c r="K66" s="3"/>
      <c r="L66" s="3"/>
      <c r="M66" s="3"/>
      <c r="N66" s="3"/>
      <c r="O66" s="3"/>
    </row>
    <row r="67" spans="1:15" ht="16.5" thickTop="1" thickBot="1" x14ac:dyDescent="0.3">
      <c r="A67" s="3"/>
      <c r="B67" s="3"/>
      <c r="C67" s="3"/>
      <c r="D67" s="9">
        <v>80</v>
      </c>
      <c r="E67" s="3"/>
      <c r="F67" s="9">
        <v>260</v>
      </c>
      <c r="G67" s="9">
        <v>220</v>
      </c>
      <c r="H67" s="9">
        <v>130</v>
      </c>
      <c r="I67" s="28">
        <v>10</v>
      </c>
      <c r="J67" s="28">
        <v>16</v>
      </c>
      <c r="K67" s="3"/>
      <c r="L67" s="3"/>
      <c r="M67" s="3"/>
      <c r="N67" s="3"/>
      <c r="O67" s="3"/>
    </row>
    <row r="68" spans="1:15" ht="16.5" thickTop="1" thickBot="1" x14ac:dyDescent="0.3">
      <c r="A68" s="3"/>
      <c r="B68" s="3"/>
      <c r="C68" s="3"/>
      <c r="D68" s="3"/>
      <c r="E68" s="3"/>
      <c r="F68" s="9">
        <v>290</v>
      </c>
      <c r="G68" s="9">
        <v>250</v>
      </c>
      <c r="H68" s="9">
        <v>160</v>
      </c>
      <c r="I68" s="28">
        <v>10</v>
      </c>
      <c r="J68" s="28">
        <v>16</v>
      </c>
      <c r="K68" s="3"/>
      <c r="L68" s="3"/>
      <c r="M68" s="3"/>
      <c r="N68" s="3"/>
      <c r="O68" s="3"/>
    </row>
    <row r="69" spans="1:15" ht="16.5" thickTop="1" thickBo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</row>
    <row r="70" spans="1:15" ht="16.5" thickTop="1" thickBot="1" x14ac:dyDescent="0.3">
      <c r="A70" s="3"/>
      <c r="B70" s="3"/>
      <c r="C70" s="3"/>
      <c r="D70" s="3">
        <f>IF(Sheet2!B26&lt;=100,40,50)</f>
        <v>50</v>
      </c>
      <c r="E70" s="3">
        <f>IF(D62=40,4,5)</f>
        <v>5</v>
      </c>
      <c r="F70" s="3"/>
      <c r="G70" s="3"/>
      <c r="H70" s="3"/>
      <c r="I70" s="9">
        <v>10</v>
      </c>
      <c r="J70" s="9">
        <v>16</v>
      </c>
      <c r="K70" s="3"/>
      <c r="L70" s="3"/>
      <c r="M70" s="3"/>
      <c r="N70" s="3"/>
      <c r="O70" s="3"/>
    </row>
    <row r="71" spans="1:15" ht="16.5" thickTop="1" thickBot="1" x14ac:dyDescent="0.3">
      <c r="A71" s="3"/>
      <c r="B71" s="3"/>
      <c r="C71" s="3"/>
      <c r="D71" s="3"/>
      <c r="E71" s="3"/>
      <c r="F71" s="3"/>
      <c r="G71" s="3"/>
      <c r="H71" s="3"/>
      <c r="I71" s="9">
        <v>12</v>
      </c>
      <c r="J71" s="9">
        <v>18</v>
      </c>
      <c r="K71" s="3"/>
      <c r="L71" s="3"/>
      <c r="M71" s="3"/>
      <c r="N71" s="3"/>
      <c r="O71" s="3"/>
    </row>
    <row r="72" spans="1:15" ht="15.75" thickTop="1" x14ac:dyDescent="0.25">
      <c r="A72" s="3"/>
      <c r="B72" s="3"/>
      <c r="C72" s="3"/>
      <c r="D72" s="27">
        <f>VLOOKUP(Sheet2!F25,C61:L64,2,FALSE)</f>
        <v>50</v>
      </c>
      <c r="E72" s="27">
        <f>VLOOKUP(Sheet2!F25,C61:L64,3,FALSE)</f>
        <v>6</v>
      </c>
      <c r="F72" s="27">
        <f>VLOOKUP(Sheet2!F25,C61:L64,4,FALSE)</f>
        <v>210</v>
      </c>
      <c r="G72" s="27">
        <f>VLOOKUP(Sheet2!F25,C61:N64,5,FALSE)</f>
        <v>170</v>
      </c>
      <c r="H72" s="27">
        <f>VLOOKUP(Sheet2!F25,C61:O64,6,FALSE)</f>
        <v>80</v>
      </c>
      <c r="I72" s="27">
        <f>VLOOKUP(Sheet2!F25,C61:P64,7,FALSE)</f>
        <v>12</v>
      </c>
      <c r="J72" s="27">
        <f>VLOOKUP(Sheet2!F25,C61:Q64,8,FALSE)</f>
        <v>16</v>
      </c>
      <c r="K72" s="27">
        <f>VLOOKUP(Sheet2!L25,I62:R64,3,FALSE)</f>
        <v>85</v>
      </c>
      <c r="L72" s="27">
        <f>VLOOKUP(Sheet2!M25,J62:S64,3,FALSE)</f>
        <v>85</v>
      </c>
      <c r="M72" s="3"/>
      <c r="N72" s="3"/>
      <c r="O72" s="3"/>
    </row>
    <row r="73" spans="1:15" ht="15.75" thickBo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</row>
    <row r="74" spans="1:15" ht="16.5" thickTop="1" thickBot="1" x14ac:dyDescent="0.3">
      <c r="A74" s="3"/>
      <c r="B74" s="9" t="s">
        <v>9</v>
      </c>
      <c r="C74" s="9" t="s">
        <v>48</v>
      </c>
      <c r="D74" s="9" t="s">
        <v>90</v>
      </c>
      <c r="E74" s="9" t="s">
        <v>82</v>
      </c>
      <c r="F74" s="9" t="s">
        <v>81</v>
      </c>
      <c r="G74" s="3"/>
      <c r="H74" s="3"/>
      <c r="I74" s="3"/>
      <c r="J74" s="3"/>
      <c r="K74" s="3"/>
      <c r="L74" s="3"/>
      <c r="M74" s="3"/>
      <c r="N74" s="3"/>
      <c r="O74" s="3"/>
    </row>
    <row r="75" spans="1:15" ht="16.5" thickTop="1" thickBot="1" x14ac:dyDescent="0.3">
      <c r="A75" s="3"/>
      <c r="B75" s="9"/>
      <c r="C75" s="9" t="s">
        <v>45</v>
      </c>
      <c r="D75" s="9">
        <v>490</v>
      </c>
      <c r="E75" s="9">
        <f>G22*2+10</f>
        <v>86</v>
      </c>
      <c r="F75" s="9">
        <v>4</v>
      </c>
      <c r="G75" s="25">
        <f>VLOOKUP(Sheet2!F44,C75:F82,2,FALSE)</f>
        <v>400</v>
      </c>
      <c r="H75" s="25">
        <f>VLOOKUP(Sheet2!F44,C75:F82,3,FALSE)</f>
        <v>66</v>
      </c>
      <c r="I75" s="25">
        <f>VLOOKUP(Sheet2!F44,C75:F82,4,FALSE)</f>
        <v>4</v>
      </c>
      <c r="J75" s="3"/>
      <c r="K75" s="3"/>
      <c r="L75" s="3"/>
      <c r="M75" s="3"/>
      <c r="N75" s="3"/>
      <c r="O75" s="3"/>
    </row>
    <row r="76" spans="1:15" ht="16.5" thickTop="1" thickBot="1" x14ac:dyDescent="0.3">
      <c r="A76" s="3"/>
      <c r="B76" s="9"/>
      <c r="C76" s="9" t="s">
        <v>809</v>
      </c>
      <c r="D76" s="9">
        <v>630</v>
      </c>
      <c r="E76" s="212">
        <f>G23*2+10</f>
        <v>106</v>
      </c>
      <c r="F76" s="9">
        <v>4</v>
      </c>
      <c r="G76" s="3"/>
      <c r="H76" s="3"/>
      <c r="I76" s="3"/>
      <c r="J76" s="3"/>
      <c r="K76" s="3"/>
      <c r="L76" s="3"/>
      <c r="M76" s="3"/>
      <c r="N76" s="3"/>
      <c r="O76" s="3"/>
    </row>
    <row r="77" spans="1:15" ht="16.5" thickTop="1" thickBot="1" x14ac:dyDescent="0.3">
      <c r="A77" s="3"/>
      <c r="B77" s="9"/>
      <c r="C77" s="9" t="s">
        <v>810</v>
      </c>
      <c r="D77" s="9">
        <v>770</v>
      </c>
      <c r="E77" s="212">
        <f>G24*2+10</f>
        <v>122</v>
      </c>
      <c r="F77" s="9">
        <v>6</v>
      </c>
      <c r="G77" s="3"/>
      <c r="H77" s="3"/>
      <c r="I77" s="3"/>
      <c r="J77" s="3"/>
      <c r="K77" s="3"/>
      <c r="L77" s="3"/>
      <c r="M77" s="3"/>
      <c r="N77" s="3"/>
      <c r="O77" s="3"/>
    </row>
    <row r="78" spans="1:15" ht="16.5" thickTop="1" thickBot="1" x14ac:dyDescent="0.3">
      <c r="A78" s="3"/>
      <c r="B78" s="9"/>
      <c r="C78" s="9" t="s">
        <v>811</v>
      </c>
      <c r="D78" s="9">
        <v>850</v>
      </c>
      <c r="E78" s="212">
        <f>G25*2+10</f>
        <v>144</v>
      </c>
      <c r="F78" s="9">
        <v>6</v>
      </c>
      <c r="G78" s="3"/>
      <c r="H78" s="3"/>
      <c r="I78" s="3"/>
      <c r="J78" s="3"/>
      <c r="K78" s="3"/>
      <c r="L78" s="3"/>
      <c r="M78" s="3"/>
      <c r="N78" s="3"/>
      <c r="O78" s="3"/>
    </row>
    <row r="79" spans="1:15" ht="16.5" thickTop="1" thickBot="1" x14ac:dyDescent="0.3">
      <c r="A79" s="3"/>
      <c r="C79" s="3" t="s">
        <v>3672</v>
      </c>
      <c r="D79" s="1">
        <v>910</v>
      </c>
      <c r="E79" s="1">
        <v>180</v>
      </c>
      <c r="F79" s="1">
        <v>6</v>
      </c>
      <c r="G79" s="3"/>
      <c r="H79" s="3" t="s">
        <v>905</v>
      </c>
      <c r="I79" s="3" t="s">
        <v>58</v>
      </c>
      <c r="J79" s="3">
        <v>56</v>
      </c>
      <c r="K79" s="3">
        <f>IF(AND(B80=H80,C80=I79),56,67)</f>
        <v>67</v>
      </c>
      <c r="L79" s="3"/>
      <c r="M79" s="3"/>
      <c r="N79" s="3"/>
      <c r="O79" s="3"/>
    </row>
    <row r="80" spans="1:15" ht="16.5" thickTop="1" thickBot="1" x14ac:dyDescent="0.3">
      <c r="A80" s="3"/>
      <c r="B80" s="9" t="str">
        <f>Sheet2!C29</f>
        <v>1 HÀNG SỨ</v>
      </c>
      <c r="C80" s="9" t="str">
        <f>Sheet2!G28</f>
        <v>M12-250A</v>
      </c>
      <c r="D80" s="9">
        <f>IF(AND(B80=H80,C80=I79),770,850)</f>
        <v>850</v>
      </c>
      <c r="E80" s="9">
        <f>5+K79*2+10+2*K79+5</f>
        <v>288</v>
      </c>
      <c r="F80" s="9">
        <v>6</v>
      </c>
      <c r="G80" s="3"/>
      <c r="H80" s="3" t="s">
        <v>906</v>
      </c>
      <c r="I80" s="3" t="s">
        <v>59</v>
      </c>
      <c r="J80" s="3">
        <v>67</v>
      </c>
      <c r="K80" s="3"/>
      <c r="L80" s="3"/>
      <c r="M80" s="3"/>
      <c r="N80" s="3"/>
      <c r="O80" s="3"/>
    </row>
    <row r="81" spans="1:15" ht="16.5" thickTop="1" thickBot="1" x14ac:dyDescent="0.3">
      <c r="A81" s="3"/>
      <c r="B81" s="13"/>
      <c r="C81" s="23" t="s">
        <v>44</v>
      </c>
      <c r="D81" s="18">
        <v>400</v>
      </c>
      <c r="E81" s="18">
        <f>G21*2+10</f>
        <v>66</v>
      </c>
      <c r="F81" s="24">
        <v>4</v>
      </c>
      <c r="G81" s="3"/>
      <c r="H81" s="3"/>
      <c r="I81" s="3"/>
      <c r="J81" s="3"/>
      <c r="K81" s="3"/>
      <c r="L81" s="3"/>
      <c r="M81" s="3"/>
      <c r="N81" s="3"/>
      <c r="O81" s="3"/>
    </row>
    <row r="82" spans="1:15" ht="16.5" thickTop="1" thickBot="1" x14ac:dyDescent="0.3">
      <c r="C82" s="13" t="s">
        <v>244</v>
      </c>
      <c r="D82" s="9">
        <v>0</v>
      </c>
      <c r="E82" s="9">
        <v>0</v>
      </c>
      <c r="F82" s="17">
        <v>0</v>
      </c>
      <c r="J82" s="3"/>
      <c r="K82" s="3"/>
      <c r="L82" s="3"/>
      <c r="M82" s="3"/>
      <c r="N82" s="3"/>
      <c r="O82" s="3"/>
    </row>
    <row r="83" spans="1:15" ht="16.5" thickTop="1" thickBot="1" x14ac:dyDescent="0.3">
      <c r="A83" s="3"/>
      <c r="K83" s="3"/>
      <c r="L83" s="3"/>
      <c r="M83" s="3"/>
      <c r="N83" s="3"/>
      <c r="O83" s="3"/>
    </row>
    <row r="84" spans="1:15" ht="16.5" thickTop="1" thickBot="1" x14ac:dyDescent="0.3">
      <c r="A84" s="3"/>
      <c r="B84" s="9" t="s">
        <v>3</v>
      </c>
      <c r="C84" s="9" t="s">
        <v>48</v>
      </c>
      <c r="D84" s="9" t="s">
        <v>178</v>
      </c>
      <c r="E84" s="9" t="s">
        <v>157</v>
      </c>
      <c r="F84" s="9" t="s">
        <v>155</v>
      </c>
      <c r="G84" s="28" t="s">
        <v>193</v>
      </c>
      <c r="H84" s="9" t="s">
        <v>99</v>
      </c>
      <c r="I84" s="9" t="s">
        <v>180</v>
      </c>
      <c r="J84" s="9" t="s">
        <v>105</v>
      </c>
      <c r="K84" s="9" t="s">
        <v>181</v>
      </c>
      <c r="L84" s="9" t="s">
        <v>182</v>
      </c>
      <c r="M84" s="3"/>
      <c r="N84" s="3"/>
      <c r="O84" s="3"/>
    </row>
    <row r="85" spans="1:15" ht="16.5" thickTop="1" thickBot="1" x14ac:dyDescent="0.3">
      <c r="A85" s="3"/>
      <c r="B85" s="9"/>
      <c r="C85" s="9" t="s">
        <v>174</v>
      </c>
      <c r="D85" s="9" t="s">
        <v>179</v>
      </c>
      <c r="E85" s="9">
        <v>220</v>
      </c>
      <c r="F85" s="9">
        <v>500</v>
      </c>
      <c r="G85" s="9">
        <f>VLOOKUP(G84,A104:L105,2,FALSE)</f>
        <v>420</v>
      </c>
      <c r="H85" s="9">
        <v>30</v>
      </c>
      <c r="I85" s="9">
        <v>60</v>
      </c>
      <c r="J85" s="9">
        <v>80</v>
      </c>
      <c r="K85" s="9">
        <v>50</v>
      </c>
      <c r="L85" s="9">
        <v>50</v>
      </c>
      <c r="M85" s="3"/>
      <c r="N85" s="3"/>
      <c r="O85" s="3"/>
    </row>
    <row r="86" spans="1:15" ht="16.5" thickTop="1" thickBot="1" x14ac:dyDescent="0.3">
      <c r="A86" s="3"/>
      <c r="B86" s="9"/>
      <c r="C86" s="9" t="s">
        <v>175</v>
      </c>
      <c r="D86" s="9" t="s">
        <v>183</v>
      </c>
      <c r="E86" s="9">
        <v>220</v>
      </c>
      <c r="F86" s="9">
        <v>600</v>
      </c>
      <c r="G86" s="9">
        <f>VLOOKUP(G84,A104:L105,3,FALSE)</f>
        <v>420</v>
      </c>
      <c r="H86" s="9">
        <v>30</v>
      </c>
      <c r="I86" s="9">
        <v>60</v>
      </c>
      <c r="J86" s="9">
        <v>80</v>
      </c>
      <c r="K86" s="9">
        <v>50</v>
      </c>
      <c r="L86" s="9">
        <v>50</v>
      </c>
      <c r="M86" s="3"/>
      <c r="N86" s="3"/>
      <c r="O86" s="3"/>
    </row>
    <row r="87" spans="1:15" ht="16.5" thickTop="1" thickBot="1" x14ac:dyDescent="0.3">
      <c r="A87" s="3"/>
      <c r="B87" s="9"/>
      <c r="C87" s="9" t="s">
        <v>194</v>
      </c>
      <c r="D87" s="9" t="s">
        <v>184</v>
      </c>
      <c r="E87" s="9">
        <v>240</v>
      </c>
      <c r="F87" s="9">
        <v>600</v>
      </c>
      <c r="G87" s="9">
        <f>VLOOKUP(G84,A104:L105,4,FALSE)</f>
        <v>420</v>
      </c>
      <c r="H87" s="9">
        <v>30</v>
      </c>
      <c r="I87" s="9">
        <v>60</v>
      </c>
      <c r="J87" s="9">
        <v>80</v>
      </c>
      <c r="K87" s="9">
        <v>50</v>
      </c>
      <c r="L87" s="9">
        <v>50</v>
      </c>
      <c r="M87" s="3"/>
      <c r="N87" s="3"/>
      <c r="O87" s="3"/>
    </row>
    <row r="88" spans="1:15" ht="16.5" thickTop="1" thickBot="1" x14ac:dyDescent="0.3">
      <c r="A88" s="3"/>
      <c r="B88" s="9"/>
      <c r="C88" s="9">
        <v>400</v>
      </c>
      <c r="D88" s="9" t="s">
        <v>185</v>
      </c>
      <c r="E88" s="9">
        <v>240</v>
      </c>
      <c r="F88" s="9">
        <v>680</v>
      </c>
      <c r="G88" s="9">
        <f>VLOOKUP(G84,A104:L105,5,FALSE)</f>
        <v>420</v>
      </c>
      <c r="H88" s="9">
        <v>30</v>
      </c>
      <c r="I88" s="9">
        <v>60</v>
      </c>
      <c r="J88" s="9">
        <v>80</v>
      </c>
      <c r="K88" s="9">
        <v>50</v>
      </c>
      <c r="L88" s="9">
        <v>50</v>
      </c>
      <c r="M88" s="3"/>
      <c r="N88" s="3"/>
      <c r="O88" s="3"/>
    </row>
    <row r="89" spans="1:15" ht="16.5" thickTop="1" thickBot="1" x14ac:dyDescent="0.3">
      <c r="B89" s="9"/>
      <c r="C89" s="9" t="s">
        <v>176</v>
      </c>
      <c r="D89" s="9" t="s">
        <v>186</v>
      </c>
      <c r="E89" s="9">
        <v>300</v>
      </c>
      <c r="F89" s="9">
        <v>700</v>
      </c>
      <c r="G89" s="9">
        <f>VLOOKUP(G84,A104:L105,6,FALSE)</f>
        <v>420</v>
      </c>
      <c r="H89" s="9">
        <v>30</v>
      </c>
      <c r="I89" s="9">
        <v>60</v>
      </c>
      <c r="J89" s="9">
        <v>80</v>
      </c>
      <c r="K89" s="9">
        <v>50</v>
      </c>
      <c r="L89" s="9">
        <v>50</v>
      </c>
    </row>
    <row r="90" spans="1:15" ht="31.5" thickTop="1" thickBot="1" x14ac:dyDescent="0.3">
      <c r="B90" s="9"/>
      <c r="C90" s="29" t="s">
        <v>220</v>
      </c>
      <c r="D90" s="28" t="s">
        <v>187</v>
      </c>
      <c r="E90" s="9">
        <f>VLOOKUP(D90,D95:L99,2,FALSE)</f>
        <v>350</v>
      </c>
      <c r="F90" s="9">
        <f>VLOOKUP(D90,D95:L99,3,FALSE)</f>
        <v>700</v>
      </c>
      <c r="G90" s="9">
        <f>VLOOKUP(D90,D95:L99,4,FALSE)</f>
        <v>420</v>
      </c>
      <c r="H90" s="9">
        <f>VLOOKUP(D90,D95:L99,5,FALSE)</f>
        <v>30</v>
      </c>
      <c r="I90" s="9">
        <f>VLOOKUP(D90,D95:L99,6,FALSE)</f>
        <v>60</v>
      </c>
      <c r="J90" s="9">
        <f>VLOOKUP(D90,D95:L99,7,FALSE)</f>
        <v>80</v>
      </c>
      <c r="K90" s="9">
        <f>VLOOKUP(D90,D95:L99,8,FALSE)</f>
        <v>55</v>
      </c>
      <c r="L90" s="9">
        <f>VLOOKUP(D90,D95:L99,9,FALSE)</f>
        <v>50</v>
      </c>
    </row>
    <row r="91" spans="1:15" ht="31.5" thickTop="1" thickBot="1" x14ac:dyDescent="0.3">
      <c r="B91" s="9"/>
      <c r="C91" s="29" t="s">
        <v>177</v>
      </c>
      <c r="D91" s="28" t="s">
        <v>191</v>
      </c>
      <c r="E91" s="9">
        <f>VLOOKUP(D91,D95:L99,2,FALSE)</f>
        <v>600</v>
      </c>
      <c r="F91" s="9">
        <f>VLOOKUP(D91,D95:L99,3,FALSE)</f>
        <v>1100</v>
      </c>
      <c r="G91" s="9">
        <f>VLOOKUP(D91,D95:L99,4,FALSE)</f>
        <v>600</v>
      </c>
      <c r="H91" s="9">
        <f>VLOOKUP(D91,D95:L99,5,FALSE)</f>
        <v>40</v>
      </c>
      <c r="I91" s="9">
        <f>VLOOKUP(D91,D95:L99,6,FALSE)</f>
        <v>120</v>
      </c>
      <c r="J91" s="9">
        <f>VLOOKUP(D91,D95:L99,7,FALSE)</f>
        <v>140</v>
      </c>
      <c r="K91" s="9">
        <f>VLOOKUP(D91,D95:L99,8,FALSE)</f>
        <v>60</v>
      </c>
      <c r="L91" s="9">
        <f>VLOOKUP(D91,D95:L99,9,FALSE)</f>
        <v>80</v>
      </c>
    </row>
    <row r="92" spans="1:15" ht="15.75" thickTop="1" x14ac:dyDescent="0.25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</row>
    <row r="93" spans="1:15" x14ac:dyDescent="0.25">
      <c r="B93" s="3"/>
      <c r="C93" s="3"/>
      <c r="D93" s="3"/>
      <c r="E93" s="25">
        <f>VLOOKUP(Sheet2!F60,Sheet3!C85:L91,3,FALSE)</f>
        <v>240</v>
      </c>
      <c r="F93" s="25">
        <f>VLOOKUP(Sheet2!F60,Sheet3!C85:L91,4,FALSE)</f>
        <v>600</v>
      </c>
      <c r="G93" s="3"/>
      <c r="H93" s="3"/>
      <c r="I93" s="25">
        <f>VLOOKUP(Sheet2!F60,Sheet3!C85:L91,7,FALSE)</f>
        <v>60</v>
      </c>
      <c r="J93" s="3"/>
      <c r="K93" s="3"/>
      <c r="L93" s="3"/>
    </row>
    <row r="94" spans="1:15" ht="15.75" thickBot="1" x14ac:dyDescent="0.3"/>
    <row r="95" spans="1:15" ht="16.5" thickTop="1" thickBot="1" x14ac:dyDescent="0.3">
      <c r="B95" s="3"/>
      <c r="C95" s="3"/>
      <c r="D95" s="9" t="s">
        <v>187</v>
      </c>
      <c r="E95" s="9">
        <v>350</v>
      </c>
      <c r="F95" s="9">
        <v>700</v>
      </c>
      <c r="G95" s="9">
        <f>VLOOKUP(G84,A104:L105,7,FALSE)</f>
        <v>420</v>
      </c>
      <c r="H95" s="9">
        <v>30</v>
      </c>
      <c r="I95" s="9">
        <v>60</v>
      </c>
      <c r="J95" s="9">
        <v>80</v>
      </c>
      <c r="K95" s="9">
        <v>55</v>
      </c>
      <c r="L95" s="9">
        <v>50</v>
      </c>
    </row>
    <row r="96" spans="1:15" ht="16.5" thickTop="1" thickBot="1" x14ac:dyDescent="0.3">
      <c r="B96" s="3"/>
      <c r="C96" s="3"/>
      <c r="D96" s="9" t="s">
        <v>188</v>
      </c>
      <c r="E96" s="9">
        <v>400</v>
      </c>
      <c r="F96" s="9">
        <v>900</v>
      </c>
      <c r="G96" s="9">
        <f>VLOOKUP(G84,A104:L105,8,FALSE)</f>
        <v>500</v>
      </c>
      <c r="H96" s="9">
        <v>30</v>
      </c>
      <c r="I96" s="9">
        <v>100</v>
      </c>
      <c r="J96" s="9">
        <v>100</v>
      </c>
      <c r="K96" s="9">
        <v>55</v>
      </c>
      <c r="L96" s="9">
        <v>65</v>
      </c>
    </row>
    <row r="97" spans="1:13" ht="16.5" thickTop="1" thickBot="1" x14ac:dyDescent="0.3">
      <c r="B97" s="3"/>
      <c r="C97" s="3"/>
      <c r="D97" s="9" t="s">
        <v>189</v>
      </c>
      <c r="E97" s="9">
        <v>450</v>
      </c>
      <c r="F97" s="9">
        <v>900</v>
      </c>
      <c r="G97" s="9">
        <f>VLOOKUP(G84,A104:L105,9,FALSE)</f>
        <v>500</v>
      </c>
      <c r="H97" s="9">
        <v>30</v>
      </c>
      <c r="I97" s="9">
        <v>100</v>
      </c>
      <c r="J97" s="9">
        <v>120</v>
      </c>
      <c r="K97" s="9">
        <v>55</v>
      </c>
      <c r="L97" s="9">
        <v>65</v>
      </c>
    </row>
    <row r="98" spans="1:13" ht="16.5" thickTop="1" thickBot="1" x14ac:dyDescent="0.3">
      <c r="B98" s="3"/>
      <c r="C98" s="3"/>
      <c r="D98" s="9" t="s">
        <v>190</v>
      </c>
      <c r="E98" s="28">
        <v>550</v>
      </c>
      <c r="F98" s="9">
        <f>VLOOKUP(E98,E101:L102,2,FALSE)</f>
        <v>1100</v>
      </c>
      <c r="G98" s="9">
        <f>VLOOKUP(E98,E101:L102,3,FALSE)</f>
        <v>600</v>
      </c>
      <c r="H98" s="9">
        <f>VLOOKUP(E98,E101:L102,4,FALSE)</f>
        <v>40</v>
      </c>
      <c r="I98" s="9">
        <f>VLOOKUP(E98,E101:L102,5,FALSE)</f>
        <v>120</v>
      </c>
      <c r="J98" s="9">
        <f>VLOOKUP(E98,E101:L102,6,FALSE)</f>
        <v>140</v>
      </c>
      <c r="K98" s="9">
        <f>VLOOKUP(E98,E101:L102,7,FALSE)</f>
        <v>60</v>
      </c>
      <c r="L98" s="9">
        <f>VLOOKUP(E98,E101:L102,8,FALSE)</f>
        <v>80</v>
      </c>
    </row>
    <row r="99" spans="1:13" ht="16.5" thickTop="1" thickBot="1" x14ac:dyDescent="0.3">
      <c r="B99" s="3"/>
      <c r="C99" s="3"/>
      <c r="D99" s="9" t="s">
        <v>191</v>
      </c>
      <c r="E99" s="9">
        <v>600</v>
      </c>
      <c r="F99" s="9">
        <v>1100</v>
      </c>
      <c r="G99" s="9">
        <f>VLOOKUP(G84,A104:L105,12,FALSE)</f>
        <v>600</v>
      </c>
      <c r="H99" s="9">
        <v>40</v>
      </c>
      <c r="I99" s="9">
        <v>120</v>
      </c>
      <c r="J99" s="9">
        <v>140</v>
      </c>
      <c r="K99" s="9">
        <v>60</v>
      </c>
      <c r="L99" s="9">
        <v>80</v>
      </c>
    </row>
    <row r="100" spans="1:13" ht="16.5" thickTop="1" thickBot="1" x14ac:dyDescent="0.3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</row>
    <row r="101" spans="1:13" ht="16.5" thickTop="1" thickBot="1" x14ac:dyDescent="0.3">
      <c r="B101" s="3"/>
      <c r="C101" s="3"/>
      <c r="D101" s="3"/>
      <c r="E101" s="9">
        <v>500</v>
      </c>
      <c r="F101" s="9">
        <v>1100</v>
      </c>
      <c r="G101" s="9">
        <f>VLOOKUP(G84,A104:L105,10,FALSE)</f>
        <v>600</v>
      </c>
      <c r="H101" s="9">
        <v>40</v>
      </c>
      <c r="I101" s="9">
        <v>120</v>
      </c>
      <c r="J101" s="9">
        <v>140</v>
      </c>
      <c r="K101" s="9">
        <v>60</v>
      </c>
      <c r="L101" s="9">
        <v>80</v>
      </c>
    </row>
    <row r="102" spans="1:13" ht="16.5" thickTop="1" thickBot="1" x14ac:dyDescent="0.3">
      <c r="B102" s="3"/>
      <c r="C102" s="3"/>
      <c r="D102" s="3"/>
      <c r="E102" s="9">
        <v>550</v>
      </c>
      <c r="F102" s="9">
        <v>1100</v>
      </c>
      <c r="G102" s="9">
        <f>VLOOKUP(G84,A104:L105,11,FALSE)</f>
        <v>600</v>
      </c>
      <c r="H102" s="9">
        <v>40</v>
      </c>
      <c r="I102" s="9">
        <v>120</v>
      </c>
      <c r="J102" s="9">
        <v>140</v>
      </c>
      <c r="K102" s="9">
        <v>60</v>
      </c>
      <c r="L102" s="9">
        <v>80</v>
      </c>
    </row>
    <row r="103" spans="1:13" ht="16.5" thickTop="1" thickBo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ht="16.5" thickTop="1" thickBot="1" x14ac:dyDescent="0.3">
      <c r="A104" s="9" t="s">
        <v>192</v>
      </c>
      <c r="B104" s="9">
        <v>470</v>
      </c>
      <c r="C104" s="9">
        <v>470</v>
      </c>
      <c r="D104" s="9">
        <v>470</v>
      </c>
      <c r="E104" s="9">
        <v>470</v>
      </c>
      <c r="F104" s="9">
        <v>470</v>
      </c>
      <c r="G104" s="9">
        <v>470</v>
      </c>
      <c r="H104" s="9">
        <v>550</v>
      </c>
      <c r="I104" s="9">
        <v>550</v>
      </c>
      <c r="J104" s="9">
        <v>650</v>
      </c>
      <c r="K104" s="9">
        <v>650</v>
      </c>
      <c r="L104" s="9">
        <v>650</v>
      </c>
      <c r="M104" s="3"/>
    </row>
    <row r="105" spans="1:13" ht="16.5" thickTop="1" thickBot="1" x14ac:dyDescent="0.3">
      <c r="A105" s="9" t="s">
        <v>193</v>
      </c>
      <c r="B105" s="9">
        <v>420</v>
      </c>
      <c r="C105" s="9">
        <v>420</v>
      </c>
      <c r="D105" s="9">
        <v>420</v>
      </c>
      <c r="E105" s="9">
        <v>420</v>
      </c>
      <c r="F105" s="9">
        <v>420</v>
      </c>
      <c r="G105" s="9">
        <v>420</v>
      </c>
      <c r="H105" s="9">
        <v>500</v>
      </c>
      <c r="I105" s="9">
        <v>500</v>
      </c>
      <c r="J105" s="9">
        <v>600</v>
      </c>
      <c r="K105" s="9">
        <v>600</v>
      </c>
      <c r="L105" s="9">
        <v>600</v>
      </c>
      <c r="M105" s="3"/>
    </row>
    <row r="106" spans="1:13" ht="15.75" thickTop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 x14ac:dyDescent="0.25">
      <c r="A107" s="3"/>
      <c r="B107" s="3"/>
      <c r="C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 ht="15.75" thickBot="1" x14ac:dyDescent="0.3">
      <c r="A108" s="3"/>
      <c r="B108" s="3"/>
      <c r="C108" s="3"/>
      <c r="D108" s="3"/>
      <c r="E108" s="3"/>
      <c r="F108" s="3"/>
      <c r="G108" s="3"/>
      <c r="H108" s="26"/>
      <c r="I108" s="31"/>
      <c r="J108" s="31"/>
      <c r="K108" s="31"/>
    </row>
    <row r="109" spans="1:13" ht="16.5" thickTop="1" thickBot="1" x14ac:dyDescent="0.3">
      <c r="A109" s="3"/>
      <c r="B109" s="9" t="s">
        <v>201</v>
      </c>
      <c r="C109" s="9" t="s">
        <v>48</v>
      </c>
      <c r="D109" s="9" t="s">
        <v>202</v>
      </c>
      <c r="E109" s="9" t="s">
        <v>203</v>
      </c>
      <c r="F109" s="3"/>
      <c r="G109" s="3"/>
      <c r="H109" s="30"/>
      <c r="I109" s="32"/>
      <c r="J109" s="31"/>
      <c r="K109" s="31"/>
    </row>
    <row r="110" spans="1:13" ht="16.5" thickTop="1" thickBot="1" x14ac:dyDescent="0.3">
      <c r="A110" s="3"/>
      <c r="B110" s="9"/>
      <c r="C110" s="9" t="s">
        <v>204</v>
      </c>
      <c r="D110" s="9">
        <v>30</v>
      </c>
      <c r="E110" s="9">
        <v>32</v>
      </c>
      <c r="F110" s="25">
        <f>VLOOKUP(Sheet2!F63,Sheet3!C110:E111,2,FALSE)</f>
        <v>30</v>
      </c>
      <c r="G110" s="25">
        <f>VLOOKUP(Sheet2!F63,Sheet3!C110:E111,3,FALSE)</f>
        <v>32</v>
      </c>
      <c r="H110" s="30"/>
      <c r="I110" s="32"/>
      <c r="J110" s="31"/>
      <c r="K110" s="31"/>
    </row>
    <row r="111" spans="1:13" ht="16.5" thickTop="1" thickBot="1" x14ac:dyDescent="0.3">
      <c r="A111" s="3"/>
      <c r="B111" s="9"/>
      <c r="C111" s="9" t="s">
        <v>205</v>
      </c>
      <c r="D111" s="9">
        <v>30</v>
      </c>
      <c r="E111" s="9">
        <v>32</v>
      </c>
      <c r="F111" s="3"/>
      <c r="G111" s="3"/>
      <c r="H111" s="30"/>
      <c r="I111" s="32"/>
      <c r="J111" s="31"/>
      <c r="K111" s="31"/>
    </row>
    <row r="112" spans="1:13" ht="15.75" thickTop="1" x14ac:dyDescent="0.25">
      <c r="A112" s="3"/>
      <c r="B112" s="3"/>
      <c r="C112" s="3"/>
      <c r="D112" s="3"/>
      <c r="E112" s="3"/>
      <c r="F112" s="3"/>
      <c r="G112" s="3"/>
      <c r="H112" s="30"/>
      <c r="I112" s="32"/>
      <c r="J112" s="31"/>
      <c r="K112" s="31"/>
    </row>
    <row r="113" spans="1:13" ht="15.75" thickBot="1" x14ac:dyDescent="0.3">
      <c r="A113" s="3"/>
      <c r="B113" s="3"/>
      <c r="C113" s="3"/>
      <c r="D113" s="3"/>
      <c r="E113" s="3"/>
      <c r="F113" s="3"/>
      <c r="G113" s="3"/>
      <c r="H113" s="30"/>
      <c r="I113" s="32"/>
      <c r="J113" s="31"/>
      <c r="K113" s="31"/>
    </row>
    <row r="114" spans="1:13" ht="16.5" thickTop="1" thickBot="1" x14ac:dyDescent="0.3">
      <c r="C114" s="9" t="s">
        <v>290</v>
      </c>
      <c r="D114" s="9" t="s">
        <v>48</v>
      </c>
      <c r="E114" s="9" t="s">
        <v>294</v>
      </c>
      <c r="H114" s="32"/>
      <c r="I114" s="32"/>
      <c r="J114" s="31"/>
      <c r="K114" s="31"/>
    </row>
    <row r="115" spans="1:13" ht="16.5" thickTop="1" thickBot="1" x14ac:dyDescent="0.3">
      <c r="C115" s="9"/>
      <c r="D115" s="9" t="s">
        <v>291</v>
      </c>
      <c r="E115" s="9">
        <v>5</v>
      </c>
      <c r="F115" s="33"/>
      <c r="H115" s="31"/>
      <c r="I115" s="31"/>
      <c r="J115" s="31"/>
      <c r="K115" s="31"/>
    </row>
    <row r="116" spans="1:13" ht="16.5" thickTop="1" thickBot="1" x14ac:dyDescent="0.3">
      <c r="C116" s="9"/>
      <c r="D116" s="9" t="s">
        <v>113</v>
      </c>
      <c r="E116" s="9">
        <v>0</v>
      </c>
    </row>
    <row r="117" spans="1:13" ht="16.5" thickTop="1" thickBot="1" x14ac:dyDescent="0.3">
      <c r="C117" s="9"/>
      <c r="D117" s="9" t="s">
        <v>292</v>
      </c>
      <c r="E117" s="9">
        <v>-3</v>
      </c>
    </row>
    <row r="118" spans="1:13" ht="15.75" thickTop="1" x14ac:dyDescent="0.25"/>
    <row r="120" spans="1:13" ht="15.75" thickBot="1" x14ac:dyDescent="0.3"/>
    <row r="121" spans="1:13" ht="16.5" thickTop="1" thickBot="1" x14ac:dyDescent="0.3">
      <c r="B121" s="212" t="s">
        <v>609</v>
      </c>
      <c r="C121" s="212" t="s">
        <v>612</v>
      </c>
      <c r="D121" s="212" t="s">
        <v>613</v>
      </c>
    </row>
    <row r="122" spans="1:13" ht="16.5" thickTop="1" thickBot="1" x14ac:dyDescent="0.3">
      <c r="B122" s="212"/>
      <c r="C122" s="212" t="s">
        <v>610</v>
      </c>
      <c r="D122" s="212">
        <v>6</v>
      </c>
    </row>
    <row r="123" spans="1:13" ht="16.5" thickTop="1" thickBot="1" x14ac:dyDescent="0.3">
      <c r="B123" s="212"/>
      <c r="C123" s="212" t="s">
        <v>611</v>
      </c>
      <c r="D123" s="212">
        <v>4</v>
      </c>
    </row>
    <row r="124" spans="1:13" ht="15.75" thickTop="1" x14ac:dyDescent="0.25"/>
    <row r="125" spans="1:13" ht="15.75" thickBot="1" x14ac:dyDescent="0.3"/>
    <row r="126" spans="1:13" ht="16.5" thickTop="1" thickBot="1" x14ac:dyDescent="0.3">
      <c r="B126" s="372" t="s">
        <v>698</v>
      </c>
      <c r="C126" s="375">
        <v>15</v>
      </c>
      <c r="D126" s="381">
        <v>20</v>
      </c>
      <c r="E126" s="381">
        <v>25</v>
      </c>
      <c r="F126" s="381">
        <v>30</v>
      </c>
      <c r="G126" s="381">
        <v>40</v>
      </c>
      <c r="H126" s="381">
        <v>50</v>
      </c>
      <c r="I126" s="381">
        <v>60</v>
      </c>
      <c r="J126" s="381">
        <v>80</v>
      </c>
      <c r="K126" s="381">
        <v>100</v>
      </c>
      <c r="L126" s="381">
        <v>120</v>
      </c>
      <c r="M126" s="381">
        <v>150</v>
      </c>
    </row>
    <row r="127" spans="1:13" ht="16.5" thickTop="1" thickBot="1" x14ac:dyDescent="0.3">
      <c r="B127" s="126">
        <v>1.8</v>
      </c>
      <c r="C127" s="373">
        <f>$C$126*B127</f>
        <v>27</v>
      </c>
      <c r="D127" s="379">
        <f>$D$126*B127</f>
        <v>36</v>
      </c>
      <c r="E127" s="374">
        <f>$E$126*B127</f>
        <v>45</v>
      </c>
      <c r="F127" s="374">
        <f>$F$126*B127</f>
        <v>54</v>
      </c>
      <c r="G127" s="374">
        <f>$G$126*B127</f>
        <v>72</v>
      </c>
      <c r="H127" s="374">
        <f>$H$126*B127</f>
        <v>90</v>
      </c>
      <c r="I127" s="374">
        <f>$I$126*B127</f>
        <v>108</v>
      </c>
      <c r="J127" s="374">
        <f>$J$126*B127</f>
        <v>144</v>
      </c>
      <c r="K127" s="374">
        <f>$K$126*B127</f>
        <v>180</v>
      </c>
      <c r="L127" s="374">
        <f>$L$126*B127</f>
        <v>216</v>
      </c>
      <c r="M127" s="375">
        <f>$M$126*B127</f>
        <v>270</v>
      </c>
    </row>
    <row r="128" spans="1:13" ht="16.5" thickTop="1" thickBot="1" x14ac:dyDescent="0.3">
      <c r="B128" s="126">
        <v>2</v>
      </c>
      <c r="C128" s="376">
        <f>$C$126*B128</f>
        <v>30</v>
      </c>
      <c r="D128" s="380">
        <f t="shared" ref="D128:D134" si="0">$D$126*B128</f>
        <v>40</v>
      </c>
      <c r="E128" s="31">
        <f t="shared" ref="E128:E140" si="1">$E$126*B128</f>
        <v>50</v>
      </c>
      <c r="F128" s="31">
        <f t="shared" ref="F128:F140" si="2">$F$126*B128</f>
        <v>60</v>
      </c>
      <c r="G128" s="31">
        <f t="shared" ref="G128:G140" si="3">$G$126*B128</f>
        <v>80</v>
      </c>
      <c r="H128" s="31">
        <f t="shared" ref="H128:H140" si="4">$H$126*B128</f>
        <v>100</v>
      </c>
      <c r="I128" s="31">
        <f t="shared" ref="I128:I140" si="5">$I$126*B128</f>
        <v>120</v>
      </c>
      <c r="J128" s="31">
        <f t="shared" ref="J128:J140" si="6">$J$126*B128</f>
        <v>160</v>
      </c>
      <c r="K128" s="31">
        <f t="shared" ref="K128:K140" si="7">$K$126*B128</f>
        <v>200</v>
      </c>
      <c r="L128" s="31">
        <f t="shared" ref="L128:L140" si="8">$L$126*B128</f>
        <v>240</v>
      </c>
      <c r="M128" s="64">
        <f t="shared" ref="M128:M139" si="9">$M$126*B128</f>
        <v>300</v>
      </c>
    </row>
    <row r="129" spans="2:13" ht="16.5" thickTop="1" thickBot="1" x14ac:dyDescent="0.3">
      <c r="B129" s="126">
        <v>2.4</v>
      </c>
      <c r="C129" s="376">
        <f>$C$126*B129</f>
        <v>36</v>
      </c>
      <c r="D129" s="380">
        <f t="shared" si="0"/>
        <v>48</v>
      </c>
      <c r="E129" s="31">
        <f t="shared" si="1"/>
        <v>60</v>
      </c>
      <c r="F129" s="31">
        <f t="shared" si="2"/>
        <v>72</v>
      </c>
      <c r="G129" s="31">
        <f t="shared" si="3"/>
        <v>96</v>
      </c>
      <c r="H129" s="31">
        <f t="shared" si="4"/>
        <v>120</v>
      </c>
      <c r="I129" s="31">
        <f t="shared" si="5"/>
        <v>144</v>
      </c>
      <c r="J129" s="31">
        <f t="shared" si="6"/>
        <v>192</v>
      </c>
      <c r="K129" s="31">
        <f t="shared" si="7"/>
        <v>240</v>
      </c>
      <c r="L129" s="31">
        <f t="shared" si="8"/>
        <v>288</v>
      </c>
      <c r="M129" s="64">
        <f t="shared" si="9"/>
        <v>360</v>
      </c>
    </row>
    <row r="130" spans="2:13" ht="16.5" thickTop="1" thickBot="1" x14ac:dyDescent="0.3">
      <c r="B130" s="126">
        <v>3</v>
      </c>
      <c r="C130" s="378">
        <f>$C$126*B130</f>
        <v>45</v>
      </c>
      <c r="D130" s="380">
        <f t="shared" si="0"/>
        <v>60</v>
      </c>
      <c r="E130" s="380">
        <f t="shared" si="1"/>
        <v>75</v>
      </c>
      <c r="F130" s="380">
        <f t="shared" si="2"/>
        <v>90</v>
      </c>
      <c r="G130" s="380">
        <f t="shared" si="3"/>
        <v>120</v>
      </c>
      <c r="H130" s="31">
        <f t="shared" si="4"/>
        <v>150</v>
      </c>
      <c r="I130" s="31">
        <f t="shared" si="5"/>
        <v>180</v>
      </c>
      <c r="J130" s="31">
        <f t="shared" si="6"/>
        <v>240</v>
      </c>
      <c r="K130" s="31">
        <f t="shared" si="7"/>
        <v>300</v>
      </c>
      <c r="L130" s="31">
        <f t="shared" si="8"/>
        <v>360</v>
      </c>
      <c r="M130" s="64">
        <f t="shared" si="9"/>
        <v>450</v>
      </c>
    </row>
    <row r="131" spans="2:13" ht="16.5" thickTop="1" thickBot="1" x14ac:dyDescent="0.3">
      <c r="B131" s="126">
        <v>4</v>
      </c>
      <c r="C131" s="376">
        <f t="shared" ref="C131:C140" si="10">$C$126*B131</f>
        <v>60</v>
      </c>
      <c r="D131" s="380">
        <f t="shared" si="0"/>
        <v>80</v>
      </c>
      <c r="E131" s="380">
        <f t="shared" si="1"/>
        <v>100</v>
      </c>
      <c r="F131" s="380">
        <f t="shared" si="2"/>
        <v>120</v>
      </c>
      <c r="G131" s="380">
        <f t="shared" si="3"/>
        <v>160</v>
      </c>
      <c r="H131" s="380">
        <f t="shared" si="4"/>
        <v>200</v>
      </c>
      <c r="I131" s="31">
        <f t="shared" si="5"/>
        <v>240</v>
      </c>
      <c r="J131" s="31">
        <f t="shared" si="6"/>
        <v>320</v>
      </c>
      <c r="K131" s="31">
        <f t="shared" si="7"/>
        <v>400</v>
      </c>
      <c r="L131" s="31">
        <f t="shared" si="8"/>
        <v>480</v>
      </c>
      <c r="M131" s="64">
        <f t="shared" si="9"/>
        <v>600</v>
      </c>
    </row>
    <row r="132" spans="2:13" ht="16.5" thickTop="1" thickBot="1" x14ac:dyDescent="0.3">
      <c r="B132" s="126">
        <v>5</v>
      </c>
      <c r="C132" s="376">
        <f t="shared" si="10"/>
        <v>75</v>
      </c>
      <c r="D132" s="380">
        <f t="shared" si="0"/>
        <v>100</v>
      </c>
      <c r="E132" s="380">
        <f t="shared" si="1"/>
        <v>125</v>
      </c>
      <c r="F132" s="380">
        <f t="shared" si="2"/>
        <v>150</v>
      </c>
      <c r="G132" s="380">
        <f t="shared" si="3"/>
        <v>200</v>
      </c>
      <c r="H132" s="380">
        <f t="shared" si="4"/>
        <v>250</v>
      </c>
      <c r="I132" s="380">
        <f t="shared" si="5"/>
        <v>300</v>
      </c>
      <c r="J132" s="31">
        <f t="shared" si="6"/>
        <v>400</v>
      </c>
      <c r="K132" s="380">
        <f>$K$126*B132</f>
        <v>500</v>
      </c>
      <c r="L132" s="31">
        <f t="shared" si="8"/>
        <v>600</v>
      </c>
      <c r="M132" s="64">
        <f t="shared" si="9"/>
        <v>750</v>
      </c>
    </row>
    <row r="133" spans="2:13" ht="16.5" thickTop="1" thickBot="1" x14ac:dyDescent="0.3">
      <c r="B133" s="126">
        <v>6</v>
      </c>
      <c r="C133" s="376">
        <f t="shared" si="10"/>
        <v>90</v>
      </c>
      <c r="D133" s="380">
        <f t="shared" si="0"/>
        <v>120</v>
      </c>
      <c r="E133" s="31">
        <f t="shared" si="1"/>
        <v>150</v>
      </c>
      <c r="F133" s="380">
        <f t="shared" si="2"/>
        <v>180</v>
      </c>
      <c r="G133" s="380">
        <f t="shared" si="3"/>
        <v>240</v>
      </c>
      <c r="H133" s="380">
        <f t="shared" si="4"/>
        <v>300</v>
      </c>
      <c r="I133" s="380">
        <f t="shared" si="5"/>
        <v>360</v>
      </c>
      <c r="J133" s="380">
        <f t="shared" si="6"/>
        <v>480</v>
      </c>
      <c r="K133" s="380">
        <f t="shared" si="7"/>
        <v>600</v>
      </c>
      <c r="L133" s="31">
        <f t="shared" si="8"/>
        <v>720</v>
      </c>
      <c r="M133" s="64">
        <f t="shared" si="9"/>
        <v>900</v>
      </c>
    </row>
    <row r="134" spans="2:13" ht="16.5" thickTop="1" thickBot="1" x14ac:dyDescent="0.3">
      <c r="B134" s="126">
        <v>7</v>
      </c>
      <c r="C134" s="376">
        <f t="shared" si="10"/>
        <v>105</v>
      </c>
      <c r="D134" s="31">
        <f t="shared" si="0"/>
        <v>140</v>
      </c>
      <c r="E134" s="31">
        <f t="shared" si="1"/>
        <v>175</v>
      </c>
      <c r="F134" s="31">
        <f t="shared" si="2"/>
        <v>210</v>
      </c>
      <c r="G134" s="31">
        <f t="shared" si="3"/>
        <v>280</v>
      </c>
      <c r="H134" s="31">
        <f t="shared" si="4"/>
        <v>350</v>
      </c>
      <c r="I134" s="31">
        <f t="shared" si="5"/>
        <v>420</v>
      </c>
      <c r="J134" s="31">
        <f t="shared" si="6"/>
        <v>560</v>
      </c>
      <c r="K134" s="31">
        <f t="shared" si="7"/>
        <v>700</v>
      </c>
      <c r="L134" s="31">
        <f t="shared" si="8"/>
        <v>840</v>
      </c>
      <c r="M134" s="64">
        <f t="shared" si="9"/>
        <v>1050</v>
      </c>
    </row>
    <row r="135" spans="2:13" ht="16.5" thickTop="1" thickBot="1" x14ac:dyDescent="0.3">
      <c r="B135" s="126">
        <v>8</v>
      </c>
      <c r="C135" s="376">
        <f t="shared" si="10"/>
        <v>120</v>
      </c>
      <c r="D135" s="31">
        <f t="shared" ref="D135:D140" si="11">$D$126*B135</f>
        <v>160</v>
      </c>
      <c r="E135" s="31">
        <f t="shared" si="1"/>
        <v>200</v>
      </c>
      <c r="F135" s="380">
        <f t="shared" si="2"/>
        <v>240</v>
      </c>
      <c r="G135" s="380">
        <f t="shared" si="3"/>
        <v>320</v>
      </c>
      <c r="H135" s="380">
        <f t="shared" si="4"/>
        <v>400</v>
      </c>
      <c r="I135" s="380">
        <f t="shared" si="5"/>
        <v>480</v>
      </c>
      <c r="J135" s="380">
        <f t="shared" si="6"/>
        <v>640</v>
      </c>
      <c r="K135" s="31">
        <f t="shared" si="7"/>
        <v>800</v>
      </c>
      <c r="L135" s="31">
        <f t="shared" si="8"/>
        <v>960</v>
      </c>
      <c r="M135" s="64">
        <f t="shared" si="9"/>
        <v>1200</v>
      </c>
    </row>
    <row r="136" spans="2:13" ht="16.5" thickTop="1" thickBot="1" x14ac:dyDescent="0.3">
      <c r="B136" s="126">
        <v>9</v>
      </c>
      <c r="C136" s="376">
        <f t="shared" si="10"/>
        <v>135</v>
      </c>
      <c r="D136" s="31">
        <f t="shared" si="11"/>
        <v>180</v>
      </c>
      <c r="E136" s="31">
        <f t="shared" si="1"/>
        <v>225</v>
      </c>
      <c r="F136" s="31">
        <f t="shared" si="2"/>
        <v>270</v>
      </c>
      <c r="G136" s="31">
        <f t="shared" si="3"/>
        <v>360</v>
      </c>
      <c r="H136" s="31">
        <f t="shared" si="4"/>
        <v>450</v>
      </c>
      <c r="I136" s="31">
        <f t="shared" si="5"/>
        <v>540</v>
      </c>
      <c r="J136" s="31">
        <f t="shared" si="6"/>
        <v>720</v>
      </c>
      <c r="K136" s="31">
        <f t="shared" si="7"/>
        <v>900</v>
      </c>
      <c r="L136" s="31">
        <f t="shared" si="8"/>
        <v>1080</v>
      </c>
      <c r="M136" s="64">
        <f t="shared" si="9"/>
        <v>1350</v>
      </c>
    </row>
    <row r="137" spans="2:13" ht="16.5" thickTop="1" thickBot="1" x14ac:dyDescent="0.3">
      <c r="B137" s="126">
        <v>10</v>
      </c>
      <c r="C137" s="376">
        <f t="shared" si="10"/>
        <v>150</v>
      </c>
      <c r="D137" s="31">
        <f t="shared" si="11"/>
        <v>200</v>
      </c>
      <c r="E137" s="31">
        <f t="shared" si="1"/>
        <v>250</v>
      </c>
      <c r="F137" s="380">
        <f t="shared" si="2"/>
        <v>300</v>
      </c>
      <c r="G137" s="380">
        <f t="shared" si="3"/>
        <v>400</v>
      </c>
      <c r="H137" s="380">
        <f t="shared" si="4"/>
        <v>500</v>
      </c>
      <c r="I137" s="380">
        <f t="shared" si="5"/>
        <v>600</v>
      </c>
      <c r="J137" s="380">
        <f t="shared" si="6"/>
        <v>800</v>
      </c>
      <c r="K137" s="380">
        <f t="shared" si="7"/>
        <v>1000</v>
      </c>
      <c r="L137" s="380">
        <f t="shared" si="8"/>
        <v>1200</v>
      </c>
      <c r="M137" s="64">
        <f t="shared" si="9"/>
        <v>1500</v>
      </c>
    </row>
    <row r="138" spans="2:13" ht="16.5" thickTop="1" thickBot="1" x14ac:dyDescent="0.3">
      <c r="B138" s="126">
        <v>11</v>
      </c>
      <c r="C138" s="376">
        <f t="shared" si="10"/>
        <v>165</v>
      </c>
      <c r="D138" s="31">
        <f t="shared" si="11"/>
        <v>220</v>
      </c>
      <c r="E138" s="31">
        <f t="shared" si="1"/>
        <v>275</v>
      </c>
      <c r="F138" s="31">
        <f t="shared" si="2"/>
        <v>330</v>
      </c>
      <c r="G138" s="31">
        <f t="shared" si="3"/>
        <v>440</v>
      </c>
      <c r="H138" s="31">
        <f t="shared" si="4"/>
        <v>550</v>
      </c>
      <c r="I138" s="31">
        <f t="shared" si="5"/>
        <v>660</v>
      </c>
      <c r="J138" s="31">
        <f t="shared" si="6"/>
        <v>880</v>
      </c>
      <c r="K138" s="31">
        <f t="shared" si="7"/>
        <v>1100</v>
      </c>
      <c r="L138" s="31">
        <f t="shared" si="8"/>
        <v>1320</v>
      </c>
      <c r="M138" s="64">
        <f t="shared" si="9"/>
        <v>1650</v>
      </c>
    </row>
    <row r="139" spans="2:13" ht="16.5" thickTop="1" thickBot="1" x14ac:dyDescent="0.3">
      <c r="B139" s="126">
        <v>12</v>
      </c>
      <c r="C139" s="376">
        <f t="shared" si="10"/>
        <v>180</v>
      </c>
      <c r="D139" s="31">
        <f t="shared" si="11"/>
        <v>240</v>
      </c>
      <c r="E139" s="31">
        <f t="shared" si="1"/>
        <v>300</v>
      </c>
      <c r="F139" s="31">
        <f t="shared" si="2"/>
        <v>360</v>
      </c>
      <c r="G139" s="31">
        <f t="shared" si="3"/>
        <v>480</v>
      </c>
      <c r="H139" s="31">
        <f t="shared" si="4"/>
        <v>600</v>
      </c>
      <c r="I139" s="31">
        <f t="shared" si="5"/>
        <v>720</v>
      </c>
      <c r="J139" s="31">
        <f t="shared" si="6"/>
        <v>960</v>
      </c>
      <c r="K139" s="380">
        <f t="shared" si="7"/>
        <v>1200</v>
      </c>
      <c r="L139" s="380">
        <f t="shared" si="8"/>
        <v>1440</v>
      </c>
      <c r="M139" s="64">
        <f t="shared" si="9"/>
        <v>1800</v>
      </c>
    </row>
    <row r="140" spans="2:13" ht="16.5" thickTop="1" thickBot="1" x14ac:dyDescent="0.3">
      <c r="B140" s="212">
        <v>15</v>
      </c>
      <c r="C140" s="377">
        <f t="shared" si="10"/>
        <v>225</v>
      </c>
      <c r="D140" s="66">
        <f t="shared" si="11"/>
        <v>300</v>
      </c>
      <c r="E140" s="66">
        <f t="shared" si="1"/>
        <v>375</v>
      </c>
      <c r="F140" s="66">
        <f t="shared" si="2"/>
        <v>450</v>
      </c>
      <c r="G140" s="66">
        <f t="shared" si="3"/>
        <v>600</v>
      </c>
      <c r="H140" s="66">
        <f t="shared" si="4"/>
        <v>750</v>
      </c>
      <c r="I140" s="66">
        <f t="shared" si="5"/>
        <v>900</v>
      </c>
      <c r="J140" s="66">
        <f t="shared" si="6"/>
        <v>1200</v>
      </c>
      <c r="K140" s="66">
        <f t="shared" si="7"/>
        <v>1500</v>
      </c>
      <c r="L140" s="66">
        <f t="shared" si="8"/>
        <v>1800</v>
      </c>
      <c r="M140" s="382">
        <f>$M$126*B140</f>
        <v>2250</v>
      </c>
    </row>
    <row r="141" spans="2:13" ht="15.75" thickTop="1" x14ac:dyDescent="0.25"/>
    <row r="142" spans="2:13" x14ac:dyDescent="0.25">
      <c r="B142" s="1" t="s">
        <v>723</v>
      </c>
      <c r="C142" s="1">
        <v>1</v>
      </c>
      <c r="D142" s="1">
        <v>2</v>
      </c>
      <c r="E142" s="1">
        <v>3</v>
      </c>
      <c r="F142" s="1">
        <v>4</v>
      </c>
    </row>
    <row r="143" spans="2:13" x14ac:dyDescent="0.25">
      <c r="B143" s="1" t="s">
        <v>724</v>
      </c>
      <c r="C143" s="1">
        <v>35</v>
      </c>
      <c r="D143" s="1">
        <v>50</v>
      </c>
      <c r="E143" s="1">
        <v>70</v>
      </c>
      <c r="F143" s="1">
        <v>95</v>
      </c>
      <c r="G143" s="1">
        <v>120</v>
      </c>
    </row>
    <row r="145" spans="2:47" x14ac:dyDescent="0.25">
      <c r="C145" s="1" t="s">
        <v>699</v>
      </c>
      <c r="D145" s="1" t="s">
        <v>700</v>
      </c>
      <c r="E145" s="1" t="s">
        <v>701</v>
      </c>
      <c r="F145" s="1" t="s">
        <v>703</v>
      </c>
      <c r="G145" s="1" t="s">
        <v>717</v>
      </c>
      <c r="H145" s="1" t="s">
        <v>719</v>
      </c>
      <c r="I145" s="1" t="s">
        <v>721</v>
      </c>
      <c r="J145" s="1" t="s">
        <v>707</v>
      </c>
      <c r="K145" s="1" t="s">
        <v>707</v>
      </c>
      <c r="L145" s="1" t="s">
        <v>712</v>
      </c>
    </row>
    <row r="146" spans="2:47" x14ac:dyDescent="0.25">
      <c r="D146" s="1" t="s">
        <v>700</v>
      </c>
      <c r="E146" s="1" t="s">
        <v>703</v>
      </c>
      <c r="F146" s="1" t="s">
        <v>717</v>
      </c>
      <c r="G146" s="1" t="s">
        <v>722</v>
      </c>
      <c r="H146" s="1" t="s">
        <v>706</v>
      </c>
      <c r="I146" s="1" t="s">
        <v>708</v>
      </c>
      <c r="J146" s="1" t="s">
        <v>709</v>
      </c>
      <c r="K146" s="1" t="s">
        <v>709</v>
      </c>
      <c r="L146" s="1" t="s">
        <v>713</v>
      </c>
    </row>
    <row r="147" spans="2:47" x14ac:dyDescent="0.25">
      <c r="D147" s="1" t="s">
        <v>699</v>
      </c>
      <c r="E147" s="1" t="s">
        <v>717</v>
      </c>
      <c r="F147" s="1" t="s">
        <v>718</v>
      </c>
      <c r="G147" s="1" t="s">
        <v>719</v>
      </c>
      <c r="H147" s="1" t="s">
        <v>721</v>
      </c>
      <c r="I147" s="1" t="s">
        <v>707</v>
      </c>
      <c r="J147" s="1" t="s">
        <v>710</v>
      </c>
      <c r="K147" s="1" t="s">
        <v>711</v>
      </c>
    </row>
    <row r="148" spans="2:47" x14ac:dyDescent="0.25">
      <c r="D148" s="1" t="s">
        <v>701</v>
      </c>
      <c r="F148" s="1" t="s">
        <v>719</v>
      </c>
      <c r="G148" s="1" t="s">
        <v>720</v>
      </c>
      <c r="H148" s="1" t="s">
        <v>705</v>
      </c>
      <c r="I148" s="1" t="s">
        <v>709</v>
      </c>
      <c r="K148" s="1" t="s">
        <v>712</v>
      </c>
      <c r="S148" s="1">
        <f t="array" ref="S148:AU148">TRANSPOSE(E153:E181)</f>
        <v>1</v>
      </c>
      <c r="T148" s="1">
        <v>1</v>
      </c>
      <c r="U148" s="1">
        <v>1</v>
      </c>
      <c r="V148" s="1">
        <v>1</v>
      </c>
      <c r="W148" s="1">
        <v>1</v>
      </c>
      <c r="X148" s="1">
        <v>1</v>
      </c>
      <c r="Y148" s="1">
        <v>1</v>
      </c>
      <c r="Z148" s="1">
        <v>1</v>
      </c>
      <c r="AA148" s="1">
        <v>1</v>
      </c>
      <c r="AB148" s="1">
        <v>1</v>
      </c>
      <c r="AC148" s="1">
        <v>1</v>
      </c>
      <c r="AD148" s="1">
        <v>2</v>
      </c>
      <c r="AE148" s="1">
        <v>1</v>
      </c>
      <c r="AF148" s="1">
        <v>2</v>
      </c>
      <c r="AG148" s="1">
        <v>4</v>
      </c>
      <c r="AH148" s="1">
        <v>2</v>
      </c>
      <c r="AI148" s="1">
        <v>2</v>
      </c>
      <c r="AJ148" s="1">
        <v>4</v>
      </c>
      <c r="AK148" s="1">
        <v>2</v>
      </c>
      <c r="AL148" s="1">
        <v>4</v>
      </c>
      <c r="AM148" s="1">
        <v>4</v>
      </c>
      <c r="AN148" s="1">
        <v>4</v>
      </c>
      <c r="AO148" s="1">
        <v>4</v>
      </c>
      <c r="AP148" s="1">
        <v>4</v>
      </c>
      <c r="AQ148" s="1">
        <v>4</v>
      </c>
      <c r="AR148" s="1">
        <v>8</v>
      </c>
      <c r="AS148" s="1">
        <v>8</v>
      </c>
      <c r="AT148" s="1">
        <v>10</v>
      </c>
      <c r="AU148" s="1">
        <v>12</v>
      </c>
    </row>
    <row r="149" spans="2:47" x14ac:dyDescent="0.25">
      <c r="D149" s="1" t="s">
        <v>702</v>
      </c>
      <c r="F149" s="1" t="s">
        <v>720</v>
      </c>
      <c r="G149" s="1" t="s">
        <v>704</v>
      </c>
      <c r="H149" s="1" t="s">
        <v>707</v>
      </c>
      <c r="S149" s="1">
        <f t="array" ref="S149:AU149">TRANSPOSE(G153:G181)</f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1</v>
      </c>
      <c r="AC149" s="1">
        <v>1</v>
      </c>
      <c r="AD149" s="1">
        <v>0</v>
      </c>
      <c r="AE149" s="1">
        <v>1</v>
      </c>
      <c r="AF149" s="1">
        <v>0</v>
      </c>
      <c r="AG149" s="1">
        <v>0</v>
      </c>
      <c r="AH149" s="1">
        <v>2</v>
      </c>
      <c r="AI149" s="1">
        <v>2</v>
      </c>
      <c r="AJ149" s="1">
        <v>0</v>
      </c>
      <c r="AK149" s="1">
        <v>2</v>
      </c>
      <c r="AL149" s="1">
        <v>0</v>
      </c>
      <c r="AM149" s="1">
        <v>0</v>
      </c>
      <c r="AN149" s="1">
        <v>0</v>
      </c>
      <c r="AO149" s="1">
        <v>0</v>
      </c>
      <c r="AP149" s="1">
        <v>2</v>
      </c>
      <c r="AQ149" s="1">
        <v>2</v>
      </c>
      <c r="AR149" s="1">
        <v>0</v>
      </c>
      <c r="AS149" s="1">
        <v>0</v>
      </c>
      <c r="AT149" s="1">
        <v>0</v>
      </c>
      <c r="AU149" s="1">
        <v>0</v>
      </c>
    </row>
    <row r="150" spans="2:47" x14ac:dyDescent="0.25">
      <c r="D150" s="1" t="s">
        <v>703</v>
      </c>
      <c r="F150" s="1" t="s">
        <v>721</v>
      </c>
      <c r="G150" s="1" t="s">
        <v>705</v>
      </c>
      <c r="S150" s="1">
        <f t="array" ref="S150:AU151">TRANSPOSE(C153:D181)</f>
        <v>50</v>
      </c>
      <c r="T150" s="1">
        <v>35</v>
      </c>
      <c r="U150" s="1">
        <v>35</v>
      </c>
      <c r="V150" s="1">
        <v>50</v>
      </c>
      <c r="W150" s="1">
        <v>70</v>
      </c>
      <c r="X150" s="1">
        <v>70</v>
      </c>
      <c r="Y150" s="1">
        <v>95</v>
      </c>
      <c r="Z150" s="1">
        <v>95</v>
      </c>
      <c r="AA150" s="1">
        <v>95</v>
      </c>
      <c r="AB150" s="1">
        <v>50</v>
      </c>
      <c r="AC150" s="1">
        <v>50</v>
      </c>
      <c r="AD150" s="1">
        <v>70</v>
      </c>
      <c r="AE150" s="1">
        <v>70</v>
      </c>
      <c r="AF150" s="1">
        <v>95</v>
      </c>
      <c r="AG150" s="1">
        <v>50</v>
      </c>
      <c r="AH150" s="1">
        <v>50</v>
      </c>
      <c r="AI150" s="1">
        <v>50</v>
      </c>
      <c r="AJ150" s="1">
        <v>70</v>
      </c>
      <c r="AK150" s="1">
        <v>70</v>
      </c>
      <c r="AL150" s="1">
        <v>95</v>
      </c>
      <c r="AM150" s="1">
        <v>95</v>
      </c>
      <c r="AN150" s="1">
        <v>120</v>
      </c>
      <c r="AO150" s="1">
        <v>120</v>
      </c>
      <c r="AP150" s="1">
        <v>95</v>
      </c>
      <c r="AQ150" s="1">
        <v>95</v>
      </c>
      <c r="AR150" s="1">
        <v>95</v>
      </c>
      <c r="AS150" s="1">
        <v>120</v>
      </c>
      <c r="AT150" s="1">
        <v>120</v>
      </c>
      <c r="AU150" s="1">
        <v>120</v>
      </c>
    </row>
    <row r="151" spans="2:47" ht="15.75" thickBot="1" x14ac:dyDescent="0.3">
      <c r="D151" s="1" t="s">
        <v>717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70</v>
      </c>
      <c r="AC151" s="1">
        <v>70</v>
      </c>
      <c r="AD151" s="1">
        <v>0</v>
      </c>
      <c r="AE151" s="1">
        <v>95</v>
      </c>
      <c r="AF151" s="1">
        <v>0</v>
      </c>
      <c r="AG151" s="1">
        <v>0</v>
      </c>
      <c r="AH151" s="1">
        <v>70</v>
      </c>
      <c r="AI151" s="1">
        <v>70</v>
      </c>
      <c r="AJ151" s="1">
        <v>0</v>
      </c>
      <c r="AK151" s="1">
        <v>95</v>
      </c>
      <c r="AL151" s="1">
        <v>0</v>
      </c>
      <c r="AM151" s="1">
        <v>0</v>
      </c>
      <c r="AN151" s="1">
        <v>0</v>
      </c>
      <c r="AO151" s="1">
        <v>0</v>
      </c>
      <c r="AP151" s="1">
        <v>120</v>
      </c>
      <c r="AQ151" s="1">
        <v>120</v>
      </c>
      <c r="AR151" s="1">
        <v>120</v>
      </c>
      <c r="AS151" s="1">
        <v>0</v>
      </c>
      <c r="AT151" s="1">
        <v>0</v>
      </c>
      <c r="AU151" s="1">
        <v>0</v>
      </c>
    </row>
    <row r="152" spans="2:47" ht="16.5" thickTop="1" thickBot="1" x14ac:dyDescent="0.3">
      <c r="B152" s="498" t="s">
        <v>725</v>
      </c>
      <c r="C152" s="385" t="s">
        <v>727</v>
      </c>
      <c r="D152" s="387"/>
      <c r="E152" s="385" t="s">
        <v>726</v>
      </c>
      <c r="F152" s="386"/>
      <c r="G152" s="387"/>
      <c r="K152" s="31"/>
      <c r="N152" s="31">
        <v>1.2</v>
      </c>
      <c r="O152" s="31">
        <v>0.8</v>
      </c>
      <c r="P152" s="31"/>
    </row>
    <row r="153" spans="2:47" ht="15.75" thickTop="1" x14ac:dyDescent="0.25">
      <c r="B153" s="383">
        <v>45</v>
      </c>
      <c r="C153" s="376">
        <v>50</v>
      </c>
      <c r="D153" s="64"/>
      <c r="E153" s="373">
        <v>1</v>
      </c>
      <c r="F153" s="374"/>
      <c r="G153" s="375"/>
      <c r="K153" s="31"/>
      <c r="M153" s="31">
        <f t="shared" ref="M153:M181" si="12">B153</f>
        <v>45</v>
      </c>
      <c r="N153" s="31">
        <f t="shared" ref="N153:N181" si="13">1.2*B153</f>
        <v>54</v>
      </c>
      <c r="O153" s="31">
        <f t="shared" ref="O153:O181" si="14">0.8*B153</f>
        <v>36</v>
      </c>
      <c r="S153" s="1">
        <f t="array" ref="S153:AU153">TRANSPOSE(B153:B181)</f>
        <v>45</v>
      </c>
      <c r="T153" s="1">
        <v>36</v>
      </c>
      <c r="U153" s="1">
        <v>40</v>
      </c>
      <c r="V153" s="1">
        <v>48</v>
      </c>
      <c r="W153" s="1">
        <v>60</v>
      </c>
      <c r="X153" s="1">
        <v>75</v>
      </c>
      <c r="Y153" s="1">
        <v>80</v>
      </c>
      <c r="Z153" s="1">
        <v>90</v>
      </c>
      <c r="AA153" s="1">
        <v>100</v>
      </c>
      <c r="AB153" s="1">
        <v>120</v>
      </c>
      <c r="AC153" s="1">
        <v>125</v>
      </c>
      <c r="AD153" s="1">
        <v>150</v>
      </c>
      <c r="AE153" s="1">
        <v>160</v>
      </c>
      <c r="AF153" s="1">
        <v>180</v>
      </c>
      <c r="AG153" s="1">
        <v>200</v>
      </c>
      <c r="AH153" s="1">
        <v>240</v>
      </c>
      <c r="AI153" s="1">
        <v>250</v>
      </c>
      <c r="AJ153" s="1">
        <v>300</v>
      </c>
      <c r="AK153" s="1">
        <v>320</v>
      </c>
      <c r="AL153" s="1">
        <v>360</v>
      </c>
      <c r="AM153" s="1">
        <v>400</v>
      </c>
      <c r="AN153" s="1">
        <v>480</v>
      </c>
      <c r="AO153" s="1">
        <v>500</v>
      </c>
      <c r="AP153" s="1">
        <v>600</v>
      </c>
      <c r="AQ153" s="1">
        <v>640</v>
      </c>
      <c r="AR153" s="1">
        <v>800</v>
      </c>
      <c r="AS153" s="1">
        <v>1000</v>
      </c>
      <c r="AT153" s="1">
        <v>1200</v>
      </c>
      <c r="AU153" s="1">
        <v>1440</v>
      </c>
    </row>
    <row r="154" spans="2:47" x14ac:dyDescent="0.25">
      <c r="B154" s="383">
        <v>36</v>
      </c>
      <c r="C154" s="376">
        <v>35</v>
      </c>
      <c r="D154" s="64"/>
      <c r="E154" s="376">
        <v>1</v>
      </c>
      <c r="F154" s="31"/>
      <c r="G154" s="64"/>
      <c r="K154" s="31"/>
      <c r="M154" s="31">
        <f t="shared" si="12"/>
        <v>36</v>
      </c>
      <c r="N154" s="31">
        <f t="shared" si="13"/>
        <v>43.199999999999996</v>
      </c>
      <c r="O154" s="31">
        <f t="shared" si="14"/>
        <v>28.8</v>
      </c>
      <c r="S154" s="1">
        <v>50</v>
      </c>
      <c r="T154" s="1">
        <v>35</v>
      </c>
      <c r="U154" s="1">
        <v>35</v>
      </c>
      <c r="V154" s="1">
        <v>50</v>
      </c>
      <c r="W154" s="1">
        <v>70</v>
      </c>
      <c r="X154" s="1">
        <v>70</v>
      </c>
      <c r="Y154" s="1">
        <v>95</v>
      </c>
      <c r="Z154" s="1">
        <v>95</v>
      </c>
      <c r="AA154" s="1">
        <v>95</v>
      </c>
      <c r="AB154" s="1">
        <v>70</v>
      </c>
      <c r="AC154" s="1">
        <v>70</v>
      </c>
      <c r="AD154" s="1">
        <v>70</v>
      </c>
      <c r="AE154" s="1">
        <v>95</v>
      </c>
      <c r="AF154" s="1">
        <v>95</v>
      </c>
      <c r="AG154" s="1">
        <v>50</v>
      </c>
      <c r="AH154" s="1">
        <v>70</v>
      </c>
      <c r="AI154" s="1">
        <v>70</v>
      </c>
      <c r="AJ154" s="1">
        <v>70</v>
      </c>
      <c r="AK154" s="1">
        <v>95</v>
      </c>
      <c r="AL154" s="1">
        <v>95</v>
      </c>
      <c r="AM154" s="1">
        <v>95</v>
      </c>
      <c r="AN154" s="1">
        <v>120</v>
      </c>
      <c r="AO154" s="1">
        <v>120</v>
      </c>
      <c r="AP154" s="1">
        <v>120</v>
      </c>
      <c r="AQ154" s="1">
        <v>120</v>
      </c>
      <c r="AR154" s="1">
        <v>95</v>
      </c>
      <c r="AS154" s="1">
        <v>120</v>
      </c>
      <c r="AT154" s="1">
        <v>120</v>
      </c>
      <c r="AU154" s="1">
        <v>120</v>
      </c>
    </row>
    <row r="155" spans="2:47" x14ac:dyDescent="0.25">
      <c r="B155" s="383">
        <v>40</v>
      </c>
      <c r="C155" s="376">
        <v>35</v>
      </c>
      <c r="D155" s="64"/>
      <c r="E155" s="376">
        <v>1</v>
      </c>
      <c r="F155" s="31"/>
      <c r="G155" s="64"/>
      <c r="K155" s="31"/>
      <c r="M155" s="31">
        <f t="shared" si="12"/>
        <v>40</v>
      </c>
      <c r="N155" s="31">
        <f t="shared" si="13"/>
        <v>48</v>
      </c>
      <c r="O155" s="31">
        <f t="shared" si="14"/>
        <v>32</v>
      </c>
      <c r="AB155" s="1">
        <v>50</v>
      </c>
      <c r="AC155" s="1">
        <v>50</v>
      </c>
      <c r="AD155" s="1">
        <v>70</v>
      </c>
      <c r="AE155" s="1">
        <v>70</v>
      </c>
      <c r="AF155" s="1">
        <v>95</v>
      </c>
      <c r="AG155" s="1">
        <v>50</v>
      </c>
      <c r="AH155" s="1">
        <v>70</v>
      </c>
      <c r="AI155" s="1">
        <v>70</v>
      </c>
      <c r="AJ155" s="1">
        <v>70</v>
      </c>
      <c r="AK155" s="1">
        <v>95</v>
      </c>
      <c r="AL155" s="1">
        <v>95</v>
      </c>
      <c r="AM155" s="1">
        <v>95</v>
      </c>
      <c r="AN155" s="1">
        <v>120</v>
      </c>
      <c r="AO155" s="1">
        <v>120</v>
      </c>
      <c r="AP155" s="1">
        <v>120</v>
      </c>
      <c r="AQ155" s="1">
        <v>120</v>
      </c>
      <c r="AR155" s="1">
        <v>95</v>
      </c>
      <c r="AS155" s="1">
        <v>120</v>
      </c>
      <c r="AT155" s="1">
        <v>120</v>
      </c>
      <c r="AU155" s="1">
        <v>120</v>
      </c>
    </row>
    <row r="156" spans="2:47" x14ac:dyDescent="0.25">
      <c r="B156" s="383">
        <v>48</v>
      </c>
      <c r="C156" s="376">
        <v>50</v>
      </c>
      <c r="D156" s="64"/>
      <c r="E156" s="376">
        <v>1</v>
      </c>
      <c r="F156" s="31"/>
      <c r="G156" s="64"/>
      <c r="K156" s="31"/>
      <c r="M156" s="31">
        <f t="shared" si="12"/>
        <v>48</v>
      </c>
      <c r="N156" s="31">
        <f t="shared" si="13"/>
        <v>57.599999999999994</v>
      </c>
      <c r="O156" s="31">
        <f t="shared" si="14"/>
        <v>38.400000000000006</v>
      </c>
      <c r="AG156" s="1">
        <v>50</v>
      </c>
      <c r="AH156" s="1">
        <v>50</v>
      </c>
      <c r="AI156" s="1">
        <v>50</v>
      </c>
      <c r="AJ156" s="1">
        <v>70</v>
      </c>
      <c r="AK156" s="1">
        <v>70</v>
      </c>
      <c r="AL156" s="1">
        <v>95</v>
      </c>
      <c r="AM156" s="1">
        <v>95</v>
      </c>
      <c r="AN156" s="1">
        <v>120</v>
      </c>
      <c r="AO156" s="1">
        <v>120</v>
      </c>
      <c r="AP156" s="1">
        <v>95</v>
      </c>
      <c r="AQ156" s="1">
        <v>95</v>
      </c>
      <c r="AR156" s="1">
        <v>95</v>
      </c>
      <c r="AS156" s="1">
        <v>120</v>
      </c>
      <c r="AT156" s="1">
        <v>120</v>
      </c>
      <c r="AU156" s="1">
        <v>120</v>
      </c>
    </row>
    <row r="157" spans="2:47" ht="15.75" thickBot="1" x14ac:dyDescent="0.3">
      <c r="B157" s="383">
        <v>60</v>
      </c>
      <c r="C157" s="376">
        <v>70</v>
      </c>
      <c r="D157" s="64"/>
      <c r="E157" s="376">
        <v>1</v>
      </c>
      <c r="F157" s="31"/>
      <c r="G157" s="64"/>
      <c r="K157" s="31"/>
      <c r="M157" s="31">
        <f t="shared" si="12"/>
        <v>60</v>
      </c>
      <c r="N157" s="31">
        <f t="shared" si="13"/>
        <v>72</v>
      </c>
      <c r="O157" s="31">
        <f t="shared" si="14"/>
        <v>48</v>
      </c>
      <c r="AG157" s="1">
        <v>50</v>
      </c>
      <c r="AH157" s="1">
        <v>50</v>
      </c>
      <c r="AI157" s="1">
        <v>50</v>
      </c>
      <c r="AJ157" s="1">
        <v>70</v>
      </c>
      <c r="AK157" s="1">
        <v>70</v>
      </c>
      <c r="AL157" s="1">
        <v>95</v>
      </c>
      <c r="AM157" s="1">
        <v>95</v>
      </c>
      <c r="AN157" s="1">
        <v>120</v>
      </c>
      <c r="AO157" s="1">
        <v>120</v>
      </c>
      <c r="AP157" s="1">
        <v>95</v>
      </c>
      <c r="AQ157" s="1">
        <v>95</v>
      </c>
      <c r="AR157" s="1">
        <v>95</v>
      </c>
      <c r="AS157" s="1">
        <v>120</v>
      </c>
      <c r="AT157" s="1">
        <v>120</v>
      </c>
      <c r="AU157" s="1">
        <v>120</v>
      </c>
    </row>
    <row r="158" spans="2:47" x14ac:dyDescent="0.25">
      <c r="B158" s="383">
        <v>75</v>
      </c>
      <c r="C158" s="376">
        <v>70</v>
      </c>
      <c r="D158" s="64"/>
      <c r="E158" s="376">
        <v>1</v>
      </c>
      <c r="F158" s="31"/>
      <c r="G158" s="64"/>
      <c r="I158" s="180" t="s">
        <v>728</v>
      </c>
      <c r="J158" s="181">
        <f>VLOOKUP(Sheet2!F152,Sheet3!B153:G181,2,FALSE)</f>
        <v>95</v>
      </c>
      <c r="K158" s="31"/>
      <c r="M158" s="31">
        <f t="shared" si="12"/>
        <v>75</v>
      </c>
      <c r="N158" s="31">
        <f t="shared" si="13"/>
        <v>90</v>
      </c>
      <c r="O158" s="31">
        <f t="shared" si="14"/>
        <v>60</v>
      </c>
      <c r="AP158" s="1">
        <v>95</v>
      </c>
      <c r="AQ158" s="1">
        <v>95</v>
      </c>
      <c r="AR158" s="1">
        <v>95</v>
      </c>
      <c r="AS158" s="1">
        <v>120</v>
      </c>
      <c r="AT158" s="1">
        <v>120</v>
      </c>
      <c r="AU158" s="1">
        <v>120</v>
      </c>
    </row>
    <row r="159" spans="2:47" x14ac:dyDescent="0.25">
      <c r="B159" s="383">
        <v>80</v>
      </c>
      <c r="C159" s="376">
        <v>95</v>
      </c>
      <c r="D159" s="64"/>
      <c r="E159" s="376">
        <v>1</v>
      </c>
      <c r="F159" s="31"/>
      <c r="G159" s="64"/>
      <c r="I159" s="62" t="s">
        <v>729</v>
      </c>
      <c r="J159" s="182">
        <f>VLOOKUP(Sheet2!F152,Sheet3!B153:G181,3,FALSE)</f>
        <v>0</v>
      </c>
      <c r="K159" s="31"/>
      <c r="M159" s="31">
        <f t="shared" si="12"/>
        <v>80</v>
      </c>
      <c r="N159" s="31">
        <f t="shared" si="13"/>
        <v>96</v>
      </c>
      <c r="O159" s="31">
        <f t="shared" si="14"/>
        <v>64</v>
      </c>
      <c r="AP159" s="1">
        <v>95</v>
      </c>
      <c r="AQ159" s="1">
        <v>95</v>
      </c>
      <c r="AR159" s="1">
        <v>95</v>
      </c>
      <c r="AS159" s="1">
        <v>120</v>
      </c>
      <c r="AT159" s="1">
        <v>120</v>
      </c>
      <c r="AU159" s="1">
        <v>120</v>
      </c>
    </row>
    <row r="160" spans="2:47" x14ac:dyDescent="0.25">
      <c r="B160" s="383">
        <v>90</v>
      </c>
      <c r="C160" s="376">
        <v>95</v>
      </c>
      <c r="D160" s="64"/>
      <c r="E160" s="376">
        <v>1</v>
      </c>
      <c r="F160" s="31"/>
      <c r="G160" s="64"/>
      <c r="I160" s="62" t="s">
        <v>730</v>
      </c>
      <c r="J160" s="182">
        <f>VLOOKUP(Sheet2!F152,Sheet3!B153:G181,4,FALSE)</f>
        <v>1</v>
      </c>
      <c r="K160" s="31"/>
      <c r="M160" s="31">
        <f t="shared" si="12"/>
        <v>90</v>
      </c>
      <c r="N160" s="31">
        <f t="shared" si="13"/>
        <v>108</v>
      </c>
      <c r="O160" s="31">
        <f t="shared" si="14"/>
        <v>72</v>
      </c>
      <c r="AR160" s="1">
        <v>95</v>
      </c>
      <c r="AS160" s="1">
        <v>120</v>
      </c>
      <c r="AT160" s="1">
        <v>120</v>
      </c>
      <c r="AU160" s="1">
        <v>120</v>
      </c>
    </row>
    <row r="161" spans="2:47" x14ac:dyDescent="0.25">
      <c r="B161" s="383">
        <v>100</v>
      </c>
      <c r="C161" s="376">
        <v>95</v>
      </c>
      <c r="D161" s="64"/>
      <c r="E161" s="376">
        <v>1</v>
      </c>
      <c r="F161" s="31"/>
      <c r="G161" s="64"/>
      <c r="I161" s="62" t="s">
        <v>730</v>
      </c>
      <c r="J161" s="182">
        <f>VLOOKUP(Sheet2!F152,Sheet3!B153:G181,5,FALSE)</f>
        <v>0</v>
      </c>
      <c r="K161" s="388" t="s">
        <v>732</v>
      </c>
      <c r="M161" s="31">
        <f t="shared" si="12"/>
        <v>100</v>
      </c>
      <c r="N161" s="31">
        <f t="shared" si="13"/>
        <v>120</v>
      </c>
      <c r="O161" s="31">
        <f t="shared" si="14"/>
        <v>80</v>
      </c>
      <c r="AR161" s="1">
        <v>95</v>
      </c>
      <c r="AS161" s="1">
        <v>120</v>
      </c>
      <c r="AT161" s="1">
        <v>120</v>
      </c>
      <c r="AU161" s="1">
        <v>120</v>
      </c>
    </row>
    <row r="162" spans="2:47" ht="15.75" thickBot="1" x14ac:dyDescent="0.3">
      <c r="B162" s="383">
        <v>120</v>
      </c>
      <c r="C162" s="376">
        <v>50</v>
      </c>
      <c r="D162" s="64">
        <v>70</v>
      </c>
      <c r="E162" s="376">
        <v>1</v>
      </c>
      <c r="F162" s="31"/>
      <c r="G162" s="64">
        <v>1</v>
      </c>
      <c r="I162" s="183" t="s">
        <v>731</v>
      </c>
      <c r="J162" s="185">
        <f>VLOOKUP(Sheet2!F152,Sheet3!B153:G181,6,FALSE)</f>
        <v>0</v>
      </c>
      <c r="K162" s="31"/>
      <c r="M162" s="31">
        <f t="shared" si="12"/>
        <v>120</v>
      </c>
      <c r="N162" s="31">
        <f t="shared" si="13"/>
        <v>144</v>
      </c>
      <c r="O162" s="31">
        <f t="shared" si="14"/>
        <v>96</v>
      </c>
      <c r="AT162" s="1">
        <v>120</v>
      </c>
      <c r="AU162" s="1">
        <v>120</v>
      </c>
    </row>
    <row r="163" spans="2:47" x14ac:dyDescent="0.25">
      <c r="B163" s="383">
        <v>125</v>
      </c>
      <c r="C163" s="376">
        <v>50</v>
      </c>
      <c r="D163" s="64">
        <v>70</v>
      </c>
      <c r="E163" s="376">
        <v>1</v>
      </c>
      <c r="F163" s="31"/>
      <c r="G163" s="64">
        <v>1</v>
      </c>
      <c r="K163" s="31"/>
      <c r="M163" s="31">
        <f t="shared" si="12"/>
        <v>125</v>
      </c>
      <c r="N163" s="31">
        <f t="shared" si="13"/>
        <v>150</v>
      </c>
      <c r="O163" s="31">
        <f t="shared" si="14"/>
        <v>100</v>
      </c>
      <c r="AT163" s="1">
        <v>120</v>
      </c>
      <c r="AU163" s="1">
        <v>120</v>
      </c>
    </row>
    <row r="164" spans="2:47" x14ac:dyDescent="0.25">
      <c r="B164" s="383">
        <v>150</v>
      </c>
      <c r="C164" s="376">
        <v>70</v>
      </c>
      <c r="D164" s="64"/>
      <c r="E164" s="376">
        <v>2</v>
      </c>
      <c r="F164" s="31"/>
      <c r="G164" s="64"/>
      <c r="K164" s="31"/>
      <c r="M164" s="31">
        <f t="shared" si="12"/>
        <v>150</v>
      </c>
      <c r="N164" s="31">
        <f t="shared" si="13"/>
        <v>180</v>
      </c>
      <c r="O164" s="31">
        <f t="shared" si="14"/>
        <v>120</v>
      </c>
      <c r="AU164" s="1">
        <v>120</v>
      </c>
    </row>
    <row r="165" spans="2:47" x14ac:dyDescent="0.25">
      <c r="B165" s="383">
        <v>160</v>
      </c>
      <c r="C165" s="376">
        <v>70</v>
      </c>
      <c r="D165" s="64">
        <v>95</v>
      </c>
      <c r="E165" s="376">
        <v>1</v>
      </c>
      <c r="F165" s="31"/>
      <c r="G165" s="64">
        <v>1</v>
      </c>
      <c r="K165" s="31"/>
      <c r="M165" s="31">
        <f t="shared" si="12"/>
        <v>160</v>
      </c>
      <c r="N165" s="31">
        <f t="shared" si="13"/>
        <v>192</v>
      </c>
      <c r="O165" s="31">
        <f t="shared" si="14"/>
        <v>128</v>
      </c>
      <c r="AU165" s="1">
        <v>120</v>
      </c>
    </row>
    <row r="166" spans="2:47" x14ac:dyDescent="0.25">
      <c r="B166" s="383">
        <v>180</v>
      </c>
      <c r="C166" s="376">
        <v>95</v>
      </c>
      <c r="D166" s="64"/>
      <c r="E166" s="376">
        <v>2</v>
      </c>
      <c r="F166" s="31"/>
      <c r="G166" s="64"/>
      <c r="K166" s="31"/>
      <c r="M166" s="31">
        <f t="shared" si="12"/>
        <v>180</v>
      </c>
      <c r="N166" s="31">
        <f t="shared" si="13"/>
        <v>216</v>
      </c>
      <c r="O166" s="31">
        <f t="shared" si="14"/>
        <v>144</v>
      </c>
    </row>
    <row r="167" spans="2:47" x14ac:dyDescent="0.25">
      <c r="B167" s="383">
        <v>200</v>
      </c>
      <c r="C167" s="376">
        <v>50</v>
      </c>
      <c r="D167" s="64"/>
      <c r="E167" s="376">
        <v>4</v>
      </c>
      <c r="F167" s="31"/>
      <c r="G167" s="64"/>
      <c r="K167" s="31"/>
      <c r="M167" s="31">
        <f t="shared" si="12"/>
        <v>200</v>
      </c>
      <c r="N167" s="31">
        <f t="shared" si="13"/>
        <v>240</v>
      </c>
      <c r="O167" s="31">
        <f t="shared" si="14"/>
        <v>160</v>
      </c>
    </row>
    <row r="168" spans="2:47" x14ac:dyDescent="0.25">
      <c r="B168" s="383">
        <v>240</v>
      </c>
      <c r="C168" s="376">
        <v>50</v>
      </c>
      <c r="D168" s="64">
        <v>70</v>
      </c>
      <c r="E168" s="376">
        <v>2</v>
      </c>
      <c r="F168" s="31"/>
      <c r="G168" s="64">
        <v>2</v>
      </c>
      <c r="K168" s="31"/>
      <c r="M168" s="31">
        <f t="shared" si="12"/>
        <v>240</v>
      </c>
      <c r="N168" s="31">
        <f t="shared" si="13"/>
        <v>288</v>
      </c>
      <c r="O168" s="31">
        <f t="shared" si="14"/>
        <v>192</v>
      </c>
    </row>
    <row r="169" spans="2:47" x14ac:dyDescent="0.25">
      <c r="B169" s="383">
        <v>250</v>
      </c>
      <c r="C169" s="376">
        <v>50</v>
      </c>
      <c r="D169" s="64">
        <v>70</v>
      </c>
      <c r="E169" s="376">
        <v>2</v>
      </c>
      <c r="F169" s="31"/>
      <c r="G169" s="64">
        <v>2</v>
      </c>
      <c r="K169" s="31"/>
      <c r="M169" s="31">
        <f t="shared" si="12"/>
        <v>250</v>
      </c>
      <c r="N169" s="31">
        <f t="shared" si="13"/>
        <v>300</v>
      </c>
      <c r="O169" s="31">
        <f t="shared" si="14"/>
        <v>200</v>
      </c>
    </row>
    <row r="170" spans="2:47" x14ac:dyDescent="0.25">
      <c r="B170" s="383">
        <v>300</v>
      </c>
      <c r="C170" s="376">
        <v>70</v>
      </c>
      <c r="D170" s="64"/>
      <c r="E170" s="376">
        <v>4</v>
      </c>
      <c r="F170" s="31"/>
      <c r="G170" s="64"/>
      <c r="K170" s="31"/>
      <c r="M170" s="31">
        <f t="shared" si="12"/>
        <v>300</v>
      </c>
      <c r="N170" s="31">
        <f t="shared" si="13"/>
        <v>360</v>
      </c>
      <c r="O170" s="31">
        <f t="shared" si="14"/>
        <v>240</v>
      </c>
    </row>
    <row r="171" spans="2:47" x14ac:dyDescent="0.25">
      <c r="B171" s="383">
        <v>320</v>
      </c>
      <c r="C171" s="376">
        <v>70</v>
      </c>
      <c r="D171" s="64">
        <v>95</v>
      </c>
      <c r="E171" s="376">
        <v>2</v>
      </c>
      <c r="F171" s="31"/>
      <c r="G171" s="64">
        <v>2</v>
      </c>
      <c r="K171" s="31"/>
      <c r="M171" s="31">
        <f t="shared" si="12"/>
        <v>320</v>
      </c>
      <c r="N171" s="31">
        <f t="shared" si="13"/>
        <v>384</v>
      </c>
      <c r="O171" s="31">
        <f t="shared" si="14"/>
        <v>256</v>
      </c>
    </row>
    <row r="172" spans="2:47" x14ac:dyDescent="0.25">
      <c r="B172" s="383">
        <v>360</v>
      </c>
      <c r="C172" s="376">
        <v>95</v>
      </c>
      <c r="D172" s="64"/>
      <c r="E172" s="376">
        <v>4</v>
      </c>
      <c r="F172" s="31"/>
      <c r="G172" s="64"/>
      <c r="K172" s="31"/>
      <c r="M172" s="31">
        <f t="shared" si="12"/>
        <v>360</v>
      </c>
      <c r="N172" s="31">
        <f t="shared" si="13"/>
        <v>432</v>
      </c>
      <c r="O172" s="31">
        <f t="shared" si="14"/>
        <v>288</v>
      </c>
    </row>
    <row r="173" spans="2:47" x14ac:dyDescent="0.25">
      <c r="B173" s="383">
        <v>400</v>
      </c>
      <c r="C173" s="376">
        <v>95</v>
      </c>
      <c r="D173" s="64"/>
      <c r="E173" s="376">
        <v>4</v>
      </c>
      <c r="F173" s="31"/>
      <c r="G173" s="64"/>
      <c r="K173" s="31"/>
      <c r="M173" s="31">
        <f t="shared" si="12"/>
        <v>400</v>
      </c>
      <c r="N173" s="31">
        <f t="shared" si="13"/>
        <v>480</v>
      </c>
      <c r="O173" s="31">
        <f t="shared" si="14"/>
        <v>320</v>
      </c>
    </row>
    <row r="174" spans="2:47" x14ac:dyDescent="0.25">
      <c r="B174" s="383">
        <v>480</v>
      </c>
      <c r="C174" s="376">
        <v>120</v>
      </c>
      <c r="D174" s="64"/>
      <c r="E174" s="376">
        <v>4</v>
      </c>
      <c r="F174" s="31"/>
      <c r="G174" s="64"/>
      <c r="K174" s="31"/>
      <c r="M174" s="31">
        <f t="shared" si="12"/>
        <v>480</v>
      </c>
      <c r="N174" s="31">
        <f t="shared" si="13"/>
        <v>576</v>
      </c>
      <c r="O174" s="31">
        <f t="shared" si="14"/>
        <v>384</v>
      </c>
    </row>
    <row r="175" spans="2:47" x14ac:dyDescent="0.25">
      <c r="B175" s="383">
        <v>500</v>
      </c>
      <c r="C175" s="376">
        <v>120</v>
      </c>
      <c r="D175" s="64"/>
      <c r="E175" s="376">
        <v>4</v>
      </c>
      <c r="F175" s="31"/>
      <c r="G175" s="64"/>
      <c r="K175" s="31"/>
      <c r="M175" s="31">
        <f t="shared" si="12"/>
        <v>500</v>
      </c>
      <c r="N175" s="31">
        <f t="shared" si="13"/>
        <v>600</v>
      </c>
      <c r="O175" s="31">
        <f t="shared" si="14"/>
        <v>400</v>
      </c>
    </row>
    <row r="176" spans="2:47" x14ac:dyDescent="0.25">
      <c r="B176" s="383">
        <v>600</v>
      </c>
      <c r="C176" s="376">
        <v>95</v>
      </c>
      <c r="D176" s="64">
        <v>120</v>
      </c>
      <c r="E176" s="376">
        <v>4</v>
      </c>
      <c r="F176" s="31"/>
      <c r="G176" s="64">
        <v>2</v>
      </c>
      <c r="K176" s="31"/>
      <c r="M176" s="31">
        <f t="shared" si="12"/>
        <v>600</v>
      </c>
      <c r="N176" s="31">
        <f t="shared" si="13"/>
        <v>720</v>
      </c>
      <c r="O176" s="31">
        <f t="shared" si="14"/>
        <v>480</v>
      </c>
    </row>
    <row r="177" spans="2:16" x14ac:dyDescent="0.25">
      <c r="B177" s="383">
        <v>640</v>
      </c>
      <c r="C177" s="376">
        <v>95</v>
      </c>
      <c r="D177" s="64">
        <v>120</v>
      </c>
      <c r="E177" s="376">
        <v>4</v>
      </c>
      <c r="F177" s="31"/>
      <c r="G177" s="64">
        <v>2</v>
      </c>
      <c r="K177" s="31"/>
      <c r="M177" s="31">
        <f t="shared" si="12"/>
        <v>640</v>
      </c>
      <c r="N177" s="31">
        <f t="shared" si="13"/>
        <v>768</v>
      </c>
      <c r="O177" s="31">
        <f t="shared" si="14"/>
        <v>512</v>
      </c>
    </row>
    <row r="178" spans="2:16" x14ac:dyDescent="0.25">
      <c r="B178" s="383">
        <v>800</v>
      </c>
      <c r="C178" s="376">
        <v>95</v>
      </c>
      <c r="D178" s="64">
        <v>120</v>
      </c>
      <c r="E178" s="376">
        <v>8</v>
      </c>
      <c r="F178" s="31" t="s">
        <v>808</v>
      </c>
      <c r="G178" s="64">
        <v>0</v>
      </c>
      <c r="K178" s="31"/>
      <c r="M178" s="31">
        <f t="shared" si="12"/>
        <v>800</v>
      </c>
      <c r="N178" s="31">
        <f t="shared" si="13"/>
        <v>960</v>
      </c>
      <c r="O178" s="31">
        <f t="shared" si="14"/>
        <v>640</v>
      </c>
    </row>
    <row r="179" spans="2:16" x14ac:dyDescent="0.25">
      <c r="B179" s="383">
        <v>1000</v>
      </c>
      <c r="C179" s="376">
        <v>120</v>
      </c>
      <c r="D179" s="64"/>
      <c r="E179" s="376">
        <v>8</v>
      </c>
      <c r="F179" s="31"/>
      <c r="G179" s="64"/>
      <c r="K179" s="31"/>
      <c r="M179" s="31">
        <f t="shared" si="12"/>
        <v>1000</v>
      </c>
      <c r="N179" s="31">
        <f t="shared" si="13"/>
        <v>1200</v>
      </c>
      <c r="O179" s="31">
        <f t="shared" si="14"/>
        <v>800</v>
      </c>
    </row>
    <row r="180" spans="2:16" x14ac:dyDescent="0.25">
      <c r="B180" s="383">
        <v>1200</v>
      </c>
      <c r="C180" s="376">
        <v>120</v>
      </c>
      <c r="D180" s="64"/>
      <c r="E180" s="376">
        <v>10</v>
      </c>
      <c r="F180" s="31"/>
      <c r="G180" s="64"/>
      <c r="K180" s="31"/>
      <c r="M180" s="31">
        <f t="shared" si="12"/>
        <v>1200</v>
      </c>
      <c r="N180" s="31">
        <f t="shared" si="13"/>
        <v>1440</v>
      </c>
      <c r="O180" s="31">
        <f t="shared" si="14"/>
        <v>960</v>
      </c>
    </row>
    <row r="181" spans="2:16" ht="15.75" thickBot="1" x14ac:dyDescent="0.3">
      <c r="B181" s="384">
        <v>1440</v>
      </c>
      <c r="C181" s="377">
        <v>120</v>
      </c>
      <c r="D181" s="67"/>
      <c r="E181" s="377">
        <v>12</v>
      </c>
      <c r="F181" s="66"/>
      <c r="G181" s="67"/>
      <c r="K181" s="31"/>
      <c r="M181" s="31">
        <f t="shared" si="12"/>
        <v>1440</v>
      </c>
      <c r="N181" s="31">
        <f t="shared" si="13"/>
        <v>1728</v>
      </c>
      <c r="O181" s="31">
        <f t="shared" si="14"/>
        <v>1152</v>
      </c>
    </row>
    <row r="182" spans="2:16" ht="15.75" thickTop="1" x14ac:dyDescent="0.25">
      <c r="K182" s="1" t="s">
        <v>924</v>
      </c>
      <c r="L182" s="1">
        <f>Sheet5!B22*Sheet5!B23</f>
        <v>90</v>
      </c>
    </row>
    <row r="183" spans="2:16" x14ac:dyDescent="0.25">
      <c r="M183" s="1">
        <f>VLOOKUP(L182,M153:O181,2,FALSE)</f>
        <v>108</v>
      </c>
      <c r="N183" s="1">
        <f>VLOOKUP(L182,M153:O181,3,FALSE)</f>
        <v>72</v>
      </c>
      <c r="P183" s="1">
        <f>IF(Sheet5!H15=Sheet5!I15,PI()*Sheet5!H15*Sheet5!I15/4,Sheet5!H15*Sheet5!I15*Sheet5!H17*Sheet5!I17)</f>
        <v>2.8352873698647882</v>
      </c>
    </row>
    <row r="184" spans="2:16" x14ac:dyDescent="0.25">
      <c r="B184" s="389" t="s">
        <v>735</v>
      </c>
      <c r="C184" s="389"/>
      <c r="D184" s="389"/>
      <c r="E184" s="389"/>
      <c r="F184" s="31"/>
    </row>
    <row r="185" spans="2:16" x14ac:dyDescent="0.25">
      <c r="B185" s="389" t="s">
        <v>736</v>
      </c>
      <c r="C185" s="389">
        <v>1</v>
      </c>
      <c r="D185" s="389">
        <f>IF(Sheet2!B26&lt;560,20,25)</f>
        <v>20</v>
      </c>
      <c r="E185" s="389">
        <f>Sheet2!B31/2</f>
        <v>15</v>
      </c>
      <c r="F185" s="31"/>
      <c r="G185" s="390" t="s">
        <v>182</v>
      </c>
      <c r="H185" s="1">
        <f>VLOOKUP(Sheet2!F148,Sheet3!C185:E187,2,FALSE)</f>
        <v>20</v>
      </c>
    </row>
    <row r="186" spans="2:16" x14ac:dyDescent="0.25">
      <c r="B186" s="389"/>
      <c r="C186" s="389">
        <v>2</v>
      </c>
      <c r="D186" s="389">
        <v>15</v>
      </c>
      <c r="E186" s="389">
        <v>15</v>
      </c>
      <c r="F186" s="31"/>
      <c r="G186" s="390"/>
    </row>
    <row r="187" spans="2:16" x14ac:dyDescent="0.25">
      <c r="B187" s="389"/>
      <c r="C187" s="389">
        <v>4</v>
      </c>
      <c r="D187" s="389">
        <v>20</v>
      </c>
      <c r="E187" s="389">
        <v>20</v>
      </c>
      <c r="F187" s="31"/>
      <c r="G187" s="390" t="s">
        <v>738</v>
      </c>
      <c r="H187" s="1">
        <f>VLOOKUP(Sheet2!F148,Sheet3!C185:E187,3,FALSE)</f>
        <v>15</v>
      </c>
    </row>
    <row r="188" spans="2:16" x14ac:dyDescent="0.25">
      <c r="B188" s="389" t="s">
        <v>737</v>
      </c>
      <c r="C188" s="389"/>
      <c r="D188" s="389"/>
      <c r="E188" s="389"/>
      <c r="F188" s="31"/>
    </row>
    <row r="192" spans="2:16" x14ac:dyDescent="0.25">
      <c r="B192" s="435" t="s">
        <v>760</v>
      </c>
      <c r="C192" s="435" t="s">
        <v>761</v>
      </c>
      <c r="D192" s="435" t="s">
        <v>182</v>
      </c>
      <c r="E192" s="435" t="s">
        <v>738</v>
      </c>
    </row>
    <row r="193" spans="2:12" x14ac:dyDescent="0.25">
      <c r="B193" s="435">
        <v>20</v>
      </c>
      <c r="C193" s="435">
        <v>1</v>
      </c>
      <c r="D193" s="389">
        <v>10</v>
      </c>
      <c r="E193" s="389">
        <v>10</v>
      </c>
      <c r="G193" s="3" t="s">
        <v>762</v>
      </c>
      <c r="H193" s="1">
        <f>VLOOKUP(Sheet2!B31,Sheet3!B193:E202,2,FALSE)</f>
        <v>1</v>
      </c>
    </row>
    <row r="194" spans="2:12" x14ac:dyDescent="0.25">
      <c r="B194" s="435">
        <v>25</v>
      </c>
      <c r="C194" s="435">
        <v>1</v>
      </c>
      <c r="D194" s="389">
        <v>12.5</v>
      </c>
      <c r="E194" s="389">
        <v>12.5</v>
      </c>
      <c r="G194" s="3" t="s">
        <v>182</v>
      </c>
      <c r="H194" s="1">
        <f>VLOOKUP(Sheet2!B31,B193:E202,3,FALSE)</f>
        <v>15</v>
      </c>
    </row>
    <row r="195" spans="2:12" x14ac:dyDescent="0.25">
      <c r="B195" s="435">
        <v>30</v>
      </c>
      <c r="C195" s="435">
        <v>1</v>
      </c>
      <c r="D195" s="389">
        <v>15</v>
      </c>
      <c r="E195" s="389">
        <v>15</v>
      </c>
      <c r="G195" s="3" t="s">
        <v>738</v>
      </c>
      <c r="H195" s="1">
        <f>VLOOKUP(Sheet2!B31,B193:E202,4,FALSE)</f>
        <v>15</v>
      </c>
    </row>
    <row r="196" spans="2:12" x14ac:dyDescent="0.25">
      <c r="B196" s="435">
        <v>40</v>
      </c>
      <c r="C196" s="435">
        <v>1</v>
      </c>
      <c r="D196" s="389">
        <v>20</v>
      </c>
      <c r="E196" s="389">
        <v>20</v>
      </c>
    </row>
    <row r="197" spans="2:12" x14ac:dyDescent="0.25">
      <c r="B197" s="435">
        <v>50</v>
      </c>
      <c r="C197" s="435">
        <v>2</v>
      </c>
      <c r="D197" s="389">
        <v>12</v>
      </c>
      <c r="E197" s="389">
        <v>26</v>
      </c>
    </row>
    <row r="198" spans="2:12" x14ac:dyDescent="0.25">
      <c r="B198" s="435">
        <v>60</v>
      </c>
      <c r="C198" s="435">
        <v>2</v>
      </c>
      <c r="D198" s="389">
        <v>15</v>
      </c>
      <c r="E198" s="389">
        <v>30</v>
      </c>
    </row>
    <row r="199" spans="2:12" x14ac:dyDescent="0.25">
      <c r="B199" s="435">
        <v>80</v>
      </c>
      <c r="C199" s="435">
        <v>4</v>
      </c>
      <c r="D199" s="389">
        <v>20</v>
      </c>
      <c r="E199" s="389">
        <v>40</v>
      </c>
    </row>
    <row r="200" spans="2:12" x14ac:dyDescent="0.25">
      <c r="B200" s="435">
        <v>100</v>
      </c>
      <c r="C200" s="435">
        <v>4</v>
      </c>
      <c r="D200" s="389">
        <v>25</v>
      </c>
      <c r="E200" s="389">
        <v>50</v>
      </c>
    </row>
    <row r="201" spans="2:12" x14ac:dyDescent="0.25">
      <c r="B201" s="435">
        <v>120</v>
      </c>
      <c r="C201" s="435">
        <v>4</v>
      </c>
      <c r="D201" s="389">
        <v>30</v>
      </c>
      <c r="E201" s="389">
        <v>60</v>
      </c>
    </row>
    <row r="202" spans="2:12" x14ac:dyDescent="0.25">
      <c r="B202" s="435">
        <v>150</v>
      </c>
      <c r="C202" s="435">
        <v>4</v>
      </c>
      <c r="D202" s="389">
        <v>35</v>
      </c>
      <c r="E202" s="389">
        <v>80</v>
      </c>
    </row>
    <row r="204" spans="2:12" ht="15.75" thickBot="1" x14ac:dyDescent="0.3">
      <c r="B204" s="486" t="s">
        <v>763</v>
      </c>
      <c r="C204" s="1" t="s">
        <v>727</v>
      </c>
    </row>
    <row r="205" spans="2:12" ht="15.75" thickTop="1" x14ac:dyDescent="0.25">
      <c r="B205" s="487">
        <v>0</v>
      </c>
      <c r="C205" s="488">
        <v>38</v>
      </c>
      <c r="D205" s="489">
        <v>35</v>
      </c>
      <c r="E205" s="490"/>
      <c r="F205" s="489">
        <v>1</v>
      </c>
      <c r="G205" s="24"/>
      <c r="I205" s="180">
        <f>IF(AND(Sheet2!$B$29/4&gt;Sheet3!B205,Sheet2!$B$29/4&lt;=Sheet3!C205),Sheet3!D205,Sheet3!I206)</f>
        <v>35</v>
      </c>
      <c r="J205" s="59">
        <f>IF(AND(Sheet2!$B$29/4&gt;Sheet3!B205,Sheet2!$B$29/4&lt;=Sheet3!C205),E205,J206)</f>
        <v>0</v>
      </c>
      <c r="K205" s="59">
        <f>IF(AND(Sheet2!$B$29/4&gt;Sheet3!B205,Sheet2!$B$29/4&lt;=Sheet3!C205),F205,K206)</f>
        <v>1</v>
      </c>
      <c r="L205" s="181">
        <f>IF(AND(Sheet2!$B$29/4&gt;Sheet3!B205,Sheet2!$B$29/4&lt;=Sheet3!C205),G205,L206)</f>
        <v>0</v>
      </c>
    </row>
    <row r="206" spans="2:12" x14ac:dyDescent="0.25">
      <c r="B206" s="491">
        <f>C205</f>
        <v>38</v>
      </c>
      <c r="C206" s="182">
        <v>55</v>
      </c>
      <c r="D206" s="438">
        <v>50</v>
      </c>
      <c r="E206" s="437"/>
      <c r="F206" s="438">
        <v>1</v>
      </c>
      <c r="G206" s="492"/>
      <c r="I206" s="62">
        <f>IF(AND(Sheet2!$B$29/4&gt;Sheet3!B206,Sheet2!$B$29/4&lt;=Sheet3!C206),Sheet3!D206,Sheet3!I207)</f>
        <v>0</v>
      </c>
      <c r="J206" s="31">
        <f>IF(AND(Sheet2!$B$29/4&gt;Sheet3!B206,Sheet2!$B$29/4&lt;=Sheet3!C206),E206,J207)</f>
        <v>0</v>
      </c>
      <c r="K206" s="31">
        <f>IF(AND(Sheet2!$B$29/4&gt;Sheet3!B206,Sheet2!$B$29/4&lt;=Sheet3!C206),F206,K207)</f>
        <v>0</v>
      </c>
      <c r="L206" s="182">
        <f>IF(AND(Sheet2!$B$29/4&gt;Sheet3!B206,Sheet2!$B$29/4&lt;=Sheet3!C206),G206,L207)</f>
        <v>0</v>
      </c>
    </row>
    <row r="207" spans="2:12" x14ac:dyDescent="0.25">
      <c r="B207" s="491">
        <f t="shared" ref="B207:B227" si="15">C206</f>
        <v>55</v>
      </c>
      <c r="C207" s="182">
        <v>77</v>
      </c>
      <c r="D207" s="438">
        <v>70</v>
      </c>
      <c r="E207" s="437"/>
      <c r="F207" s="438">
        <v>1</v>
      </c>
      <c r="G207" s="492"/>
      <c r="I207" s="62">
        <f>IF(AND(Sheet2!$B$29/4&gt;Sheet3!B207,Sheet2!$B$29/4&lt;=Sheet3!C207),Sheet3!D207,Sheet3!I208)</f>
        <v>0</v>
      </c>
      <c r="J207" s="31">
        <f>IF(AND(Sheet2!$B$29/4&gt;Sheet3!B207,Sheet2!$B$29/4&lt;=Sheet3!C207),E207,J208)</f>
        <v>0</v>
      </c>
      <c r="K207" s="31">
        <f>IF(AND(Sheet2!$B$29/4&gt;Sheet3!B207,Sheet2!$B$29/4&lt;=Sheet3!C207),F207,K208)</f>
        <v>0</v>
      </c>
      <c r="L207" s="182">
        <f>IF(AND(Sheet2!$B$29/4&gt;Sheet3!B207,Sheet2!$B$29/4&lt;=Sheet3!C207),G207,L208)</f>
        <v>0</v>
      </c>
    </row>
    <row r="208" spans="2:12" x14ac:dyDescent="0.25">
      <c r="B208" s="491">
        <f t="shared" si="15"/>
        <v>77</v>
      </c>
      <c r="C208" s="182">
        <v>90</v>
      </c>
      <c r="D208" s="438">
        <v>95</v>
      </c>
      <c r="E208" s="437"/>
      <c r="F208" s="438">
        <v>1</v>
      </c>
      <c r="G208" s="492"/>
      <c r="I208" s="62">
        <f>IF(AND(Sheet2!$B$29/4&gt;Sheet3!B208,Sheet2!$B$29/4&lt;=Sheet3!C208),Sheet3!D208,Sheet3!I209)</f>
        <v>0</v>
      </c>
      <c r="J208" s="31">
        <f>IF(AND(Sheet2!$B$29/4&gt;Sheet3!B208,Sheet2!$B$29/4&lt;=Sheet3!C208),E208,J209)</f>
        <v>0</v>
      </c>
      <c r="K208" s="31">
        <f>IF(AND(Sheet2!$B$29/4&gt;Sheet3!B208,Sheet2!$B$29/4&lt;=Sheet3!C208),F208,K209)</f>
        <v>0</v>
      </c>
      <c r="L208" s="182">
        <f>IF(AND(Sheet2!$B$29/4&gt;Sheet3!B208,Sheet2!$B$29/4&lt;=Sheet3!C208),G208,L209)</f>
        <v>0</v>
      </c>
    </row>
    <row r="209" spans="2:12" x14ac:dyDescent="0.25">
      <c r="B209" s="491">
        <f t="shared" si="15"/>
        <v>90</v>
      </c>
      <c r="C209" s="182">
        <v>110</v>
      </c>
      <c r="D209" s="438">
        <v>50</v>
      </c>
      <c r="E209" s="437"/>
      <c r="F209" s="438">
        <v>2</v>
      </c>
      <c r="G209" s="492"/>
      <c r="I209" s="62">
        <f>IF(AND(Sheet2!$B$29/4&gt;Sheet3!B209,Sheet2!$B$29/4&lt;=Sheet3!C209),Sheet3!D209,Sheet3!I210)</f>
        <v>0</v>
      </c>
      <c r="J209" s="31">
        <f>IF(AND(Sheet2!$B$29/4&gt;Sheet3!B209,Sheet2!$B$29/4&lt;=Sheet3!C209),E209,J210)</f>
        <v>0</v>
      </c>
      <c r="K209" s="31">
        <f>IF(AND(Sheet2!$B$29/4&gt;Sheet3!B209,Sheet2!$B$29/4&lt;=Sheet3!C209),F209,K210)</f>
        <v>0</v>
      </c>
      <c r="L209" s="182">
        <f>IF(AND(Sheet2!$B$29/4&gt;Sheet3!B209,Sheet2!$B$29/4&lt;=Sheet3!C209),G209,L210)</f>
        <v>0</v>
      </c>
    </row>
    <row r="210" spans="2:12" x14ac:dyDescent="0.25">
      <c r="B210" s="491">
        <f t="shared" si="15"/>
        <v>110</v>
      </c>
      <c r="C210" s="182">
        <v>126</v>
      </c>
      <c r="D210" s="438">
        <v>50</v>
      </c>
      <c r="E210" s="437">
        <v>70</v>
      </c>
      <c r="F210" s="438">
        <v>1</v>
      </c>
      <c r="G210" s="492">
        <v>1</v>
      </c>
      <c r="I210" s="62">
        <f>IF(AND(Sheet2!$B$29/4&gt;Sheet3!B210,Sheet2!$B$29/4&lt;=Sheet3!C210),Sheet3!D210,Sheet3!I211)</f>
        <v>0</v>
      </c>
      <c r="J210" s="31">
        <f>IF(AND(Sheet2!$B$29/4&gt;Sheet3!B210,Sheet2!$B$29/4&lt;=Sheet3!C210),E210,J211)</f>
        <v>0</v>
      </c>
      <c r="K210" s="31">
        <f>IF(AND(Sheet2!$B$29/4&gt;Sheet3!B210,Sheet2!$B$29/4&lt;=Sheet3!C210),F210,K211)</f>
        <v>0</v>
      </c>
      <c r="L210" s="182">
        <f>IF(AND(Sheet2!$B$29/4&gt;Sheet3!B210,Sheet2!$B$29/4&lt;=Sheet3!C210),G210,L211)</f>
        <v>0</v>
      </c>
    </row>
    <row r="211" spans="2:12" x14ac:dyDescent="0.25">
      <c r="B211" s="491">
        <f t="shared" si="15"/>
        <v>126</v>
      </c>
      <c r="C211" s="182">
        <v>154</v>
      </c>
      <c r="D211" s="438">
        <v>70</v>
      </c>
      <c r="E211" s="437"/>
      <c r="F211" s="438">
        <v>2</v>
      </c>
      <c r="G211" s="492"/>
      <c r="I211" s="62">
        <f>IF(AND(Sheet2!$B$29/4&gt;Sheet3!B211,Sheet2!$B$29/4&lt;=Sheet3!C211),Sheet3!D211,Sheet3!I212)</f>
        <v>0</v>
      </c>
      <c r="J211" s="31">
        <f>IF(AND(Sheet2!$B$29/4&gt;Sheet3!B211,Sheet2!$B$29/4&lt;=Sheet3!C211),E211,J212)</f>
        <v>0</v>
      </c>
      <c r="K211" s="31">
        <f>IF(AND(Sheet2!$B$29/4&gt;Sheet3!B211,Sheet2!$B$29/4&lt;=Sheet3!C211),F211,K212)</f>
        <v>0</v>
      </c>
      <c r="L211" s="182">
        <f>IF(AND(Sheet2!$B$29/4&gt;Sheet3!B211,Sheet2!$B$29/4&lt;=Sheet3!C211),G211,L212)</f>
        <v>0</v>
      </c>
    </row>
    <row r="212" spans="2:12" x14ac:dyDescent="0.25">
      <c r="B212" s="491">
        <f t="shared" si="15"/>
        <v>154</v>
      </c>
      <c r="C212" s="182">
        <v>180</v>
      </c>
      <c r="D212" s="438">
        <v>70</v>
      </c>
      <c r="E212" s="437">
        <v>95</v>
      </c>
      <c r="F212" s="438">
        <v>1</v>
      </c>
      <c r="G212" s="492">
        <v>1</v>
      </c>
      <c r="I212" s="62">
        <f>IF(AND(Sheet2!$B$29/4&gt;Sheet3!B212,Sheet2!$B$29/4&lt;=Sheet3!C212),Sheet3!D212,Sheet3!I213)</f>
        <v>0</v>
      </c>
      <c r="J212" s="31">
        <f>IF(AND(Sheet2!$B$29/4&gt;Sheet3!B212,Sheet2!$B$29/4&lt;=Sheet3!C212),E212,J213)</f>
        <v>0</v>
      </c>
      <c r="K212" s="31">
        <f>IF(AND(Sheet2!$B$29/4&gt;Sheet3!B212,Sheet2!$B$29/4&lt;=Sheet3!C212),F212,K213)</f>
        <v>0</v>
      </c>
      <c r="L212" s="182">
        <f>IF(AND(Sheet2!$B$29/4&gt;Sheet3!B212,Sheet2!$B$29/4&lt;=Sheet3!C212),G212,L213)</f>
        <v>0</v>
      </c>
    </row>
    <row r="213" spans="2:12" x14ac:dyDescent="0.25">
      <c r="B213" s="491">
        <f t="shared" si="15"/>
        <v>180</v>
      </c>
      <c r="C213" s="182">
        <v>220</v>
      </c>
      <c r="D213" s="438">
        <v>50</v>
      </c>
      <c r="E213" s="437"/>
      <c r="F213" s="438">
        <v>4</v>
      </c>
      <c r="G213" s="492"/>
      <c r="I213" s="62">
        <f>IF(AND(Sheet2!$B$29/4&gt;Sheet3!B213,Sheet2!$B$29/4&lt;=Sheet3!C213),Sheet3!D213,Sheet3!I214)</f>
        <v>0</v>
      </c>
      <c r="J213" s="31">
        <f>IF(AND(Sheet2!$B$29/4&gt;Sheet3!B213,Sheet2!$B$29/4&lt;=Sheet3!C213),E213,J214)</f>
        <v>0</v>
      </c>
      <c r="K213" s="31">
        <f>IF(AND(Sheet2!$B$29/4&gt;Sheet3!B213,Sheet2!$B$29/4&lt;=Sheet3!C213),F213,K214)</f>
        <v>0</v>
      </c>
      <c r="L213" s="182">
        <f>IF(AND(Sheet2!$B$29/4&gt;Sheet3!B213,Sheet2!$B$29/4&lt;=Sheet3!C213),G213,L214)</f>
        <v>0</v>
      </c>
    </row>
    <row r="214" spans="2:12" x14ac:dyDescent="0.25">
      <c r="B214" s="491">
        <f t="shared" si="15"/>
        <v>220</v>
      </c>
      <c r="C214" s="182">
        <v>260</v>
      </c>
      <c r="D214" s="438">
        <v>50</v>
      </c>
      <c r="E214" s="437">
        <v>70</v>
      </c>
      <c r="F214" s="438">
        <v>2</v>
      </c>
      <c r="G214" s="492">
        <v>2</v>
      </c>
      <c r="I214" s="62">
        <f>IF(AND(Sheet2!$B$29/4&gt;Sheet3!B214,Sheet2!$B$29/4&lt;=Sheet3!C214),Sheet3!D214,Sheet3!I215)</f>
        <v>0</v>
      </c>
      <c r="J214" s="31">
        <f>IF(AND(Sheet2!$B$29/4&gt;Sheet3!B214,Sheet2!$B$29/4&lt;=Sheet3!C214),E214,J215)</f>
        <v>0</v>
      </c>
      <c r="K214" s="31">
        <f>IF(AND(Sheet2!$B$29/4&gt;Sheet3!B214,Sheet2!$B$29/4&lt;=Sheet3!C214),F214,K215)</f>
        <v>0</v>
      </c>
      <c r="L214" s="182">
        <f>IF(AND(Sheet2!$B$29/4&gt;Sheet3!B214,Sheet2!$B$29/4&lt;=Sheet3!C214),G214,L215)</f>
        <v>0</v>
      </c>
    </row>
    <row r="215" spans="2:12" x14ac:dyDescent="0.25">
      <c r="B215" s="491">
        <f t="shared" si="15"/>
        <v>260</v>
      </c>
      <c r="C215" s="182">
        <v>305</v>
      </c>
      <c r="D215" s="438">
        <v>70</v>
      </c>
      <c r="E215" s="437"/>
      <c r="F215" s="438">
        <v>4</v>
      </c>
      <c r="G215" s="492"/>
      <c r="I215" s="62">
        <f>IF(AND(Sheet2!$B$29/4&gt;Sheet3!B215,Sheet2!$B$29/4&lt;=Sheet3!C215),Sheet3!D215,Sheet3!I216)</f>
        <v>0</v>
      </c>
      <c r="J215" s="31">
        <f>IF(AND(Sheet2!$B$29/4&gt;Sheet3!B215,Sheet2!$B$29/4&lt;=Sheet3!C215),E215,J216)</f>
        <v>0</v>
      </c>
      <c r="K215" s="31">
        <f>IF(AND(Sheet2!$B$29/4&gt;Sheet3!B215,Sheet2!$B$29/4&lt;=Sheet3!C215),F215,K216)</f>
        <v>0</v>
      </c>
      <c r="L215" s="182">
        <f>IF(AND(Sheet2!$B$29/4&gt;Sheet3!B215,Sheet2!$B$29/4&lt;=Sheet3!C215),G215,L216)</f>
        <v>0</v>
      </c>
    </row>
    <row r="216" spans="2:12" x14ac:dyDescent="0.25">
      <c r="B216" s="491">
        <f t="shared" si="15"/>
        <v>305</v>
      </c>
      <c r="C216" s="182">
        <v>362</v>
      </c>
      <c r="D216" s="438">
        <v>70</v>
      </c>
      <c r="E216" s="437">
        <v>95</v>
      </c>
      <c r="F216" s="438">
        <v>2</v>
      </c>
      <c r="G216" s="492">
        <v>2</v>
      </c>
      <c r="I216" s="62">
        <f>IF(AND(Sheet2!$B$29/4&gt;Sheet3!B216,Sheet2!$B$29/4&lt;=Sheet3!C216),Sheet3!D216,Sheet3!I217)</f>
        <v>0</v>
      </c>
      <c r="J216" s="31">
        <f>IF(AND(Sheet2!$B$29/4&gt;Sheet3!B216,Sheet2!$B$29/4&lt;=Sheet3!C216),E216,J217)</f>
        <v>0</v>
      </c>
      <c r="K216" s="31">
        <f>IF(AND(Sheet2!$B$29/4&gt;Sheet3!B216,Sheet2!$B$29/4&lt;=Sheet3!C216),F216,K217)</f>
        <v>0</v>
      </c>
      <c r="L216" s="182">
        <f>IF(AND(Sheet2!$B$29/4&gt;Sheet3!B216,Sheet2!$B$29/4&lt;=Sheet3!C216),G216,L217)</f>
        <v>0</v>
      </c>
    </row>
    <row r="217" spans="2:12" x14ac:dyDescent="0.25">
      <c r="B217" s="491">
        <f t="shared" si="15"/>
        <v>362</v>
      </c>
      <c r="C217" s="182">
        <v>415</v>
      </c>
      <c r="D217" s="438">
        <v>95</v>
      </c>
      <c r="E217" s="437"/>
      <c r="F217" s="438">
        <v>4</v>
      </c>
      <c r="G217" s="492"/>
      <c r="I217" s="62">
        <f>IF(AND(Sheet2!$B$29/4&gt;Sheet3!B217,Sheet2!$B$29/4&lt;=Sheet3!C217),Sheet3!D217,Sheet3!I218)</f>
        <v>0</v>
      </c>
      <c r="J217" s="31">
        <f>IF(AND(Sheet2!$B$29/4&gt;Sheet3!B217,Sheet2!$B$29/4&lt;=Sheet3!C217),E217,J218)</f>
        <v>0</v>
      </c>
      <c r="K217" s="31">
        <f>IF(AND(Sheet2!$B$29/4&gt;Sheet3!B217,Sheet2!$B$29/4&lt;=Sheet3!C217),F217,K218)</f>
        <v>0</v>
      </c>
      <c r="L217" s="182">
        <f>IF(AND(Sheet2!$B$29/4&gt;Sheet3!B217,Sheet2!$B$29/4&lt;=Sheet3!C217),G217,L218)</f>
        <v>0</v>
      </c>
    </row>
    <row r="218" spans="2:12" x14ac:dyDescent="0.25">
      <c r="B218" s="491">
        <f t="shared" si="15"/>
        <v>415</v>
      </c>
      <c r="C218" s="182">
        <v>430</v>
      </c>
      <c r="D218" s="438">
        <v>95</v>
      </c>
      <c r="E218" s="437">
        <v>120</v>
      </c>
      <c r="F218" s="438">
        <v>2</v>
      </c>
      <c r="G218" s="492">
        <v>2</v>
      </c>
      <c r="I218" s="62">
        <f>IF(AND(Sheet2!$B$29/4&gt;Sheet3!B218,Sheet2!$B$29/4&lt;=Sheet3!C218),Sheet3!D218,Sheet3!I219)</f>
        <v>0</v>
      </c>
      <c r="J218" s="31">
        <f>IF(AND(Sheet2!$B$29/4&gt;Sheet3!B218,Sheet2!$B$29/4&lt;=Sheet3!C218),E218,J219)</f>
        <v>0</v>
      </c>
      <c r="K218" s="31">
        <f>IF(AND(Sheet2!$B$29/4&gt;Sheet3!B218,Sheet2!$B$29/4&lt;=Sheet3!C218),F218,K219)</f>
        <v>0</v>
      </c>
      <c r="L218" s="182">
        <f>IF(AND(Sheet2!$B$29/4&gt;Sheet3!B218,Sheet2!$B$29/4&lt;=Sheet3!C218),G218,L219)</f>
        <v>0</v>
      </c>
    </row>
    <row r="219" spans="2:12" x14ac:dyDescent="0.25">
      <c r="B219" s="491">
        <f t="shared" si="15"/>
        <v>430</v>
      </c>
      <c r="C219" s="182">
        <v>520</v>
      </c>
      <c r="D219" s="438">
        <v>120</v>
      </c>
      <c r="E219" s="437"/>
      <c r="F219" s="438">
        <v>4</v>
      </c>
      <c r="G219" s="492"/>
      <c r="I219" s="62">
        <f>IF(AND(Sheet2!$B$29/4&gt;Sheet3!B219,Sheet2!$B$29/4&lt;=Sheet3!C219),Sheet3!D219,Sheet3!I220)</f>
        <v>0</v>
      </c>
      <c r="J219" s="31">
        <f>IF(AND(Sheet2!$B$29/4&gt;Sheet3!B219,Sheet2!$B$29/4&lt;=Sheet3!C219),E219,J220)</f>
        <v>0</v>
      </c>
      <c r="K219" s="31">
        <f>IF(AND(Sheet2!$B$29/4&gt;Sheet3!B219,Sheet2!$B$29/4&lt;=Sheet3!C219),F219,K220)</f>
        <v>0</v>
      </c>
      <c r="L219" s="182">
        <f>IF(AND(Sheet2!$B$29/4&gt;Sheet3!B219,Sheet2!$B$29/4&lt;=Sheet3!C219),G219,L220)</f>
        <v>0</v>
      </c>
    </row>
    <row r="220" spans="2:12" x14ac:dyDescent="0.25">
      <c r="B220" s="491">
        <f t="shared" si="15"/>
        <v>520</v>
      </c>
      <c r="C220" s="182">
        <v>625</v>
      </c>
      <c r="D220" s="438">
        <v>95</v>
      </c>
      <c r="E220" s="437"/>
      <c r="F220" s="438">
        <v>6</v>
      </c>
      <c r="G220" s="492"/>
      <c r="I220" s="62">
        <f>IF(AND(Sheet2!$B$29/4&gt;Sheet3!B220,Sheet2!$B$29/4&lt;=Sheet3!C220),Sheet3!D220,Sheet3!I221)</f>
        <v>0</v>
      </c>
      <c r="J220" s="31">
        <f>IF(AND(Sheet2!$B$29/4&gt;Sheet3!B220,Sheet2!$B$29/4&lt;=Sheet3!C220),E220,J221)</f>
        <v>0</v>
      </c>
      <c r="K220" s="31">
        <f>IF(AND(Sheet2!$B$29/4&gt;Sheet3!B220,Sheet2!$B$29/4&lt;=Sheet3!C220),F220,K221)</f>
        <v>0</v>
      </c>
      <c r="L220" s="182">
        <f>IF(AND(Sheet2!$B$29/4&gt;Sheet3!B220,Sheet2!$B$29/4&lt;=Sheet3!C220),G220,L221)</f>
        <v>0</v>
      </c>
    </row>
    <row r="221" spans="2:12" x14ac:dyDescent="0.25">
      <c r="B221" s="491">
        <f t="shared" si="15"/>
        <v>625</v>
      </c>
      <c r="C221" s="182">
        <v>684</v>
      </c>
      <c r="D221" s="438">
        <v>95</v>
      </c>
      <c r="E221" s="437">
        <v>120</v>
      </c>
      <c r="F221" s="438">
        <v>4</v>
      </c>
      <c r="G221" s="492">
        <v>2</v>
      </c>
      <c r="I221" s="62">
        <f>IF(AND(Sheet2!$B$29/4&gt;Sheet3!B221,Sheet2!$B$29/4&lt;=Sheet3!C221),Sheet3!D221,Sheet3!I222)</f>
        <v>0</v>
      </c>
      <c r="J221" s="31">
        <f>IF(AND(Sheet2!$B$29/4&gt;Sheet3!B221,Sheet2!$B$29/4&lt;=Sheet3!C221),E221,J222)</f>
        <v>0</v>
      </c>
      <c r="K221" s="31">
        <f>IF(AND(Sheet2!$B$29/4&gt;Sheet3!B221,Sheet2!$B$29/4&lt;=Sheet3!C221),F221,K222)</f>
        <v>0</v>
      </c>
      <c r="L221" s="182">
        <f>IF(AND(Sheet2!$B$29/4&gt;Sheet3!B221,Sheet2!$B$29/4&lt;=Sheet3!C221),G221,L222)</f>
        <v>0</v>
      </c>
    </row>
    <row r="222" spans="2:12" x14ac:dyDescent="0.25">
      <c r="B222" s="491">
        <f t="shared" si="15"/>
        <v>684</v>
      </c>
      <c r="C222" s="182">
        <v>830</v>
      </c>
      <c r="D222" s="438">
        <v>95</v>
      </c>
      <c r="E222" s="437"/>
      <c r="F222" s="438">
        <v>8</v>
      </c>
      <c r="G222" s="492"/>
      <c r="I222" s="62">
        <f>IF(AND(Sheet2!$B$29/4&gt;Sheet3!B222,Sheet2!$B$29/4&lt;=Sheet3!C222),Sheet3!D222,Sheet3!I223)</f>
        <v>0</v>
      </c>
      <c r="J222" s="31">
        <f>IF(AND(Sheet2!$B$29/4&gt;Sheet3!B222,Sheet2!$B$29/4&lt;=Sheet3!C222),E222,J223)</f>
        <v>0</v>
      </c>
      <c r="K222" s="31">
        <f>IF(AND(Sheet2!$B$29/4&gt;Sheet3!B222,Sheet2!$B$29/4&lt;=Sheet3!C222),F222,K223)</f>
        <v>0</v>
      </c>
      <c r="L222" s="182">
        <f>IF(AND(Sheet2!$B$29/4&gt;Sheet3!B222,Sheet2!$B$29/4&lt;=Sheet3!C222),G222,L223)</f>
        <v>0</v>
      </c>
    </row>
    <row r="223" spans="2:12" x14ac:dyDescent="0.25">
      <c r="B223" s="491">
        <f t="shared" si="15"/>
        <v>830</v>
      </c>
      <c r="C223" s="182">
        <v>890</v>
      </c>
      <c r="D223" s="438">
        <v>95</v>
      </c>
      <c r="E223" s="437">
        <v>120</v>
      </c>
      <c r="F223" s="438">
        <v>6</v>
      </c>
      <c r="G223" s="492">
        <v>2</v>
      </c>
      <c r="I223" s="62">
        <f>IF(AND(Sheet2!$B$29/4&gt;Sheet3!B223,Sheet2!$B$29/4&lt;=Sheet3!C223),Sheet3!D223,Sheet3!I224)</f>
        <v>0</v>
      </c>
      <c r="J223" s="31">
        <f>IF(AND(Sheet2!$B$29/4&gt;Sheet3!B223,Sheet2!$B$29/4&lt;=Sheet3!C223),E223,J224)</f>
        <v>0</v>
      </c>
      <c r="K223" s="31">
        <f>IF(AND(Sheet2!$B$29/4&gt;Sheet3!B223,Sheet2!$B$29/4&lt;=Sheet3!C223),F223,K224)</f>
        <v>0</v>
      </c>
      <c r="L223" s="182">
        <f>IF(AND(Sheet2!$B$29/4&gt;Sheet3!B223,Sheet2!$B$29/4&lt;=Sheet3!C223),G223,L224)</f>
        <v>0</v>
      </c>
    </row>
    <row r="224" spans="2:12" x14ac:dyDescent="0.25">
      <c r="B224" s="491">
        <f t="shared" si="15"/>
        <v>890</v>
      </c>
      <c r="C224" s="182">
        <v>1000</v>
      </c>
      <c r="D224" s="438">
        <v>120</v>
      </c>
      <c r="E224" s="437"/>
      <c r="F224" s="438">
        <v>8</v>
      </c>
      <c r="G224" s="492"/>
      <c r="I224" s="62">
        <f>IF(AND(Sheet2!$B$29/4&gt;Sheet3!B224,Sheet2!$B$29/4&lt;=Sheet3!C224),Sheet3!D224,Sheet3!I225)</f>
        <v>0</v>
      </c>
      <c r="J224" s="31">
        <f>IF(AND(Sheet2!$B$29/4&gt;Sheet3!B224,Sheet2!$B$29/4&lt;=Sheet3!C224),E224,J225)</f>
        <v>0</v>
      </c>
      <c r="K224" s="31">
        <f>IF(AND(Sheet2!$B$29/4&gt;Sheet3!B224,Sheet2!$B$29/4&lt;=Sheet3!C224),F224,K225)</f>
        <v>0</v>
      </c>
      <c r="L224" s="182">
        <f>IF(AND(Sheet2!$B$29/4&gt;Sheet3!B224,Sheet2!$B$29/4&lt;=Sheet3!C224),G224,L225)</f>
        <v>0</v>
      </c>
    </row>
    <row r="225" spans="2:12" x14ac:dyDescent="0.25">
      <c r="B225" s="491">
        <f t="shared" si="15"/>
        <v>1000</v>
      </c>
      <c r="C225" s="182">
        <v>1200</v>
      </c>
      <c r="D225" s="438">
        <v>120</v>
      </c>
      <c r="E225" s="437">
        <v>95</v>
      </c>
      <c r="F225" s="438">
        <v>8</v>
      </c>
      <c r="G225" s="492">
        <v>2</v>
      </c>
      <c r="I225" s="62">
        <f>IF(AND(Sheet2!$B$29/4&gt;Sheet3!B225,Sheet2!$B$29/4&lt;=Sheet3!C225),Sheet3!D225,Sheet3!I226)</f>
        <v>0</v>
      </c>
      <c r="J225" s="31">
        <f>IF(AND(Sheet2!$B$29/4&gt;Sheet3!B225,Sheet2!$B$29/4&lt;=Sheet3!C225),E225,J226)</f>
        <v>0</v>
      </c>
      <c r="K225" s="31">
        <f>IF(AND(Sheet2!$B$29/4&gt;Sheet3!B225,Sheet2!$B$29/4&lt;=Sheet3!C225),F225,K226)</f>
        <v>0</v>
      </c>
      <c r="L225" s="182">
        <f>IF(AND(Sheet2!$B$29/4&gt;Sheet3!B225,Sheet2!$B$29/4&lt;=Sheet3!C225),G225,L226)</f>
        <v>0</v>
      </c>
    </row>
    <row r="226" spans="2:12" x14ac:dyDescent="0.25">
      <c r="B226" s="491">
        <f t="shared" si="15"/>
        <v>1200</v>
      </c>
      <c r="C226" s="182">
        <v>1300</v>
      </c>
      <c r="D226" s="438">
        <v>120</v>
      </c>
      <c r="E226" s="437"/>
      <c r="F226" s="438">
        <v>10</v>
      </c>
      <c r="G226" s="492"/>
      <c r="I226" s="62">
        <f>IF(AND(Sheet2!$B$29/4&gt;Sheet3!B226,Sheet2!$B$29/4&lt;=Sheet3!C226),Sheet3!D226,Sheet3!I227)</f>
        <v>0</v>
      </c>
      <c r="J226" s="31">
        <f>IF(AND(Sheet2!$B$29/4&gt;Sheet3!B226,Sheet2!$B$29/4&lt;=Sheet3!C226),E226,J227)</f>
        <v>0</v>
      </c>
      <c r="K226" s="31">
        <f>IF(AND(Sheet2!$B$29/4&gt;Sheet3!B226,Sheet2!$B$29/4&lt;=Sheet3!C226),F226,K227)</f>
        <v>0</v>
      </c>
      <c r="L226" s="182">
        <f>IF(AND(Sheet2!$B$29/4&gt;Sheet3!B226,Sheet2!$B$29/4&lt;=Sheet3!C226),G226,L227)</f>
        <v>0</v>
      </c>
    </row>
    <row r="227" spans="2:12" ht="15.75" thickBot="1" x14ac:dyDescent="0.3">
      <c r="B227" s="493">
        <f t="shared" si="15"/>
        <v>1300</v>
      </c>
      <c r="C227" s="494">
        <v>1575</v>
      </c>
      <c r="D227" s="495">
        <v>120</v>
      </c>
      <c r="E227" s="496"/>
      <c r="F227" s="495">
        <v>12</v>
      </c>
      <c r="G227" s="497"/>
      <c r="I227" s="183">
        <f>IF(AND(Sheet2!$B$29/4&gt;Sheet3!B227,Sheet2!$B$29/4&lt;=Sheet3!C227),Sheet3!D227,Sheet3!I228)</f>
        <v>0</v>
      </c>
      <c r="J227" s="184">
        <f>IF(AND(Sheet2!$B$29/4&gt;Sheet3!B227,Sheet2!$B$29/4&lt;=Sheet3!C227),E227,J228)</f>
        <v>0</v>
      </c>
      <c r="K227" s="184">
        <f>IF(AND(Sheet2!$B$29/4&gt;Sheet3!B227,Sheet2!$B$29/4&lt;=Sheet3!C227),F227,K228)</f>
        <v>0</v>
      </c>
      <c r="L227" s="185">
        <f>IF(AND(Sheet2!$B$29/4&gt;Sheet3!B227,Sheet2!$B$29/4&lt;=Sheet3!C227),G227,L228)</f>
        <v>0</v>
      </c>
    </row>
    <row r="228" spans="2:12" ht="15.75" thickTop="1" x14ac:dyDescent="0.25">
      <c r="B228" s="26"/>
      <c r="D228" s="26"/>
      <c r="E228" s="26"/>
      <c r="F228" s="26"/>
      <c r="G228" s="26"/>
    </row>
    <row r="229" spans="2:12" x14ac:dyDescent="0.25">
      <c r="B229" s="26"/>
      <c r="C229" s="26"/>
      <c r="D229" s="26"/>
      <c r="E229" s="26"/>
      <c r="F229" s="26"/>
    </row>
    <row r="230" spans="2:12" ht="15.75" thickBot="1" x14ac:dyDescent="0.3">
      <c r="B230" s="26"/>
      <c r="C230" s="26"/>
      <c r="D230" s="26"/>
      <c r="E230" s="26"/>
      <c r="F230" s="26"/>
    </row>
    <row r="231" spans="2:12" ht="16.5" thickTop="1" thickBot="1" x14ac:dyDescent="0.3">
      <c r="B231" s="26"/>
      <c r="C231" s="26"/>
      <c r="D231" s="26"/>
      <c r="E231" s="26"/>
      <c r="F231" s="26"/>
      <c r="H231" s="212" t="s">
        <v>831</v>
      </c>
      <c r="I231" s="212" t="s">
        <v>834</v>
      </c>
      <c r="J231" s="212" t="s">
        <v>832</v>
      </c>
      <c r="K231" s="212" t="s">
        <v>833</v>
      </c>
    </row>
    <row r="232" spans="2:12" ht="16.5" thickTop="1" thickBot="1" x14ac:dyDescent="0.3">
      <c r="B232" s="26"/>
      <c r="C232" s="26"/>
      <c r="D232" s="26"/>
      <c r="E232" s="26"/>
      <c r="F232" s="26"/>
      <c r="H232" s="212">
        <f>I205</f>
        <v>35</v>
      </c>
      <c r="I232" s="212">
        <f>K205</f>
        <v>1</v>
      </c>
      <c r="J232" s="212">
        <f>J205</f>
        <v>0</v>
      </c>
      <c r="K232" s="212">
        <f>L205</f>
        <v>0</v>
      </c>
    </row>
    <row r="233" spans="2:12" ht="15.75" thickTop="1" x14ac:dyDescent="0.25">
      <c r="B233" s="26"/>
      <c r="C233" s="26"/>
      <c r="D233" s="26"/>
      <c r="E233" s="26"/>
      <c r="F233" s="26"/>
    </row>
    <row r="235" spans="2:12" ht="15.75" thickBot="1" x14ac:dyDescent="0.3"/>
    <row r="236" spans="2:12" ht="17.25" thickTop="1" thickBot="1" x14ac:dyDescent="0.3">
      <c r="B236" s="367" t="s">
        <v>697</v>
      </c>
      <c r="C236" s="368">
        <v>35</v>
      </c>
    </row>
    <row r="237" spans="2:12" ht="17.25" thickTop="1" thickBot="1" x14ac:dyDescent="0.3">
      <c r="B237" s="368"/>
      <c r="C237" s="371">
        <v>50</v>
      </c>
    </row>
    <row r="238" spans="2:12" ht="17.25" thickTop="1" thickBot="1" x14ac:dyDescent="0.3">
      <c r="B238" s="368"/>
      <c r="C238" s="368">
        <v>70</v>
      </c>
    </row>
    <row r="239" spans="2:12" ht="17.25" thickTop="1" thickBot="1" x14ac:dyDescent="0.3">
      <c r="B239" s="368"/>
      <c r="C239" s="368">
        <v>95</v>
      </c>
    </row>
    <row r="240" spans="2:12" ht="17.25" thickTop="1" thickBot="1" x14ac:dyDescent="0.3">
      <c r="B240" s="368"/>
      <c r="C240" s="368">
        <v>120</v>
      </c>
      <c r="F240" s="1" t="s">
        <v>463</v>
      </c>
    </row>
    <row r="241" spans="2:15" ht="15.75" thickTop="1" x14ac:dyDescent="0.25"/>
    <row r="242" spans="2:15" ht="15.75" thickBot="1" x14ac:dyDescent="0.3"/>
    <row r="243" spans="2:15" ht="16.5" thickTop="1" thickBot="1" x14ac:dyDescent="0.3">
      <c r="B243" s="212" t="s">
        <v>782</v>
      </c>
      <c r="C243" s="212" t="s">
        <v>783</v>
      </c>
      <c r="D243" s="212" t="s">
        <v>784</v>
      </c>
      <c r="E243" s="212" t="s">
        <v>785</v>
      </c>
      <c r="F243" s="212"/>
      <c r="G243" s="212"/>
      <c r="H243" s="372"/>
      <c r="I243" s="372"/>
      <c r="J243" s="212" t="s">
        <v>76</v>
      </c>
      <c r="K243" s="372"/>
      <c r="L243" s="372"/>
      <c r="M243" s="372"/>
      <c r="O243" s="1" t="s">
        <v>785</v>
      </c>
    </row>
    <row r="244" spans="2:15" ht="16.5" thickTop="1" thickBot="1" x14ac:dyDescent="0.3">
      <c r="B244" s="11" t="s">
        <v>67</v>
      </c>
      <c r="C244" s="212">
        <v>65</v>
      </c>
      <c r="D244" s="212">
        <v>12</v>
      </c>
      <c r="E244" s="212">
        <v>6</v>
      </c>
      <c r="F244" s="212">
        <v>0</v>
      </c>
      <c r="G244" s="212">
        <v>0</v>
      </c>
      <c r="H244" s="372">
        <v>0</v>
      </c>
      <c r="I244" s="372">
        <v>6</v>
      </c>
      <c r="J244" s="212">
        <v>5</v>
      </c>
      <c r="K244" s="212">
        <v>0</v>
      </c>
      <c r="L244" s="212">
        <v>0</v>
      </c>
      <c r="M244" s="212">
        <v>0</v>
      </c>
    </row>
    <row r="245" spans="2:15" ht="16.5" thickTop="1" thickBot="1" x14ac:dyDescent="0.3">
      <c r="B245" s="11" t="s">
        <v>56</v>
      </c>
      <c r="C245" s="212">
        <v>93</v>
      </c>
      <c r="D245" s="212">
        <v>10</v>
      </c>
      <c r="E245" s="212">
        <v>16</v>
      </c>
      <c r="F245" s="212">
        <v>30</v>
      </c>
      <c r="G245" s="372">
        <v>0</v>
      </c>
      <c r="H245" s="372">
        <v>0</v>
      </c>
      <c r="I245" s="212">
        <v>16</v>
      </c>
      <c r="J245" s="212">
        <v>11</v>
      </c>
      <c r="K245" s="212">
        <v>11</v>
      </c>
      <c r="L245" s="212">
        <v>0</v>
      </c>
      <c r="M245" s="212">
        <v>0</v>
      </c>
    </row>
    <row r="246" spans="2:15" ht="16.5" thickTop="1" thickBot="1" x14ac:dyDescent="0.3">
      <c r="B246" s="11" t="s">
        <v>57</v>
      </c>
      <c r="C246" s="212">
        <v>100</v>
      </c>
      <c r="D246" s="212">
        <v>12</v>
      </c>
      <c r="E246" s="212">
        <v>15</v>
      </c>
      <c r="F246" s="212">
        <v>40</v>
      </c>
      <c r="G246" s="372">
        <v>0</v>
      </c>
      <c r="H246" s="372">
        <v>0</v>
      </c>
      <c r="I246" s="212">
        <v>15</v>
      </c>
      <c r="J246" s="212">
        <v>11</v>
      </c>
      <c r="K246" s="212">
        <v>11</v>
      </c>
      <c r="L246" s="212">
        <v>0</v>
      </c>
      <c r="M246" s="212">
        <v>0</v>
      </c>
    </row>
    <row r="247" spans="2:15" ht="16.5" thickTop="1" thickBot="1" x14ac:dyDescent="0.3">
      <c r="B247" s="11" t="s">
        <v>58</v>
      </c>
      <c r="C247" s="212">
        <v>103</v>
      </c>
      <c r="D247" s="212">
        <v>14</v>
      </c>
      <c r="E247" s="212">
        <v>15</v>
      </c>
      <c r="F247" s="212">
        <v>30</v>
      </c>
      <c r="G247" s="372">
        <v>30</v>
      </c>
      <c r="H247" s="372">
        <v>30</v>
      </c>
      <c r="I247" s="212">
        <v>15</v>
      </c>
      <c r="J247" s="212">
        <v>11</v>
      </c>
      <c r="K247" s="212">
        <v>11</v>
      </c>
      <c r="L247" s="212">
        <v>11</v>
      </c>
      <c r="M247" s="212">
        <v>11</v>
      </c>
    </row>
    <row r="248" spans="2:15" ht="16.5" thickTop="1" thickBot="1" x14ac:dyDescent="0.3">
      <c r="B248" s="11" t="s">
        <v>59</v>
      </c>
      <c r="C248" s="212">
        <v>103</v>
      </c>
      <c r="D248" s="212">
        <v>16</v>
      </c>
      <c r="E248" s="212">
        <v>15</v>
      </c>
      <c r="F248" s="212">
        <v>30</v>
      </c>
      <c r="G248" s="372">
        <v>30</v>
      </c>
      <c r="H248" s="372">
        <v>30</v>
      </c>
      <c r="I248" s="212">
        <v>15</v>
      </c>
      <c r="J248" s="212">
        <v>11</v>
      </c>
      <c r="K248" s="212">
        <v>11</v>
      </c>
      <c r="L248" s="212">
        <v>11</v>
      </c>
      <c r="M248" s="212">
        <v>11</v>
      </c>
    </row>
    <row r="249" spans="2:15" ht="16.5" thickTop="1" thickBot="1" x14ac:dyDescent="0.3">
      <c r="B249" s="3" t="s">
        <v>3673</v>
      </c>
      <c r="C249" s="1">
        <v>158</v>
      </c>
      <c r="D249" s="1">
        <v>24</v>
      </c>
      <c r="E249" s="1">
        <v>45</v>
      </c>
      <c r="F249" s="212">
        <v>30</v>
      </c>
      <c r="G249" s="372">
        <v>30</v>
      </c>
      <c r="H249" s="372">
        <v>30</v>
      </c>
      <c r="I249" s="212">
        <v>15</v>
      </c>
      <c r="J249" s="212">
        <v>11</v>
      </c>
      <c r="K249" s="212">
        <v>11</v>
      </c>
      <c r="L249" s="212">
        <v>11</v>
      </c>
      <c r="M249" s="212">
        <v>11</v>
      </c>
      <c r="N249" s="1">
        <v>11</v>
      </c>
      <c r="O249" s="1">
        <v>15</v>
      </c>
    </row>
    <row r="250" spans="2:15" ht="15.75" thickTop="1" x14ac:dyDescent="0.25"/>
    <row r="252" spans="2:15" x14ac:dyDescent="0.25">
      <c r="D252" s="1" t="s">
        <v>786</v>
      </c>
      <c r="E252" s="1">
        <f>VLOOKUP(Sheet2!G28,Sheet3!B244:O249,2,FALSE)</f>
        <v>65</v>
      </c>
      <c r="G252" s="1" t="s">
        <v>3725</v>
      </c>
      <c r="H252" s="1">
        <f>VLOOKUP(Sheet2!$G$28,Sheet3!$B$244:$O$249,13,FALSE)</f>
        <v>0</v>
      </c>
    </row>
    <row r="253" spans="2:15" x14ac:dyDescent="0.25">
      <c r="D253" s="1" t="s">
        <v>787</v>
      </c>
      <c r="E253" s="1">
        <f>VLOOKUP(Sheet2!G28,Sheet3!B244:O249,3,FALSE)</f>
        <v>12</v>
      </c>
      <c r="G253" s="1" t="s">
        <v>3726</v>
      </c>
      <c r="H253" s="1">
        <f>VLOOKUP(Sheet2!$G$28,Sheet3!$B$244:$O$249,14,FALSE)</f>
        <v>0</v>
      </c>
    </row>
    <row r="254" spans="2:15" x14ac:dyDescent="0.25">
      <c r="D254" s="1" t="s">
        <v>788</v>
      </c>
      <c r="E254" s="1">
        <f>VLOOKUP(Sheet2!G28,Sheet3!B244:O249,4,FALSE)</f>
        <v>6</v>
      </c>
    </row>
    <row r="255" spans="2:15" x14ac:dyDescent="0.25">
      <c r="D255" s="1" t="s">
        <v>789</v>
      </c>
      <c r="E255" s="1">
        <f>VLOOKUP(Sheet2!G28,Sheet3!B244:O249,5,FALSE)</f>
        <v>0</v>
      </c>
    </row>
    <row r="256" spans="2:15" x14ac:dyDescent="0.25">
      <c r="D256" s="1" t="s">
        <v>790</v>
      </c>
      <c r="E256" s="1">
        <f>VLOOKUP(Sheet2!G28,Sheet3!B244:O249,6,FALSE)</f>
        <v>0</v>
      </c>
    </row>
    <row r="257" spans="2:10" x14ac:dyDescent="0.25">
      <c r="D257" s="1" t="s">
        <v>791</v>
      </c>
      <c r="E257" s="1">
        <f>VLOOKUP(Sheet2!G28,Sheet3!B244:O249,7,FALSE)</f>
        <v>0</v>
      </c>
    </row>
    <row r="258" spans="2:10" x14ac:dyDescent="0.25">
      <c r="D258" s="1" t="s">
        <v>792</v>
      </c>
      <c r="E258" s="1">
        <f>VLOOKUP(Sheet2!G28,Sheet3!B244:O249,8,FALSE)</f>
        <v>6</v>
      </c>
    </row>
    <row r="259" spans="2:10" x14ac:dyDescent="0.25">
      <c r="D259" s="1" t="s">
        <v>793</v>
      </c>
      <c r="E259" s="1">
        <f>VLOOKUP(Sheet2!G28,Sheet3!B244:O249,9,FALSE)</f>
        <v>5</v>
      </c>
    </row>
    <row r="260" spans="2:10" x14ac:dyDescent="0.25">
      <c r="D260" s="1" t="s">
        <v>794</v>
      </c>
      <c r="E260" s="1">
        <f>VLOOKUP(Sheet2!G28,Sheet3!B244:O249,10,FALSE)</f>
        <v>0</v>
      </c>
    </row>
    <row r="261" spans="2:10" x14ac:dyDescent="0.25">
      <c r="D261" s="1" t="s">
        <v>795</v>
      </c>
      <c r="E261" s="1">
        <f>VLOOKUP(Sheet2!G28,Sheet3!B244:O249,11,FALSE)</f>
        <v>0</v>
      </c>
    </row>
    <row r="262" spans="2:10" x14ac:dyDescent="0.25">
      <c r="D262" s="1" t="s">
        <v>796</v>
      </c>
      <c r="E262" s="1">
        <f>VLOOKUP(Sheet2!G28,Sheet3!B244:O249,12,FALSE)</f>
        <v>0</v>
      </c>
    </row>
    <row r="263" spans="2:10" ht="15.75" thickBot="1" x14ac:dyDescent="0.3"/>
    <row r="264" spans="2:10" ht="15.75" thickBot="1" x14ac:dyDescent="0.3">
      <c r="B264" s="950" t="s">
        <v>993</v>
      </c>
      <c r="C264" s="951"/>
      <c r="D264" s="951" t="s">
        <v>3643</v>
      </c>
      <c r="E264" s="952" t="str">
        <f>IF(Sheet5!E10="thường",F267&amp;G266&amp;H266&amp;I266&amp;J266,"sứ nhựa")</f>
        <v xml:space="preserve"> Sứ 22 kV CD đường rò 600</v>
      </c>
      <c r="F264" s="952"/>
      <c r="G264" s="952"/>
      <c r="H264" s="952"/>
      <c r="I264" s="952"/>
      <c r="J264" s="952"/>
    </row>
    <row r="265" spans="2:10" ht="15.75" thickBot="1" x14ac:dyDescent="0.3">
      <c r="B265" s="946" t="s">
        <v>3637</v>
      </c>
      <c r="C265" s="947">
        <f>VatTu!L80</f>
        <v>25</v>
      </c>
      <c r="D265" s="945"/>
      <c r="E265" s="945" t="s">
        <v>3642</v>
      </c>
      <c r="F265" s="953">
        <f>C265*Sheet5!B18*1.05</f>
        <v>459.375</v>
      </c>
    </row>
    <row r="266" spans="2:10" ht="15.75" thickBot="1" x14ac:dyDescent="0.3">
      <c r="B266" s="948"/>
      <c r="C266" s="949"/>
      <c r="D266" s="945"/>
      <c r="F266" s="1" t="str">
        <f>IF(F265&lt;=D269,B269,IF(F265&lt;=D270,B269,IF(F265&lt;=D271,B269,IF(F265&lt;=D272,B269,IF(F265&lt;=D273,B273,IF(F265&lt;=D274,B274,IF(F265&lt;=D275,B274,IF(F265&lt;=D276,B274,IF(F265&lt;=D277,B274,IF(F265&lt;=D278,B274,IF(F265&lt;=D279,B274,IF(F265&lt;=D280,B274,IF(F265&lt;=D281,B274,IF(F265&lt;=D282,B274,"Sai"))))))))))))))</f>
        <v>Duy công</v>
      </c>
      <c r="G266" s="1" t="s">
        <v>463</v>
      </c>
      <c r="H266" s="1" t="str">
        <f>IF(F265&lt;=D269,C269,IF(F265&lt;=D270,C270,IF(F265&lt;=D271,C271,IF(F265&lt;=D272,C272,IF(F265&lt;=D273,C273,IF(F265&lt;=D274,C274,IF(F265&lt;=D275,C275,IF(F265&lt;=D276,C276,IF(F265&lt;=D277,C277,IF(F265&lt;=D278,C278,IF(F265&lt;=D279,C279,IF(F265&lt;=D280,C280,IF(F265&lt;=D281,C281,IF(F265&lt;=D282,C282,"Sai"))))))))))))))</f>
        <v xml:space="preserve">Sứ 22 kV </v>
      </c>
      <c r="I266" s="1" t="s">
        <v>3721</v>
      </c>
      <c r="J266" s="1">
        <f>IF(F265&lt;=D269,D269,IF(F265&lt;=D270,D270,IF(F265&lt;=D271,D271,IF(F265&lt;=D272,D272,IF(F265&lt;=D273,D273,IF(F265&lt;=D274,D274,IF(F265&lt;=D275,D275,IF(F265&lt;=D276,D276,IF(F265&lt;=D277,D277,IF(F265&lt;=D278,D278,IF(F265&lt;=D279,D279,IF(F265&lt;=D280,D280,IF(F265&lt;=D281,D281,IF(F265&lt;=D282,D282,"Sai"))))))))))))))</f>
        <v>600</v>
      </c>
    </row>
    <row r="267" spans="2:10" x14ac:dyDescent="0.25">
      <c r="B267" s="945"/>
      <c r="C267" s="945"/>
      <c r="D267" s="945"/>
    </row>
    <row r="268" spans="2:10" x14ac:dyDescent="0.25">
      <c r="B268" s="945"/>
      <c r="C268" s="1097" t="s">
        <v>3638</v>
      </c>
      <c r="D268" s="1097" t="s">
        <v>3642</v>
      </c>
    </row>
    <row r="269" spans="2:10" x14ac:dyDescent="0.25">
      <c r="B269" s="945" t="s">
        <v>3639</v>
      </c>
      <c r="C269" s="945" t="s">
        <v>3722</v>
      </c>
      <c r="D269" s="945">
        <v>600</v>
      </c>
    </row>
    <row r="270" spans="2:10" x14ac:dyDescent="0.25">
      <c r="B270" s="945"/>
      <c r="C270" s="945" t="s">
        <v>3722</v>
      </c>
      <c r="D270" s="945">
        <v>685</v>
      </c>
    </row>
    <row r="271" spans="2:10" x14ac:dyDescent="0.25">
      <c r="B271" s="945"/>
      <c r="C271" s="945" t="s">
        <v>3723</v>
      </c>
      <c r="D271" s="945">
        <v>720</v>
      </c>
    </row>
    <row r="272" spans="2:10" x14ac:dyDescent="0.25">
      <c r="B272" s="945"/>
      <c r="C272" s="945" t="s">
        <v>3723</v>
      </c>
      <c r="D272" s="945">
        <v>965</v>
      </c>
    </row>
    <row r="273" spans="2:11" x14ac:dyDescent="0.25">
      <c r="B273" s="945" t="s">
        <v>3641</v>
      </c>
      <c r="C273" s="945" t="s">
        <v>3723</v>
      </c>
      <c r="D273" s="945">
        <v>965</v>
      </c>
    </row>
    <row r="274" spans="2:11" x14ac:dyDescent="0.25">
      <c r="B274" s="945" t="s">
        <v>3640</v>
      </c>
      <c r="C274" s="945" t="s">
        <v>3724</v>
      </c>
      <c r="D274" s="945">
        <v>295</v>
      </c>
    </row>
    <row r="275" spans="2:11" x14ac:dyDescent="0.25">
      <c r="C275" s="945" t="s">
        <v>3724</v>
      </c>
      <c r="D275" s="945">
        <v>295</v>
      </c>
    </row>
    <row r="276" spans="2:11" x14ac:dyDescent="0.25">
      <c r="B276" s="945"/>
      <c r="C276" s="945" t="s">
        <v>3722</v>
      </c>
      <c r="D276" s="945">
        <v>685</v>
      </c>
    </row>
    <row r="277" spans="2:11" x14ac:dyDescent="0.25">
      <c r="B277" s="945"/>
      <c r="C277" s="945" t="s">
        <v>3722</v>
      </c>
      <c r="D277" s="945">
        <v>750</v>
      </c>
    </row>
    <row r="278" spans="2:11" x14ac:dyDescent="0.25">
      <c r="B278" s="945"/>
      <c r="C278" s="945" t="s">
        <v>3722</v>
      </c>
      <c r="D278" s="945">
        <v>600</v>
      </c>
    </row>
    <row r="279" spans="2:11" x14ac:dyDescent="0.25">
      <c r="B279" s="945"/>
      <c r="C279" s="945" t="s">
        <v>3722</v>
      </c>
      <c r="D279" s="945">
        <v>445</v>
      </c>
    </row>
    <row r="280" spans="2:11" x14ac:dyDescent="0.25">
      <c r="B280" s="945"/>
      <c r="C280" s="945" t="s">
        <v>3723</v>
      </c>
      <c r="D280" s="945">
        <v>900</v>
      </c>
    </row>
    <row r="281" spans="2:11" x14ac:dyDescent="0.25">
      <c r="B281" s="945"/>
      <c r="C281" s="945" t="s">
        <v>3723</v>
      </c>
      <c r="D281" s="945">
        <v>1085</v>
      </c>
    </row>
    <row r="282" spans="2:11" x14ac:dyDescent="0.25">
      <c r="B282" s="945"/>
      <c r="C282" s="945" t="s">
        <v>3723</v>
      </c>
      <c r="D282" s="945">
        <v>1260</v>
      </c>
    </row>
    <row r="283" spans="2:11" x14ac:dyDescent="0.25">
      <c r="B283" s="945"/>
      <c r="C283" s="945"/>
      <c r="D283" s="945"/>
    </row>
    <row r="284" spans="2:11" x14ac:dyDescent="0.25">
      <c r="B284" s="945"/>
      <c r="C284" s="945"/>
      <c r="D284" s="945"/>
    </row>
    <row r="285" spans="2:11" x14ac:dyDescent="0.25">
      <c r="B285" s="1029"/>
      <c r="C285" s="1029"/>
      <c r="D285" s="1029"/>
      <c r="E285" s="1030"/>
      <c r="F285" s="1030"/>
      <c r="G285" s="1030"/>
      <c r="H285" s="1030"/>
      <c r="I285" s="1030"/>
      <c r="J285" s="1030"/>
      <c r="K285" s="1030"/>
    </row>
    <row r="289" spans="2:6" x14ac:dyDescent="0.25">
      <c r="B289" s="1553" t="s">
        <v>4294</v>
      </c>
      <c r="C289" s="435" t="s">
        <v>69</v>
      </c>
      <c r="D289" s="435" t="s">
        <v>943</v>
      </c>
      <c r="E289" s="1211">
        <f>Sheet5!B17</f>
        <v>303</v>
      </c>
    </row>
    <row r="290" spans="2:6" x14ac:dyDescent="0.25">
      <c r="B290" s="1553"/>
      <c r="C290" s="1210">
        <v>750</v>
      </c>
      <c r="D290" s="1210">
        <v>0.5</v>
      </c>
      <c r="E290" s="486">
        <f>IF(AND(0&lt;=$E$289,$E$289&lt;C290),C290,0)</f>
        <v>750</v>
      </c>
      <c r="F290" s="486">
        <f>SUM(E290:E294)</f>
        <v>750</v>
      </c>
    </row>
    <row r="291" spans="2:6" x14ac:dyDescent="0.25">
      <c r="B291" s="1553"/>
      <c r="C291" s="1210">
        <v>2000</v>
      </c>
      <c r="D291" s="1210">
        <v>1</v>
      </c>
      <c r="E291" s="486">
        <f>IF(AND(C290&lt;=$E$289,$E$289&lt;C291),C291,0)</f>
        <v>0</v>
      </c>
      <c r="F291" s="179">
        <f>IF(OR(Sheet5!F35=2,Sheet5!F35=3),0,VLOOKUP(F290,C290:D294,2,FALSE))</f>
        <v>0</v>
      </c>
    </row>
    <row r="292" spans="2:6" x14ac:dyDescent="0.25">
      <c r="B292" s="1553"/>
      <c r="C292" s="1210">
        <v>3200</v>
      </c>
      <c r="D292" s="1210">
        <v>1.5</v>
      </c>
      <c r="E292" s="486">
        <f>IF(AND(C291&lt;=$E$289,$E$289&lt;C292),C292,0)</f>
        <v>0</v>
      </c>
    </row>
    <row r="293" spans="2:6" x14ac:dyDescent="0.25">
      <c r="B293" s="1553"/>
      <c r="C293" s="1210">
        <v>5000</v>
      </c>
      <c r="D293" s="1210">
        <v>2</v>
      </c>
      <c r="E293" s="486">
        <f>IF(AND(C292&lt;=$E$289,$E$289&lt;C293),C293,0)</f>
        <v>0</v>
      </c>
    </row>
    <row r="294" spans="2:6" x14ac:dyDescent="0.25">
      <c r="B294" s="1553"/>
      <c r="C294" s="1210">
        <v>5001</v>
      </c>
      <c r="D294" s="1210">
        <v>4</v>
      </c>
      <c r="E294" s="486">
        <f>IF(AND(C293&lt;=$E$289,$E$289&lt;C294),C294,0)</f>
        <v>0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289:B294"/>
  </mergeCells>
  <dataValidations count="8">
    <dataValidation type="list" allowBlank="1" showInputMessage="1" showErrorMessage="1" sqref="I66:I68">
      <formula1>$I$70:$I$71</formula1>
    </dataValidation>
    <dataValidation type="list" allowBlank="1" showInputMessage="1" showErrorMessage="1" sqref="J66:J68">
      <formula1>$J$70:$J$71</formula1>
    </dataValidation>
    <dataValidation type="list" allowBlank="1" showInputMessage="1" showErrorMessage="1" sqref="D64">
      <formula1>$D$66:$D$67</formula1>
    </dataValidation>
    <dataValidation type="list" allowBlank="1" showInputMessage="1" showErrorMessage="1" sqref="D8">
      <formula1>$N$8:$N$9</formula1>
    </dataValidation>
    <dataValidation type="list" allowBlank="1" showInputMessage="1" showErrorMessage="1" sqref="E98">
      <formula1>$E$101:$E$102</formula1>
    </dataValidation>
    <dataValidation type="list" allowBlank="1" showInputMessage="1" showErrorMessage="1" sqref="D90">
      <formula1>$D$95:$D$97</formula1>
    </dataValidation>
    <dataValidation type="list" allowBlank="1" showInputMessage="1" showErrorMessage="1" sqref="D91">
      <formula1>$D$98:$D$99</formula1>
    </dataValidation>
    <dataValidation type="list" allowBlank="1" showInputMessage="1" showErrorMessage="1" sqref="G84">
      <formula1>$A$104:$A$105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53"/>
  <sheetViews>
    <sheetView zoomScaleNormal="100" workbookViewId="0">
      <selection activeCell="G25" sqref="G25"/>
    </sheetView>
  </sheetViews>
  <sheetFormatPr defaultColWidth="5.7109375" defaultRowHeight="12.75" x14ac:dyDescent="0.2"/>
  <cols>
    <col min="1" max="1" width="5.7109375" style="71"/>
    <col min="2" max="2" width="7.140625" style="71" customWidth="1"/>
    <col min="3" max="3" width="12" style="71" customWidth="1"/>
    <col min="4" max="5" width="7.140625" style="71" customWidth="1"/>
    <col min="6" max="6" width="11" style="71" customWidth="1"/>
    <col min="7" max="8" width="7.140625" style="71" customWidth="1"/>
    <col min="9" max="9" width="12.28515625" style="71" customWidth="1"/>
    <col min="10" max="10" width="6.5703125" style="71" customWidth="1"/>
    <col min="11" max="11" width="6.140625" style="71" customWidth="1"/>
    <col min="12" max="12" width="12" style="71" customWidth="1"/>
    <col min="13" max="13" width="7.5703125" style="71" customWidth="1"/>
    <col min="14" max="14" width="6" style="71" customWidth="1"/>
    <col min="15" max="15" width="10.7109375" style="71" customWidth="1"/>
    <col min="16" max="16" width="7.28515625" style="71" customWidth="1"/>
    <col min="17" max="17" width="10.85546875" style="71" customWidth="1"/>
    <col min="18" max="18" width="11" style="71" customWidth="1"/>
    <col min="19" max="19" width="7.140625" style="71" customWidth="1"/>
    <col min="20" max="20" width="5.7109375" style="71"/>
    <col min="21" max="21" width="8.7109375" style="71" customWidth="1"/>
    <col min="22" max="23" width="5.7109375" style="71"/>
    <col min="24" max="24" width="13.5703125" style="71" customWidth="1"/>
    <col min="25" max="25" width="6.5703125" style="71" customWidth="1"/>
    <col min="26" max="27" width="7.140625" style="71" customWidth="1"/>
    <col min="28" max="29" width="5.7109375" style="71"/>
    <col min="30" max="30" width="7.42578125" style="71" customWidth="1"/>
    <col min="31" max="31" width="4.140625" style="71" customWidth="1"/>
    <col min="32" max="257" width="5.7109375" style="71"/>
    <col min="258" max="258" width="7.140625" style="71" customWidth="1"/>
    <col min="259" max="259" width="7.28515625" style="71" customWidth="1"/>
    <col min="260" max="264" width="7.140625" style="71" customWidth="1"/>
    <col min="265" max="265" width="6" style="71" customWidth="1"/>
    <col min="266" max="266" width="5.7109375" style="71"/>
    <col min="267" max="267" width="6.140625" style="71" customWidth="1"/>
    <col min="268" max="268" width="6.28515625" style="71" customWidth="1"/>
    <col min="269" max="270" width="6" style="71" customWidth="1"/>
    <col min="271" max="271" width="5.7109375" style="71"/>
    <col min="272" max="272" width="7.28515625" style="71" customWidth="1"/>
    <col min="273" max="273" width="8.140625" style="71" customWidth="1"/>
    <col min="274" max="275" width="7.140625" style="71" customWidth="1"/>
    <col min="276" max="279" width="5.7109375" style="71"/>
    <col min="280" max="280" width="7.140625" style="71" customWidth="1"/>
    <col min="281" max="281" width="8.140625" style="71" customWidth="1"/>
    <col min="282" max="283" width="7.140625" style="71" customWidth="1"/>
    <col min="284" max="285" width="5.7109375" style="71"/>
    <col min="286" max="286" width="7.42578125" style="71" customWidth="1"/>
    <col min="287" max="287" width="4.140625" style="71" customWidth="1"/>
    <col min="288" max="513" width="5.7109375" style="71"/>
    <col min="514" max="514" width="7.140625" style="71" customWidth="1"/>
    <col min="515" max="515" width="7.28515625" style="71" customWidth="1"/>
    <col min="516" max="520" width="7.140625" style="71" customWidth="1"/>
    <col min="521" max="521" width="6" style="71" customWidth="1"/>
    <col min="522" max="522" width="5.7109375" style="71"/>
    <col min="523" max="523" width="6.140625" style="71" customWidth="1"/>
    <col min="524" max="524" width="6.28515625" style="71" customWidth="1"/>
    <col min="525" max="526" width="6" style="71" customWidth="1"/>
    <col min="527" max="527" width="5.7109375" style="71"/>
    <col min="528" max="528" width="7.28515625" style="71" customWidth="1"/>
    <col min="529" max="529" width="8.140625" style="71" customWidth="1"/>
    <col min="530" max="531" width="7.140625" style="71" customWidth="1"/>
    <col min="532" max="535" width="5.7109375" style="71"/>
    <col min="536" max="536" width="7.140625" style="71" customWidth="1"/>
    <col min="537" max="537" width="8.140625" style="71" customWidth="1"/>
    <col min="538" max="539" width="7.140625" style="71" customWidth="1"/>
    <col min="540" max="541" width="5.7109375" style="71"/>
    <col min="542" max="542" width="7.42578125" style="71" customWidth="1"/>
    <col min="543" max="543" width="4.140625" style="71" customWidth="1"/>
    <col min="544" max="769" width="5.7109375" style="71"/>
    <col min="770" max="770" width="7.140625" style="71" customWidth="1"/>
    <col min="771" max="771" width="7.28515625" style="71" customWidth="1"/>
    <col min="772" max="776" width="7.140625" style="71" customWidth="1"/>
    <col min="777" max="777" width="6" style="71" customWidth="1"/>
    <col min="778" max="778" width="5.7109375" style="71"/>
    <col min="779" max="779" width="6.140625" style="71" customWidth="1"/>
    <col min="780" max="780" width="6.28515625" style="71" customWidth="1"/>
    <col min="781" max="782" width="6" style="71" customWidth="1"/>
    <col min="783" max="783" width="5.7109375" style="71"/>
    <col min="784" max="784" width="7.28515625" style="71" customWidth="1"/>
    <col min="785" max="785" width="8.140625" style="71" customWidth="1"/>
    <col min="786" max="787" width="7.140625" style="71" customWidth="1"/>
    <col min="788" max="791" width="5.7109375" style="71"/>
    <col min="792" max="792" width="7.140625" style="71" customWidth="1"/>
    <col min="793" max="793" width="8.140625" style="71" customWidth="1"/>
    <col min="794" max="795" width="7.140625" style="71" customWidth="1"/>
    <col min="796" max="797" width="5.7109375" style="71"/>
    <col min="798" max="798" width="7.42578125" style="71" customWidth="1"/>
    <col min="799" max="799" width="4.140625" style="71" customWidth="1"/>
    <col min="800" max="1025" width="5.7109375" style="71"/>
    <col min="1026" max="1026" width="7.140625" style="71" customWidth="1"/>
    <col min="1027" max="1027" width="7.28515625" style="71" customWidth="1"/>
    <col min="1028" max="1032" width="7.140625" style="71" customWidth="1"/>
    <col min="1033" max="1033" width="6" style="71" customWidth="1"/>
    <col min="1034" max="1034" width="5.7109375" style="71"/>
    <col min="1035" max="1035" width="6.140625" style="71" customWidth="1"/>
    <col min="1036" max="1036" width="6.28515625" style="71" customWidth="1"/>
    <col min="1037" max="1038" width="6" style="71" customWidth="1"/>
    <col min="1039" max="1039" width="5.7109375" style="71"/>
    <col min="1040" max="1040" width="7.28515625" style="71" customWidth="1"/>
    <col min="1041" max="1041" width="8.140625" style="71" customWidth="1"/>
    <col min="1042" max="1043" width="7.140625" style="71" customWidth="1"/>
    <col min="1044" max="1047" width="5.7109375" style="71"/>
    <col min="1048" max="1048" width="7.140625" style="71" customWidth="1"/>
    <col min="1049" max="1049" width="8.140625" style="71" customWidth="1"/>
    <col min="1050" max="1051" width="7.140625" style="71" customWidth="1"/>
    <col min="1052" max="1053" width="5.7109375" style="71"/>
    <col min="1054" max="1054" width="7.42578125" style="71" customWidth="1"/>
    <col min="1055" max="1055" width="4.140625" style="71" customWidth="1"/>
    <col min="1056" max="1281" width="5.7109375" style="71"/>
    <col min="1282" max="1282" width="7.140625" style="71" customWidth="1"/>
    <col min="1283" max="1283" width="7.28515625" style="71" customWidth="1"/>
    <col min="1284" max="1288" width="7.140625" style="71" customWidth="1"/>
    <col min="1289" max="1289" width="6" style="71" customWidth="1"/>
    <col min="1290" max="1290" width="5.7109375" style="71"/>
    <col min="1291" max="1291" width="6.140625" style="71" customWidth="1"/>
    <col min="1292" max="1292" width="6.28515625" style="71" customWidth="1"/>
    <col min="1293" max="1294" width="6" style="71" customWidth="1"/>
    <col min="1295" max="1295" width="5.7109375" style="71"/>
    <col min="1296" max="1296" width="7.28515625" style="71" customWidth="1"/>
    <col min="1297" max="1297" width="8.140625" style="71" customWidth="1"/>
    <col min="1298" max="1299" width="7.140625" style="71" customWidth="1"/>
    <col min="1300" max="1303" width="5.7109375" style="71"/>
    <col min="1304" max="1304" width="7.140625" style="71" customWidth="1"/>
    <col min="1305" max="1305" width="8.140625" style="71" customWidth="1"/>
    <col min="1306" max="1307" width="7.140625" style="71" customWidth="1"/>
    <col min="1308" max="1309" width="5.7109375" style="71"/>
    <col min="1310" max="1310" width="7.42578125" style="71" customWidth="1"/>
    <col min="1311" max="1311" width="4.140625" style="71" customWidth="1"/>
    <col min="1312" max="1537" width="5.7109375" style="71"/>
    <col min="1538" max="1538" width="7.140625" style="71" customWidth="1"/>
    <col min="1539" max="1539" width="7.28515625" style="71" customWidth="1"/>
    <col min="1540" max="1544" width="7.140625" style="71" customWidth="1"/>
    <col min="1545" max="1545" width="6" style="71" customWidth="1"/>
    <col min="1546" max="1546" width="5.7109375" style="71"/>
    <col min="1547" max="1547" width="6.140625" style="71" customWidth="1"/>
    <col min="1548" max="1548" width="6.28515625" style="71" customWidth="1"/>
    <col min="1549" max="1550" width="6" style="71" customWidth="1"/>
    <col min="1551" max="1551" width="5.7109375" style="71"/>
    <col min="1552" max="1552" width="7.28515625" style="71" customWidth="1"/>
    <col min="1553" max="1553" width="8.140625" style="71" customWidth="1"/>
    <col min="1554" max="1555" width="7.140625" style="71" customWidth="1"/>
    <col min="1556" max="1559" width="5.7109375" style="71"/>
    <col min="1560" max="1560" width="7.140625" style="71" customWidth="1"/>
    <col min="1561" max="1561" width="8.140625" style="71" customWidth="1"/>
    <col min="1562" max="1563" width="7.140625" style="71" customWidth="1"/>
    <col min="1564" max="1565" width="5.7109375" style="71"/>
    <col min="1566" max="1566" width="7.42578125" style="71" customWidth="1"/>
    <col min="1567" max="1567" width="4.140625" style="71" customWidth="1"/>
    <col min="1568" max="1793" width="5.7109375" style="71"/>
    <col min="1794" max="1794" width="7.140625" style="71" customWidth="1"/>
    <col min="1795" max="1795" width="7.28515625" style="71" customWidth="1"/>
    <col min="1796" max="1800" width="7.140625" style="71" customWidth="1"/>
    <col min="1801" max="1801" width="6" style="71" customWidth="1"/>
    <col min="1802" max="1802" width="5.7109375" style="71"/>
    <col min="1803" max="1803" width="6.140625" style="71" customWidth="1"/>
    <col min="1804" max="1804" width="6.28515625" style="71" customWidth="1"/>
    <col min="1805" max="1806" width="6" style="71" customWidth="1"/>
    <col min="1807" max="1807" width="5.7109375" style="71"/>
    <col min="1808" max="1808" width="7.28515625" style="71" customWidth="1"/>
    <col min="1809" max="1809" width="8.140625" style="71" customWidth="1"/>
    <col min="1810" max="1811" width="7.140625" style="71" customWidth="1"/>
    <col min="1812" max="1815" width="5.7109375" style="71"/>
    <col min="1816" max="1816" width="7.140625" style="71" customWidth="1"/>
    <col min="1817" max="1817" width="8.140625" style="71" customWidth="1"/>
    <col min="1818" max="1819" width="7.140625" style="71" customWidth="1"/>
    <col min="1820" max="1821" width="5.7109375" style="71"/>
    <col min="1822" max="1822" width="7.42578125" style="71" customWidth="1"/>
    <col min="1823" max="1823" width="4.140625" style="71" customWidth="1"/>
    <col min="1824" max="2049" width="5.7109375" style="71"/>
    <col min="2050" max="2050" width="7.140625" style="71" customWidth="1"/>
    <col min="2051" max="2051" width="7.28515625" style="71" customWidth="1"/>
    <col min="2052" max="2056" width="7.140625" style="71" customWidth="1"/>
    <col min="2057" max="2057" width="6" style="71" customWidth="1"/>
    <col min="2058" max="2058" width="5.7109375" style="71"/>
    <col min="2059" max="2059" width="6.140625" style="71" customWidth="1"/>
    <col min="2060" max="2060" width="6.28515625" style="71" customWidth="1"/>
    <col min="2061" max="2062" width="6" style="71" customWidth="1"/>
    <col min="2063" max="2063" width="5.7109375" style="71"/>
    <col min="2064" max="2064" width="7.28515625" style="71" customWidth="1"/>
    <col min="2065" max="2065" width="8.140625" style="71" customWidth="1"/>
    <col min="2066" max="2067" width="7.140625" style="71" customWidth="1"/>
    <col min="2068" max="2071" width="5.7109375" style="71"/>
    <col min="2072" max="2072" width="7.140625" style="71" customWidth="1"/>
    <col min="2073" max="2073" width="8.140625" style="71" customWidth="1"/>
    <col min="2074" max="2075" width="7.140625" style="71" customWidth="1"/>
    <col min="2076" max="2077" width="5.7109375" style="71"/>
    <col min="2078" max="2078" width="7.42578125" style="71" customWidth="1"/>
    <col min="2079" max="2079" width="4.140625" style="71" customWidth="1"/>
    <col min="2080" max="2305" width="5.7109375" style="71"/>
    <col min="2306" max="2306" width="7.140625" style="71" customWidth="1"/>
    <col min="2307" max="2307" width="7.28515625" style="71" customWidth="1"/>
    <col min="2308" max="2312" width="7.140625" style="71" customWidth="1"/>
    <col min="2313" max="2313" width="6" style="71" customWidth="1"/>
    <col min="2314" max="2314" width="5.7109375" style="71"/>
    <col min="2315" max="2315" width="6.140625" style="71" customWidth="1"/>
    <col min="2316" max="2316" width="6.28515625" style="71" customWidth="1"/>
    <col min="2317" max="2318" width="6" style="71" customWidth="1"/>
    <col min="2319" max="2319" width="5.7109375" style="71"/>
    <col min="2320" max="2320" width="7.28515625" style="71" customWidth="1"/>
    <col min="2321" max="2321" width="8.140625" style="71" customWidth="1"/>
    <col min="2322" max="2323" width="7.140625" style="71" customWidth="1"/>
    <col min="2324" max="2327" width="5.7109375" style="71"/>
    <col min="2328" max="2328" width="7.140625" style="71" customWidth="1"/>
    <col min="2329" max="2329" width="8.140625" style="71" customWidth="1"/>
    <col min="2330" max="2331" width="7.140625" style="71" customWidth="1"/>
    <col min="2332" max="2333" width="5.7109375" style="71"/>
    <col min="2334" max="2334" width="7.42578125" style="71" customWidth="1"/>
    <col min="2335" max="2335" width="4.140625" style="71" customWidth="1"/>
    <col min="2336" max="2561" width="5.7109375" style="71"/>
    <col min="2562" max="2562" width="7.140625" style="71" customWidth="1"/>
    <col min="2563" max="2563" width="7.28515625" style="71" customWidth="1"/>
    <col min="2564" max="2568" width="7.140625" style="71" customWidth="1"/>
    <col min="2569" max="2569" width="6" style="71" customWidth="1"/>
    <col min="2570" max="2570" width="5.7109375" style="71"/>
    <col min="2571" max="2571" width="6.140625" style="71" customWidth="1"/>
    <col min="2572" max="2572" width="6.28515625" style="71" customWidth="1"/>
    <col min="2573" max="2574" width="6" style="71" customWidth="1"/>
    <col min="2575" max="2575" width="5.7109375" style="71"/>
    <col min="2576" max="2576" width="7.28515625" style="71" customWidth="1"/>
    <col min="2577" max="2577" width="8.140625" style="71" customWidth="1"/>
    <col min="2578" max="2579" width="7.140625" style="71" customWidth="1"/>
    <col min="2580" max="2583" width="5.7109375" style="71"/>
    <col min="2584" max="2584" width="7.140625" style="71" customWidth="1"/>
    <col min="2585" max="2585" width="8.140625" style="71" customWidth="1"/>
    <col min="2586" max="2587" width="7.140625" style="71" customWidth="1"/>
    <col min="2588" max="2589" width="5.7109375" style="71"/>
    <col min="2590" max="2590" width="7.42578125" style="71" customWidth="1"/>
    <col min="2591" max="2591" width="4.140625" style="71" customWidth="1"/>
    <col min="2592" max="2817" width="5.7109375" style="71"/>
    <col min="2818" max="2818" width="7.140625" style="71" customWidth="1"/>
    <col min="2819" max="2819" width="7.28515625" style="71" customWidth="1"/>
    <col min="2820" max="2824" width="7.140625" style="71" customWidth="1"/>
    <col min="2825" max="2825" width="6" style="71" customWidth="1"/>
    <col min="2826" max="2826" width="5.7109375" style="71"/>
    <col min="2827" max="2827" width="6.140625" style="71" customWidth="1"/>
    <col min="2828" max="2828" width="6.28515625" style="71" customWidth="1"/>
    <col min="2829" max="2830" width="6" style="71" customWidth="1"/>
    <col min="2831" max="2831" width="5.7109375" style="71"/>
    <col min="2832" max="2832" width="7.28515625" style="71" customWidth="1"/>
    <col min="2833" max="2833" width="8.140625" style="71" customWidth="1"/>
    <col min="2834" max="2835" width="7.140625" style="71" customWidth="1"/>
    <col min="2836" max="2839" width="5.7109375" style="71"/>
    <col min="2840" max="2840" width="7.140625" style="71" customWidth="1"/>
    <col min="2841" max="2841" width="8.140625" style="71" customWidth="1"/>
    <col min="2842" max="2843" width="7.140625" style="71" customWidth="1"/>
    <col min="2844" max="2845" width="5.7109375" style="71"/>
    <col min="2846" max="2846" width="7.42578125" style="71" customWidth="1"/>
    <col min="2847" max="2847" width="4.140625" style="71" customWidth="1"/>
    <col min="2848" max="3073" width="5.7109375" style="71"/>
    <col min="3074" max="3074" width="7.140625" style="71" customWidth="1"/>
    <col min="3075" max="3075" width="7.28515625" style="71" customWidth="1"/>
    <col min="3076" max="3080" width="7.140625" style="71" customWidth="1"/>
    <col min="3081" max="3081" width="6" style="71" customWidth="1"/>
    <col min="3082" max="3082" width="5.7109375" style="71"/>
    <col min="3083" max="3083" width="6.140625" style="71" customWidth="1"/>
    <col min="3084" max="3084" width="6.28515625" style="71" customWidth="1"/>
    <col min="3085" max="3086" width="6" style="71" customWidth="1"/>
    <col min="3087" max="3087" width="5.7109375" style="71"/>
    <col min="3088" max="3088" width="7.28515625" style="71" customWidth="1"/>
    <col min="3089" max="3089" width="8.140625" style="71" customWidth="1"/>
    <col min="3090" max="3091" width="7.140625" style="71" customWidth="1"/>
    <col min="3092" max="3095" width="5.7109375" style="71"/>
    <col min="3096" max="3096" width="7.140625" style="71" customWidth="1"/>
    <col min="3097" max="3097" width="8.140625" style="71" customWidth="1"/>
    <col min="3098" max="3099" width="7.140625" style="71" customWidth="1"/>
    <col min="3100" max="3101" width="5.7109375" style="71"/>
    <col min="3102" max="3102" width="7.42578125" style="71" customWidth="1"/>
    <col min="3103" max="3103" width="4.140625" style="71" customWidth="1"/>
    <col min="3104" max="3329" width="5.7109375" style="71"/>
    <col min="3330" max="3330" width="7.140625" style="71" customWidth="1"/>
    <col min="3331" max="3331" width="7.28515625" style="71" customWidth="1"/>
    <col min="3332" max="3336" width="7.140625" style="71" customWidth="1"/>
    <col min="3337" max="3337" width="6" style="71" customWidth="1"/>
    <col min="3338" max="3338" width="5.7109375" style="71"/>
    <col min="3339" max="3339" width="6.140625" style="71" customWidth="1"/>
    <col min="3340" max="3340" width="6.28515625" style="71" customWidth="1"/>
    <col min="3341" max="3342" width="6" style="71" customWidth="1"/>
    <col min="3343" max="3343" width="5.7109375" style="71"/>
    <col min="3344" max="3344" width="7.28515625" style="71" customWidth="1"/>
    <col min="3345" max="3345" width="8.140625" style="71" customWidth="1"/>
    <col min="3346" max="3347" width="7.140625" style="71" customWidth="1"/>
    <col min="3348" max="3351" width="5.7109375" style="71"/>
    <col min="3352" max="3352" width="7.140625" style="71" customWidth="1"/>
    <col min="3353" max="3353" width="8.140625" style="71" customWidth="1"/>
    <col min="3354" max="3355" width="7.140625" style="71" customWidth="1"/>
    <col min="3356" max="3357" width="5.7109375" style="71"/>
    <col min="3358" max="3358" width="7.42578125" style="71" customWidth="1"/>
    <col min="3359" max="3359" width="4.140625" style="71" customWidth="1"/>
    <col min="3360" max="3585" width="5.7109375" style="71"/>
    <col min="3586" max="3586" width="7.140625" style="71" customWidth="1"/>
    <col min="3587" max="3587" width="7.28515625" style="71" customWidth="1"/>
    <col min="3588" max="3592" width="7.140625" style="71" customWidth="1"/>
    <col min="3593" max="3593" width="6" style="71" customWidth="1"/>
    <col min="3594" max="3594" width="5.7109375" style="71"/>
    <col min="3595" max="3595" width="6.140625" style="71" customWidth="1"/>
    <col min="3596" max="3596" width="6.28515625" style="71" customWidth="1"/>
    <col min="3597" max="3598" width="6" style="71" customWidth="1"/>
    <col min="3599" max="3599" width="5.7109375" style="71"/>
    <col min="3600" max="3600" width="7.28515625" style="71" customWidth="1"/>
    <col min="3601" max="3601" width="8.140625" style="71" customWidth="1"/>
    <col min="3602" max="3603" width="7.140625" style="71" customWidth="1"/>
    <col min="3604" max="3607" width="5.7109375" style="71"/>
    <col min="3608" max="3608" width="7.140625" style="71" customWidth="1"/>
    <col min="3609" max="3609" width="8.140625" style="71" customWidth="1"/>
    <col min="3610" max="3611" width="7.140625" style="71" customWidth="1"/>
    <col min="3612" max="3613" width="5.7109375" style="71"/>
    <col min="3614" max="3614" width="7.42578125" style="71" customWidth="1"/>
    <col min="3615" max="3615" width="4.140625" style="71" customWidth="1"/>
    <col min="3616" max="3841" width="5.7109375" style="71"/>
    <col min="3842" max="3842" width="7.140625" style="71" customWidth="1"/>
    <col min="3843" max="3843" width="7.28515625" style="71" customWidth="1"/>
    <col min="3844" max="3848" width="7.140625" style="71" customWidth="1"/>
    <col min="3849" max="3849" width="6" style="71" customWidth="1"/>
    <col min="3850" max="3850" width="5.7109375" style="71"/>
    <col min="3851" max="3851" width="6.140625" style="71" customWidth="1"/>
    <col min="3852" max="3852" width="6.28515625" style="71" customWidth="1"/>
    <col min="3853" max="3854" width="6" style="71" customWidth="1"/>
    <col min="3855" max="3855" width="5.7109375" style="71"/>
    <col min="3856" max="3856" width="7.28515625" style="71" customWidth="1"/>
    <col min="3857" max="3857" width="8.140625" style="71" customWidth="1"/>
    <col min="3858" max="3859" width="7.140625" style="71" customWidth="1"/>
    <col min="3860" max="3863" width="5.7109375" style="71"/>
    <col min="3864" max="3864" width="7.140625" style="71" customWidth="1"/>
    <col min="3865" max="3865" width="8.140625" style="71" customWidth="1"/>
    <col min="3866" max="3867" width="7.140625" style="71" customWidth="1"/>
    <col min="3868" max="3869" width="5.7109375" style="71"/>
    <col min="3870" max="3870" width="7.42578125" style="71" customWidth="1"/>
    <col min="3871" max="3871" width="4.140625" style="71" customWidth="1"/>
    <col min="3872" max="4097" width="5.7109375" style="71"/>
    <col min="4098" max="4098" width="7.140625" style="71" customWidth="1"/>
    <col min="4099" max="4099" width="7.28515625" style="71" customWidth="1"/>
    <col min="4100" max="4104" width="7.140625" style="71" customWidth="1"/>
    <col min="4105" max="4105" width="6" style="71" customWidth="1"/>
    <col min="4106" max="4106" width="5.7109375" style="71"/>
    <col min="4107" max="4107" width="6.140625" style="71" customWidth="1"/>
    <col min="4108" max="4108" width="6.28515625" style="71" customWidth="1"/>
    <col min="4109" max="4110" width="6" style="71" customWidth="1"/>
    <col min="4111" max="4111" width="5.7109375" style="71"/>
    <col min="4112" max="4112" width="7.28515625" style="71" customWidth="1"/>
    <col min="4113" max="4113" width="8.140625" style="71" customWidth="1"/>
    <col min="4114" max="4115" width="7.140625" style="71" customWidth="1"/>
    <col min="4116" max="4119" width="5.7109375" style="71"/>
    <col min="4120" max="4120" width="7.140625" style="71" customWidth="1"/>
    <col min="4121" max="4121" width="8.140625" style="71" customWidth="1"/>
    <col min="4122" max="4123" width="7.140625" style="71" customWidth="1"/>
    <col min="4124" max="4125" width="5.7109375" style="71"/>
    <col min="4126" max="4126" width="7.42578125" style="71" customWidth="1"/>
    <col min="4127" max="4127" width="4.140625" style="71" customWidth="1"/>
    <col min="4128" max="4353" width="5.7109375" style="71"/>
    <col min="4354" max="4354" width="7.140625" style="71" customWidth="1"/>
    <col min="4355" max="4355" width="7.28515625" style="71" customWidth="1"/>
    <col min="4356" max="4360" width="7.140625" style="71" customWidth="1"/>
    <col min="4361" max="4361" width="6" style="71" customWidth="1"/>
    <col min="4362" max="4362" width="5.7109375" style="71"/>
    <col min="4363" max="4363" width="6.140625" style="71" customWidth="1"/>
    <col min="4364" max="4364" width="6.28515625" style="71" customWidth="1"/>
    <col min="4365" max="4366" width="6" style="71" customWidth="1"/>
    <col min="4367" max="4367" width="5.7109375" style="71"/>
    <col min="4368" max="4368" width="7.28515625" style="71" customWidth="1"/>
    <col min="4369" max="4369" width="8.140625" style="71" customWidth="1"/>
    <col min="4370" max="4371" width="7.140625" style="71" customWidth="1"/>
    <col min="4372" max="4375" width="5.7109375" style="71"/>
    <col min="4376" max="4376" width="7.140625" style="71" customWidth="1"/>
    <col min="4377" max="4377" width="8.140625" style="71" customWidth="1"/>
    <col min="4378" max="4379" width="7.140625" style="71" customWidth="1"/>
    <col min="4380" max="4381" width="5.7109375" style="71"/>
    <col min="4382" max="4382" width="7.42578125" style="71" customWidth="1"/>
    <col min="4383" max="4383" width="4.140625" style="71" customWidth="1"/>
    <col min="4384" max="4609" width="5.7109375" style="71"/>
    <col min="4610" max="4610" width="7.140625" style="71" customWidth="1"/>
    <col min="4611" max="4611" width="7.28515625" style="71" customWidth="1"/>
    <col min="4612" max="4616" width="7.140625" style="71" customWidth="1"/>
    <col min="4617" max="4617" width="6" style="71" customWidth="1"/>
    <col min="4618" max="4618" width="5.7109375" style="71"/>
    <col min="4619" max="4619" width="6.140625" style="71" customWidth="1"/>
    <col min="4620" max="4620" width="6.28515625" style="71" customWidth="1"/>
    <col min="4621" max="4622" width="6" style="71" customWidth="1"/>
    <col min="4623" max="4623" width="5.7109375" style="71"/>
    <col min="4624" max="4624" width="7.28515625" style="71" customWidth="1"/>
    <col min="4625" max="4625" width="8.140625" style="71" customWidth="1"/>
    <col min="4626" max="4627" width="7.140625" style="71" customWidth="1"/>
    <col min="4628" max="4631" width="5.7109375" style="71"/>
    <col min="4632" max="4632" width="7.140625" style="71" customWidth="1"/>
    <col min="4633" max="4633" width="8.140625" style="71" customWidth="1"/>
    <col min="4634" max="4635" width="7.140625" style="71" customWidth="1"/>
    <col min="4636" max="4637" width="5.7109375" style="71"/>
    <col min="4638" max="4638" width="7.42578125" style="71" customWidth="1"/>
    <col min="4639" max="4639" width="4.140625" style="71" customWidth="1"/>
    <col min="4640" max="4865" width="5.7109375" style="71"/>
    <col min="4866" max="4866" width="7.140625" style="71" customWidth="1"/>
    <col min="4867" max="4867" width="7.28515625" style="71" customWidth="1"/>
    <col min="4868" max="4872" width="7.140625" style="71" customWidth="1"/>
    <col min="4873" max="4873" width="6" style="71" customWidth="1"/>
    <col min="4874" max="4874" width="5.7109375" style="71"/>
    <col min="4875" max="4875" width="6.140625" style="71" customWidth="1"/>
    <col min="4876" max="4876" width="6.28515625" style="71" customWidth="1"/>
    <col min="4877" max="4878" width="6" style="71" customWidth="1"/>
    <col min="4879" max="4879" width="5.7109375" style="71"/>
    <col min="4880" max="4880" width="7.28515625" style="71" customWidth="1"/>
    <col min="4881" max="4881" width="8.140625" style="71" customWidth="1"/>
    <col min="4882" max="4883" width="7.140625" style="71" customWidth="1"/>
    <col min="4884" max="4887" width="5.7109375" style="71"/>
    <col min="4888" max="4888" width="7.140625" style="71" customWidth="1"/>
    <col min="4889" max="4889" width="8.140625" style="71" customWidth="1"/>
    <col min="4890" max="4891" width="7.140625" style="71" customWidth="1"/>
    <col min="4892" max="4893" width="5.7109375" style="71"/>
    <col min="4894" max="4894" width="7.42578125" style="71" customWidth="1"/>
    <col min="4895" max="4895" width="4.140625" style="71" customWidth="1"/>
    <col min="4896" max="5121" width="5.7109375" style="71"/>
    <col min="5122" max="5122" width="7.140625" style="71" customWidth="1"/>
    <col min="5123" max="5123" width="7.28515625" style="71" customWidth="1"/>
    <col min="5124" max="5128" width="7.140625" style="71" customWidth="1"/>
    <col min="5129" max="5129" width="6" style="71" customWidth="1"/>
    <col min="5130" max="5130" width="5.7109375" style="71"/>
    <col min="5131" max="5131" width="6.140625" style="71" customWidth="1"/>
    <col min="5132" max="5132" width="6.28515625" style="71" customWidth="1"/>
    <col min="5133" max="5134" width="6" style="71" customWidth="1"/>
    <col min="5135" max="5135" width="5.7109375" style="71"/>
    <col min="5136" max="5136" width="7.28515625" style="71" customWidth="1"/>
    <col min="5137" max="5137" width="8.140625" style="71" customWidth="1"/>
    <col min="5138" max="5139" width="7.140625" style="71" customWidth="1"/>
    <col min="5140" max="5143" width="5.7109375" style="71"/>
    <col min="5144" max="5144" width="7.140625" style="71" customWidth="1"/>
    <col min="5145" max="5145" width="8.140625" style="71" customWidth="1"/>
    <col min="5146" max="5147" width="7.140625" style="71" customWidth="1"/>
    <col min="5148" max="5149" width="5.7109375" style="71"/>
    <col min="5150" max="5150" width="7.42578125" style="71" customWidth="1"/>
    <col min="5151" max="5151" width="4.140625" style="71" customWidth="1"/>
    <col min="5152" max="5377" width="5.7109375" style="71"/>
    <col min="5378" max="5378" width="7.140625" style="71" customWidth="1"/>
    <col min="5379" max="5379" width="7.28515625" style="71" customWidth="1"/>
    <col min="5380" max="5384" width="7.140625" style="71" customWidth="1"/>
    <col min="5385" max="5385" width="6" style="71" customWidth="1"/>
    <col min="5386" max="5386" width="5.7109375" style="71"/>
    <col min="5387" max="5387" width="6.140625" style="71" customWidth="1"/>
    <col min="5388" max="5388" width="6.28515625" style="71" customWidth="1"/>
    <col min="5389" max="5390" width="6" style="71" customWidth="1"/>
    <col min="5391" max="5391" width="5.7109375" style="71"/>
    <col min="5392" max="5392" width="7.28515625" style="71" customWidth="1"/>
    <col min="5393" max="5393" width="8.140625" style="71" customWidth="1"/>
    <col min="5394" max="5395" width="7.140625" style="71" customWidth="1"/>
    <col min="5396" max="5399" width="5.7109375" style="71"/>
    <col min="5400" max="5400" width="7.140625" style="71" customWidth="1"/>
    <col min="5401" max="5401" width="8.140625" style="71" customWidth="1"/>
    <col min="5402" max="5403" width="7.140625" style="71" customWidth="1"/>
    <col min="5404" max="5405" width="5.7109375" style="71"/>
    <col min="5406" max="5406" width="7.42578125" style="71" customWidth="1"/>
    <col min="5407" max="5407" width="4.140625" style="71" customWidth="1"/>
    <col min="5408" max="5633" width="5.7109375" style="71"/>
    <col min="5634" max="5634" width="7.140625" style="71" customWidth="1"/>
    <col min="5635" max="5635" width="7.28515625" style="71" customWidth="1"/>
    <col min="5636" max="5640" width="7.140625" style="71" customWidth="1"/>
    <col min="5641" max="5641" width="6" style="71" customWidth="1"/>
    <col min="5642" max="5642" width="5.7109375" style="71"/>
    <col min="5643" max="5643" width="6.140625" style="71" customWidth="1"/>
    <col min="5644" max="5644" width="6.28515625" style="71" customWidth="1"/>
    <col min="5645" max="5646" width="6" style="71" customWidth="1"/>
    <col min="5647" max="5647" width="5.7109375" style="71"/>
    <col min="5648" max="5648" width="7.28515625" style="71" customWidth="1"/>
    <col min="5649" max="5649" width="8.140625" style="71" customWidth="1"/>
    <col min="5650" max="5651" width="7.140625" style="71" customWidth="1"/>
    <col min="5652" max="5655" width="5.7109375" style="71"/>
    <col min="5656" max="5656" width="7.140625" style="71" customWidth="1"/>
    <col min="5657" max="5657" width="8.140625" style="71" customWidth="1"/>
    <col min="5658" max="5659" width="7.140625" style="71" customWidth="1"/>
    <col min="5660" max="5661" width="5.7109375" style="71"/>
    <col min="5662" max="5662" width="7.42578125" style="71" customWidth="1"/>
    <col min="5663" max="5663" width="4.140625" style="71" customWidth="1"/>
    <col min="5664" max="5889" width="5.7109375" style="71"/>
    <col min="5890" max="5890" width="7.140625" style="71" customWidth="1"/>
    <col min="5891" max="5891" width="7.28515625" style="71" customWidth="1"/>
    <col min="5892" max="5896" width="7.140625" style="71" customWidth="1"/>
    <col min="5897" max="5897" width="6" style="71" customWidth="1"/>
    <col min="5898" max="5898" width="5.7109375" style="71"/>
    <col min="5899" max="5899" width="6.140625" style="71" customWidth="1"/>
    <col min="5900" max="5900" width="6.28515625" style="71" customWidth="1"/>
    <col min="5901" max="5902" width="6" style="71" customWidth="1"/>
    <col min="5903" max="5903" width="5.7109375" style="71"/>
    <col min="5904" max="5904" width="7.28515625" style="71" customWidth="1"/>
    <col min="5905" max="5905" width="8.140625" style="71" customWidth="1"/>
    <col min="5906" max="5907" width="7.140625" style="71" customWidth="1"/>
    <col min="5908" max="5911" width="5.7109375" style="71"/>
    <col min="5912" max="5912" width="7.140625" style="71" customWidth="1"/>
    <col min="5913" max="5913" width="8.140625" style="71" customWidth="1"/>
    <col min="5914" max="5915" width="7.140625" style="71" customWidth="1"/>
    <col min="5916" max="5917" width="5.7109375" style="71"/>
    <col min="5918" max="5918" width="7.42578125" style="71" customWidth="1"/>
    <col min="5919" max="5919" width="4.140625" style="71" customWidth="1"/>
    <col min="5920" max="6145" width="5.7109375" style="71"/>
    <col min="6146" max="6146" width="7.140625" style="71" customWidth="1"/>
    <col min="6147" max="6147" width="7.28515625" style="71" customWidth="1"/>
    <col min="6148" max="6152" width="7.140625" style="71" customWidth="1"/>
    <col min="6153" max="6153" width="6" style="71" customWidth="1"/>
    <col min="6154" max="6154" width="5.7109375" style="71"/>
    <col min="6155" max="6155" width="6.140625" style="71" customWidth="1"/>
    <col min="6156" max="6156" width="6.28515625" style="71" customWidth="1"/>
    <col min="6157" max="6158" width="6" style="71" customWidth="1"/>
    <col min="6159" max="6159" width="5.7109375" style="71"/>
    <col min="6160" max="6160" width="7.28515625" style="71" customWidth="1"/>
    <col min="6161" max="6161" width="8.140625" style="71" customWidth="1"/>
    <col min="6162" max="6163" width="7.140625" style="71" customWidth="1"/>
    <col min="6164" max="6167" width="5.7109375" style="71"/>
    <col min="6168" max="6168" width="7.140625" style="71" customWidth="1"/>
    <col min="6169" max="6169" width="8.140625" style="71" customWidth="1"/>
    <col min="6170" max="6171" width="7.140625" style="71" customWidth="1"/>
    <col min="6172" max="6173" width="5.7109375" style="71"/>
    <col min="6174" max="6174" width="7.42578125" style="71" customWidth="1"/>
    <col min="6175" max="6175" width="4.140625" style="71" customWidth="1"/>
    <col min="6176" max="6401" width="5.7109375" style="71"/>
    <col min="6402" max="6402" width="7.140625" style="71" customWidth="1"/>
    <col min="6403" max="6403" width="7.28515625" style="71" customWidth="1"/>
    <col min="6404" max="6408" width="7.140625" style="71" customWidth="1"/>
    <col min="6409" max="6409" width="6" style="71" customWidth="1"/>
    <col min="6410" max="6410" width="5.7109375" style="71"/>
    <col min="6411" max="6411" width="6.140625" style="71" customWidth="1"/>
    <col min="6412" max="6412" width="6.28515625" style="71" customWidth="1"/>
    <col min="6413" max="6414" width="6" style="71" customWidth="1"/>
    <col min="6415" max="6415" width="5.7109375" style="71"/>
    <col min="6416" max="6416" width="7.28515625" style="71" customWidth="1"/>
    <col min="6417" max="6417" width="8.140625" style="71" customWidth="1"/>
    <col min="6418" max="6419" width="7.140625" style="71" customWidth="1"/>
    <col min="6420" max="6423" width="5.7109375" style="71"/>
    <col min="6424" max="6424" width="7.140625" style="71" customWidth="1"/>
    <col min="6425" max="6425" width="8.140625" style="71" customWidth="1"/>
    <col min="6426" max="6427" width="7.140625" style="71" customWidth="1"/>
    <col min="6428" max="6429" width="5.7109375" style="71"/>
    <col min="6430" max="6430" width="7.42578125" style="71" customWidth="1"/>
    <col min="6431" max="6431" width="4.140625" style="71" customWidth="1"/>
    <col min="6432" max="6657" width="5.7109375" style="71"/>
    <col min="6658" max="6658" width="7.140625" style="71" customWidth="1"/>
    <col min="6659" max="6659" width="7.28515625" style="71" customWidth="1"/>
    <col min="6660" max="6664" width="7.140625" style="71" customWidth="1"/>
    <col min="6665" max="6665" width="6" style="71" customWidth="1"/>
    <col min="6666" max="6666" width="5.7109375" style="71"/>
    <col min="6667" max="6667" width="6.140625" style="71" customWidth="1"/>
    <col min="6668" max="6668" width="6.28515625" style="71" customWidth="1"/>
    <col min="6669" max="6670" width="6" style="71" customWidth="1"/>
    <col min="6671" max="6671" width="5.7109375" style="71"/>
    <col min="6672" max="6672" width="7.28515625" style="71" customWidth="1"/>
    <col min="6673" max="6673" width="8.140625" style="71" customWidth="1"/>
    <col min="6674" max="6675" width="7.140625" style="71" customWidth="1"/>
    <col min="6676" max="6679" width="5.7109375" style="71"/>
    <col min="6680" max="6680" width="7.140625" style="71" customWidth="1"/>
    <col min="6681" max="6681" width="8.140625" style="71" customWidth="1"/>
    <col min="6682" max="6683" width="7.140625" style="71" customWidth="1"/>
    <col min="6684" max="6685" width="5.7109375" style="71"/>
    <col min="6686" max="6686" width="7.42578125" style="71" customWidth="1"/>
    <col min="6687" max="6687" width="4.140625" style="71" customWidth="1"/>
    <col min="6688" max="6913" width="5.7109375" style="71"/>
    <col min="6914" max="6914" width="7.140625" style="71" customWidth="1"/>
    <col min="6915" max="6915" width="7.28515625" style="71" customWidth="1"/>
    <col min="6916" max="6920" width="7.140625" style="71" customWidth="1"/>
    <col min="6921" max="6921" width="6" style="71" customWidth="1"/>
    <col min="6922" max="6922" width="5.7109375" style="71"/>
    <col min="6923" max="6923" width="6.140625" style="71" customWidth="1"/>
    <col min="6924" max="6924" width="6.28515625" style="71" customWidth="1"/>
    <col min="6925" max="6926" width="6" style="71" customWidth="1"/>
    <col min="6927" max="6927" width="5.7109375" style="71"/>
    <col min="6928" max="6928" width="7.28515625" style="71" customWidth="1"/>
    <col min="6929" max="6929" width="8.140625" style="71" customWidth="1"/>
    <col min="6930" max="6931" width="7.140625" style="71" customWidth="1"/>
    <col min="6932" max="6935" width="5.7109375" style="71"/>
    <col min="6936" max="6936" width="7.140625" style="71" customWidth="1"/>
    <col min="6937" max="6937" width="8.140625" style="71" customWidth="1"/>
    <col min="6938" max="6939" width="7.140625" style="71" customWidth="1"/>
    <col min="6940" max="6941" width="5.7109375" style="71"/>
    <col min="6942" max="6942" width="7.42578125" style="71" customWidth="1"/>
    <col min="6943" max="6943" width="4.140625" style="71" customWidth="1"/>
    <col min="6944" max="7169" width="5.7109375" style="71"/>
    <col min="7170" max="7170" width="7.140625" style="71" customWidth="1"/>
    <col min="7171" max="7171" width="7.28515625" style="71" customWidth="1"/>
    <col min="7172" max="7176" width="7.140625" style="71" customWidth="1"/>
    <col min="7177" max="7177" width="6" style="71" customWidth="1"/>
    <col min="7178" max="7178" width="5.7109375" style="71"/>
    <col min="7179" max="7179" width="6.140625" style="71" customWidth="1"/>
    <col min="7180" max="7180" width="6.28515625" style="71" customWidth="1"/>
    <col min="7181" max="7182" width="6" style="71" customWidth="1"/>
    <col min="7183" max="7183" width="5.7109375" style="71"/>
    <col min="7184" max="7184" width="7.28515625" style="71" customWidth="1"/>
    <col min="7185" max="7185" width="8.140625" style="71" customWidth="1"/>
    <col min="7186" max="7187" width="7.140625" style="71" customWidth="1"/>
    <col min="7188" max="7191" width="5.7109375" style="71"/>
    <col min="7192" max="7192" width="7.140625" style="71" customWidth="1"/>
    <col min="7193" max="7193" width="8.140625" style="71" customWidth="1"/>
    <col min="7194" max="7195" width="7.140625" style="71" customWidth="1"/>
    <col min="7196" max="7197" width="5.7109375" style="71"/>
    <col min="7198" max="7198" width="7.42578125" style="71" customWidth="1"/>
    <col min="7199" max="7199" width="4.140625" style="71" customWidth="1"/>
    <col min="7200" max="7425" width="5.7109375" style="71"/>
    <col min="7426" max="7426" width="7.140625" style="71" customWidth="1"/>
    <col min="7427" max="7427" width="7.28515625" style="71" customWidth="1"/>
    <col min="7428" max="7432" width="7.140625" style="71" customWidth="1"/>
    <col min="7433" max="7433" width="6" style="71" customWidth="1"/>
    <col min="7434" max="7434" width="5.7109375" style="71"/>
    <col min="7435" max="7435" width="6.140625" style="71" customWidth="1"/>
    <col min="7436" max="7436" width="6.28515625" style="71" customWidth="1"/>
    <col min="7437" max="7438" width="6" style="71" customWidth="1"/>
    <col min="7439" max="7439" width="5.7109375" style="71"/>
    <col min="7440" max="7440" width="7.28515625" style="71" customWidth="1"/>
    <col min="7441" max="7441" width="8.140625" style="71" customWidth="1"/>
    <col min="7442" max="7443" width="7.140625" style="71" customWidth="1"/>
    <col min="7444" max="7447" width="5.7109375" style="71"/>
    <col min="7448" max="7448" width="7.140625" style="71" customWidth="1"/>
    <col min="7449" max="7449" width="8.140625" style="71" customWidth="1"/>
    <col min="7450" max="7451" width="7.140625" style="71" customWidth="1"/>
    <col min="7452" max="7453" width="5.7109375" style="71"/>
    <col min="7454" max="7454" width="7.42578125" style="71" customWidth="1"/>
    <col min="7455" max="7455" width="4.140625" style="71" customWidth="1"/>
    <col min="7456" max="7681" width="5.7109375" style="71"/>
    <col min="7682" max="7682" width="7.140625" style="71" customWidth="1"/>
    <col min="7683" max="7683" width="7.28515625" style="71" customWidth="1"/>
    <col min="7684" max="7688" width="7.140625" style="71" customWidth="1"/>
    <col min="7689" max="7689" width="6" style="71" customWidth="1"/>
    <col min="7690" max="7690" width="5.7109375" style="71"/>
    <col min="7691" max="7691" width="6.140625" style="71" customWidth="1"/>
    <col min="7692" max="7692" width="6.28515625" style="71" customWidth="1"/>
    <col min="7693" max="7694" width="6" style="71" customWidth="1"/>
    <col min="7695" max="7695" width="5.7109375" style="71"/>
    <col min="7696" max="7696" width="7.28515625" style="71" customWidth="1"/>
    <col min="7697" max="7697" width="8.140625" style="71" customWidth="1"/>
    <col min="7698" max="7699" width="7.140625" style="71" customWidth="1"/>
    <col min="7700" max="7703" width="5.7109375" style="71"/>
    <col min="7704" max="7704" width="7.140625" style="71" customWidth="1"/>
    <col min="7705" max="7705" width="8.140625" style="71" customWidth="1"/>
    <col min="7706" max="7707" width="7.140625" style="71" customWidth="1"/>
    <col min="7708" max="7709" width="5.7109375" style="71"/>
    <col min="7710" max="7710" width="7.42578125" style="71" customWidth="1"/>
    <col min="7711" max="7711" width="4.140625" style="71" customWidth="1"/>
    <col min="7712" max="7937" width="5.7109375" style="71"/>
    <col min="7938" max="7938" width="7.140625" style="71" customWidth="1"/>
    <col min="7939" max="7939" width="7.28515625" style="71" customWidth="1"/>
    <col min="7940" max="7944" width="7.140625" style="71" customWidth="1"/>
    <col min="7945" max="7945" width="6" style="71" customWidth="1"/>
    <col min="7946" max="7946" width="5.7109375" style="71"/>
    <col min="7947" max="7947" width="6.140625" style="71" customWidth="1"/>
    <col min="7948" max="7948" width="6.28515625" style="71" customWidth="1"/>
    <col min="7949" max="7950" width="6" style="71" customWidth="1"/>
    <col min="7951" max="7951" width="5.7109375" style="71"/>
    <col min="7952" max="7952" width="7.28515625" style="71" customWidth="1"/>
    <col min="7953" max="7953" width="8.140625" style="71" customWidth="1"/>
    <col min="7954" max="7955" width="7.140625" style="71" customWidth="1"/>
    <col min="7956" max="7959" width="5.7109375" style="71"/>
    <col min="7960" max="7960" width="7.140625" style="71" customWidth="1"/>
    <col min="7961" max="7961" width="8.140625" style="71" customWidth="1"/>
    <col min="7962" max="7963" width="7.140625" style="71" customWidth="1"/>
    <col min="7964" max="7965" width="5.7109375" style="71"/>
    <col min="7966" max="7966" width="7.42578125" style="71" customWidth="1"/>
    <col min="7967" max="7967" width="4.140625" style="71" customWidth="1"/>
    <col min="7968" max="8193" width="5.7109375" style="71"/>
    <col min="8194" max="8194" width="7.140625" style="71" customWidth="1"/>
    <col min="8195" max="8195" width="7.28515625" style="71" customWidth="1"/>
    <col min="8196" max="8200" width="7.140625" style="71" customWidth="1"/>
    <col min="8201" max="8201" width="6" style="71" customWidth="1"/>
    <col min="8202" max="8202" width="5.7109375" style="71"/>
    <col min="8203" max="8203" width="6.140625" style="71" customWidth="1"/>
    <col min="8204" max="8204" width="6.28515625" style="71" customWidth="1"/>
    <col min="8205" max="8206" width="6" style="71" customWidth="1"/>
    <col min="8207" max="8207" width="5.7109375" style="71"/>
    <col min="8208" max="8208" width="7.28515625" style="71" customWidth="1"/>
    <col min="8209" max="8209" width="8.140625" style="71" customWidth="1"/>
    <col min="8210" max="8211" width="7.140625" style="71" customWidth="1"/>
    <col min="8212" max="8215" width="5.7109375" style="71"/>
    <col min="8216" max="8216" width="7.140625" style="71" customWidth="1"/>
    <col min="8217" max="8217" width="8.140625" style="71" customWidth="1"/>
    <col min="8218" max="8219" width="7.140625" style="71" customWidth="1"/>
    <col min="8220" max="8221" width="5.7109375" style="71"/>
    <col min="8222" max="8222" width="7.42578125" style="71" customWidth="1"/>
    <col min="8223" max="8223" width="4.140625" style="71" customWidth="1"/>
    <col min="8224" max="8449" width="5.7109375" style="71"/>
    <col min="8450" max="8450" width="7.140625" style="71" customWidth="1"/>
    <col min="8451" max="8451" width="7.28515625" style="71" customWidth="1"/>
    <col min="8452" max="8456" width="7.140625" style="71" customWidth="1"/>
    <col min="8457" max="8457" width="6" style="71" customWidth="1"/>
    <col min="8458" max="8458" width="5.7109375" style="71"/>
    <col min="8459" max="8459" width="6.140625" style="71" customWidth="1"/>
    <col min="8460" max="8460" width="6.28515625" style="71" customWidth="1"/>
    <col min="8461" max="8462" width="6" style="71" customWidth="1"/>
    <col min="8463" max="8463" width="5.7109375" style="71"/>
    <col min="8464" max="8464" width="7.28515625" style="71" customWidth="1"/>
    <col min="8465" max="8465" width="8.140625" style="71" customWidth="1"/>
    <col min="8466" max="8467" width="7.140625" style="71" customWidth="1"/>
    <col min="8468" max="8471" width="5.7109375" style="71"/>
    <col min="8472" max="8472" width="7.140625" style="71" customWidth="1"/>
    <col min="8473" max="8473" width="8.140625" style="71" customWidth="1"/>
    <col min="8474" max="8475" width="7.140625" style="71" customWidth="1"/>
    <col min="8476" max="8477" width="5.7109375" style="71"/>
    <col min="8478" max="8478" width="7.42578125" style="71" customWidth="1"/>
    <col min="8479" max="8479" width="4.140625" style="71" customWidth="1"/>
    <col min="8480" max="8705" width="5.7109375" style="71"/>
    <col min="8706" max="8706" width="7.140625" style="71" customWidth="1"/>
    <col min="8707" max="8707" width="7.28515625" style="71" customWidth="1"/>
    <col min="8708" max="8712" width="7.140625" style="71" customWidth="1"/>
    <col min="8713" max="8713" width="6" style="71" customWidth="1"/>
    <col min="8714" max="8714" width="5.7109375" style="71"/>
    <col min="8715" max="8715" width="6.140625" style="71" customWidth="1"/>
    <col min="8716" max="8716" width="6.28515625" style="71" customWidth="1"/>
    <col min="8717" max="8718" width="6" style="71" customWidth="1"/>
    <col min="8719" max="8719" width="5.7109375" style="71"/>
    <col min="8720" max="8720" width="7.28515625" style="71" customWidth="1"/>
    <col min="8721" max="8721" width="8.140625" style="71" customWidth="1"/>
    <col min="8722" max="8723" width="7.140625" style="71" customWidth="1"/>
    <col min="8724" max="8727" width="5.7109375" style="71"/>
    <col min="8728" max="8728" width="7.140625" style="71" customWidth="1"/>
    <col min="8729" max="8729" width="8.140625" style="71" customWidth="1"/>
    <col min="8730" max="8731" width="7.140625" style="71" customWidth="1"/>
    <col min="8732" max="8733" width="5.7109375" style="71"/>
    <col min="8734" max="8734" width="7.42578125" style="71" customWidth="1"/>
    <col min="8735" max="8735" width="4.140625" style="71" customWidth="1"/>
    <col min="8736" max="8961" width="5.7109375" style="71"/>
    <col min="8962" max="8962" width="7.140625" style="71" customWidth="1"/>
    <col min="8963" max="8963" width="7.28515625" style="71" customWidth="1"/>
    <col min="8964" max="8968" width="7.140625" style="71" customWidth="1"/>
    <col min="8969" max="8969" width="6" style="71" customWidth="1"/>
    <col min="8970" max="8970" width="5.7109375" style="71"/>
    <col min="8971" max="8971" width="6.140625" style="71" customWidth="1"/>
    <col min="8972" max="8972" width="6.28515625" style="71" customWidth="1"/>
    <col min="8973" max="8974" width="6" style="71" customWidth="1"/>
    <col min="8975" max="8975" width="5.7109375" style="71"/>
    <col min="8976" max="8976" width="7.28515625" style="71" customWidth="1"/>
    <col min="8977" max="8977" width="8.140625" style="71" customWidth="1"/>
    <col min="8978" max="8979" width="7.140625" style="71" customWidth="1"/>
    <col min="8980" max="8983" width="5.7109375" style="71"/>
    <col min="8984" max="8984" width="7.140625" style="71" customWidth="1"/>
    <col min="8985" max="8985" width="8.140625" style="71" customWidth="1"/>
    <col min="8986" max="8987" width="7.140625" style="71" customWidth="1"/>
    <col min="8988" max="8989" width="5.7109375" style="71"/>
    <col min="8990" max="8990" width="7.42578125" style="71" customWidth="1"/>
    <col min="8991" max="8991" width="4.140625" style="71" customWidth="1"/>
    <col min="8992" max="9217" width="5.7109375" style="71"/>
    <col min="9218" max="9218" width="7.140625" style="71" customWidth="1"/>
    <col min="9219" max="9219" width="7.28515625" style="71" customWidth="1"/>
    <col min="9220" max="9224" width="7.140625" style="71" customWidth="1"/>
    <col min="9225" max="9225" width="6" style="71" customWidth="1"/>
    <col min="9226" max="9226" width="5.7109375" style="71"/>
    <col min="9227" max="9227" width="6.140625" style="71" customWidth="1"/>
    <col min="9228" max="9228" width="6.28515625" style="71" customWidth="1"/>
    <col min="9229" max="9230" width="6" style="71" customWidth="1"/>
    <col min="9231" max="9231" width="5.7109375" style="71"/>
    <col min="9232" max="9232" width="7.28515625" style="71" customWidth="1"/>
    <col min="9233" max="9233" width="8.140625" style="71" customWidth="1"/>
    <col min="9234" max="9235" width="7.140625" style="71" customWidth="1"/>
    <col min="9236" max="9239" width="5.7109375" style="71"/>
    <col min="9240" max="9240" width="7.140625" style="71" customWidth="1"/>
    <col min="9241" max="9241" width="8.140625" style="71" customWidth="1"/>
    <col min="9242" max="9243" width="7.140625" style="71" customWidth="1"/>
    <col min="9244" max="9245" width="5.7109375" style="71"/>
    <col min="9246" max="9246" width="7.42578125" style="71" customWidth="1"/>
    <col min="9247" max="9247" width="4.140625" style="71" customWidth="1"/>
    <col min="9248" max="9473" width="5.7109375" style="71"/>
    <col min="9474" max="9474" width="7.140625" style="71" customWidth="1"/>
    <col min="9475" max="9475" width="7.28515625" style="71" customWidth="1"/>
    <col min="9476" max="9480" width="7.140625" style="71" customWidth="1"/>
    <col min="9481" max="9481" width="6" style="71" customWidth="1"/>
    <col min="9482" max="9482" width="5.7109375" style="71"/>
    <col min="9483" max="9483" width="6.140625" style="71" customWidth="1"/>
    <col min="9484" max="9484" width="6.28515625" style="71" customWidth="1"/>
    <col min="9485" max="9486" width="6" style="71" customWidth="1"/>
    <col min="9487" max="9487" width="5.7109375" style="71"/>
    <col min="9488" max="9488" width="7.28515625" style="71" customWidth="1"/>
    <col min="9489" max="9489" width="8.140625" style="71" customWidth="1"/>
    <col min="9490" max="9491" width="7.140625" style="71" customWidth="1"/>
    <col min="9492" max="9495" width="5.7109375" style="71"/>
    <col min="9496" max="9496" width="7.140625" style="71" customWidth="1"/>
    <col min="9497" max="9497" width="8.140625" style="71" customWidth="1"/>
    <col min="9498" max="9499" width="7.140625" style="71" customWidth="1"/>
    <col min="9500" max="9501" width="5.7109375" style="71"/>
    <col min="9502" max="9502" width="7.42578125" style="71" customWidth="1"/>
    <col min="9503" max="9503" width="4.140625" style="71" customWidth="1"/>
    <col min="9504" max="9729" width="5.7109375" style="71"/>
    <col min="9730" max="9730" width="7.140625" style="71" customWidth="1"/>
    <col min="9731" max="9731" width="7.28515625" style="71" customWidth="1"/>
    <col min="9732" max="9736" width="7.140625" style="71" customWidth="1"/>
    <col min="9737" max="9737" width="6" style="71" customWidth="1"/>
    <col min="9738" max="9738" width="5.7109375" style="71"/>
    <col min="9739" max="9739" width="6.140625" style="71" customWidth="1"/>
    <col min="9740" max="9740" width="6.28515625" style="71" customWidth="1"/>
    <col min="9741" max="9742" width="6" style="71" customWidth="1"/>
    <col min="9743" max="9743" width="5.7109375" style="71"/>
    <col min="9744" max="9744" width="7.28515625" style="71" customWidth="1"/>
    <col min="9745" max="9745" width="8.140625" style="71" customWidth="1"/>
    <col min="9746" max="9747" width="7.140625" style="71" customWidth="1"/>
    <col min="9748" max="9751" width="5.7109375" style="71"/>
    <col min="9752" max="9752" width="7.140625" style="71" customWidth="1"/>
    <col min="9753" max="9753" width="8.140625" style="71" customWidth="1"/>
    <col min="9754" max="9755" width="7.140625" style="71" customWidth="1"/>
    <col min="9756" max="9757" width="5.7109375" style="71"/>
    <col min="9758" max="9758" width="7.42578125" style="71" customWidth="1"/>
    <col min="9759" max="9759" width="4.140625" style="71" customWidth="1"/>
    <col min="9760" max="9985" width="5.7109375" style="71"/>
    <col min="9986" max="9986" width="7.140625" style="71" customWidth="1"/>
    <col min="9987" max="9987" width="7.28515625" style="71" customWidth="1"/>
    <col min="9988" max="9992" width="7.140625" style="71" customWidth="1"/>
    <col min="9993" max="9993" width="6" style="71" customWidth="1"/>
    <col min="9994" max="9994" width="5.7109375" style="71"/>
    <col min="9995" max="9995" width="6.140625" style="71" customWidth="1"/>
    <col min="9996" max="9996" width="6.28515625" style="71" customWidth="1"/>
    <col min="9997" max="9998" width="6" style="71" customWidth="1"/>
    <col min="9999" max="9999" width="5.7109375" style="71"/>
    <col min="10000" max="10000" width="7.28515625" style="71" customWidth="1"/>
    <col min="10001" max="10001" width="8.140625" style="71" customWidth="1"/>
    <col min="10002" max="10003" width="7.140625" style="71" customWidth="1"/>
    <col min="10004" max="10007" width="5.7109375" style="71"/>
    <col min="10008" max="10008" width="7.140625" style="71" customWidth="1"/>
    <col min="10009" max="10009" width="8.140625" style="71" customWidth="1"/>
    <col min="10010" max="10011" width="7.140625" style="71" customWidth="1"/>
    <col min="10012" max="10013" width="5.7109375" style="71"/>
    <col min="10014" max="10014" width="7.42578125" style="71" customWidth="1"/>
    <col min="10015" max="10015" width="4.140625" style="71" customWidth="1"/>
    <col min="10016" max="10241" width="5.7109375" style="71"/>
    <col min="10242" max="10242" width="7.140625" style="71" customWidth="1"/>
    <col min="10243" max="10243" width="7.28515625" style="71" customWidth="1"/>
    <col min="10244" max="10248" width="7.140625" style="71" customWidth="1"/>
    <col min="10249" max="10249" width="6" style="71" customWidth="1"/>
    <col min="10250" max="10250" width="5.7109375" style="71"/>
    <col min="10251" max="10251" width="6.140625" style="71" customWidth="1"/>
    <col min="10252" max="10252" width="6.28515625" style="71" customWidth="1"/>
    <col min="10253" max="10254" width="6" style="71" customWidth="1"/>
    <col min="10255" max="10255" width="5.7109375" style="71"/>
    <col min="10256" max="10256" width="7.28515625" style="71" customWidth="1"/>
    <col min="10257" max="10257" width="8.140625" style="71" customWidth="1"/>
    <col min="10258" max="10259" width="7.140625" style="71" customWidth="1"/>
    <col min="10260" max="10263" width="5.7109375" style="71"/>
    <col min="10264" max="10264" width="7.140625" style="71" customWidth="1"/>
    <col min="10265" max="10265" width="8.140625" style="71" customWidth="1"/>
    <col min="10266" max="10267" width="7.140625" style="71" customWidth="1"/>
    <col min="10268" max="10269" width="5.7109375" style="71"/>
    <col min="10270" max="10270" width="7.42578125" style="71" customWidth="1"/>
    <col min="10271" max="10271" width="4.140625" style="71" customWidth="1"/>
    <col min="10272" max="10497" width="5.7109375" style="71"/>
    <col min="10498" max="10498" width="7.140625" style="71" customWidth="1"/>
    <col min="10499" max="10499" width="7.28515625" style="71" customWidth="1"/>
    <col min="10500" max="10504" width="7.140625" style="71" customWidth="1"/>
    <col min="10505" max="10505" width="6" style="71" customWidth="1"/>
    <col min="10506" max="10506" width="5.7109375" style="71"/>
    <col min="10507" max="10507" width="6.140625" style="71" customWidth="1"/>
    <col min="10508" max="10508" width="6.28515625" style="71" customWidth="1"/>
    <col min="10509" max="10510" width="6" style="71" customWidth="1"/>
    <col min="10511" max="10511" width="5.7109375" style="71"/>
    <col min="10512" max="10512" width="7.28515625" style="71" customWidth="1"/>
    <col min="10513" max="10513" width="8.140625" style="71" customWidth="1"/>
    <col min="10514" max="10515" width="7.140625" style="71" customWidth="1"/>
    <col min="10516" max="10519" width="5.7109375" style="71"/>
    <col min="10520" max="10520" width="7.140625" style="71" customWidth="1"/>
    <col min="10521" max="10521" width="8.140625" style="71" customWidth="1"/>
    <col min="10522" max="10523" width="7.140625" style="71" customWidth="1"/>
    <col min="10524" max="10525" width="5.7109375" style="71"/>
    <col min="10526" max="10526" width="7.42578125" style="71" customWidth="1"/>
    <col min="10527" max="10527" width="4.140625" style="71" customWidth="1"/>
    <col min="10528" max="10753" width="5.7109375" style="71"/>
    <col min="10754" max="10754" width="7.140625" style="71" customWidth="1"/>
    <col min="10755" max="10755" width="7.28515625" style="71" customWidth="1"/>
    <col min="10756" max="10760" width="7.140625" style="71" customWidth="1"/>
    <col min="10761" max="10761" width="6" style="71" customWidth="1"/>
    <col min="10762" max="10762" width="5.7109375" style="71"/>
    <col min="10763" max="10763" width="6.140625" style="71" customWidth="1"/>
    <col min="10764" max="10764" width="6.28515625" style="71" customWidth="1"/>
    <col min="10765" max="10766" width="6" style="71" customWidth="1"/>
    <col min="10767" max="10767" width="5.7109375" style="71"/>
    <col min="10768" max="10768" width="7.28515625" style="71" customWidth="1"/>
    <col min="10769" max="10769" width="8.140625" style="71" customWidth="1"/>
    <col min="10770" max="10771" width="7.140625" style="71" customWidth="1"/>
    <col min="10772" max="10775" width="5.7109375" style="71"/>
    <col min="10776" max="10776" width="7.140625" style="71" customWidth="1"/>
    <col min="10777" max="10777" width="8.140625" style="71" customWidth="1"/>
    <col min="10778" max="10779" width="7.140625" style="71" customWidth="1"/>
    <col min="10780" max="10781" width="5.7109375" style="71"/>
    <col min="10782" max="10782" width="7.42578125" style="71" customWidth="1"/>
    <col min="10783" max="10783" width="4.140625" style="71" customWidth="1"/>
    <col min="10784" max="11009" width="5.7109375" style="71"/>
    <col min="11010" max="11010" width="7.140625" style="71" customWidth="1"/>
    <col min="11011" max="11011" width="7.28515625" style="71" customWidth="1"/>
    <col min="11012" max="11016" width="7.140625" style="71" customWidth="1"/>
    <col min="11017" max="11017" width="6" style="71" customWidth="1"/>
    <col min="11018" max="11018" width="5.7109375" style="71"/>
    <col min="11019" max="11019" width="6.140625" style="71" customWidth="1"/>
    <col min="11020" max="11020" width="6.28515625" style="71" customWidth="1"/>
    <col min="11021" max="11022" width="6" style="71" customWidth="1"/>
    <col min="11023" max="11023" width="5.7109375" style="71"/>
    <col min="11024" max="11024" width="7.28515625" style="71" customWidth="1"/>
    <col min="11025" max="11025" width="8.140625" style="71" customWidth="1"/>
    <col min="11026" max="11027" width="7.140625" style="71" customWidth="1"/>
    <col min="11028" max="11031" width="5.7109375" style="71"/>
    <col min="11032" max="11032" width="7.140625" style="71" customWidth="1"/>
    <col min="11033" max="11033" width="8.140625" style="71" customWidth="1"/>
    <col min="11034" max="11035" width="7.140625" style="71" customWidth="1"/>
    <col min="11036" max="11037" width="5.7109375" style="71"/>
    <col min="11038" max="11038" width="7.42578125" style="71" customWidth="1"/>
    <col min="11039" max="11039" width="4.140625" style="71" customWidth="1"/>
    <col min="11040" max="11265" width="5.7109375" style="71"/>
    <col min="11266" max="11266" width="7.140625" style="71" customWidth="1"/>
    <col min="11267" max="11267" width="7.28515625" style="71" customWidth="1"/>
    <col min="11268" max="11272" width="7.140625" style="71" customWidth="1"/>
    <col min="11273" max="11273" width="6" style="71" customWidth="1"/>
    <col min="11274" max="11274" width="5.7109375" style="71"/>
    <col min="11275" max="11275" width="6.140625" style="71" customWidth="1"/>
    <col min="11276" max="11276" width="6.28515625" style="71" customWidth="1"/>
    <col min="11277" max="11278" width="6" style="71" customWidth="1"/>
    <col min="11279" max="11279" width="5.7109375" style="71"/>
    <col min="11280" max="11280" width="7.28515625" style="71" customWidth="1"/>
    <col min="11281" max="11281" width="8.140625" style="71" customWidth="1"/>
    <col min="11282" max="11283" width="7.140625" style="71" customWidth="1"/>
    <col min="11284" max="11287" width="5.7109375" style="71"/>
    <col min="11288" max="11288" width="7.140625" style="71" customWidth="1"/>
    <col min="11289" max="11289" width="8.140625" style="71" customWidth="1"/>
    <col min="11290" max="11291" width="7.140625" style="71" customWidth="1"/>
    <col min="11292" max="11293" width="5.7109375" style="71"/>
    <col min="11294" max="11294" width="7.42578125" style="71" customWidth="1"/>
    <col min="11295" max="11295" width="4.140625" style="71" customWidth="1"/>
    <col min="11296" max="11521" width="5.7109375" style="71"/>
    <col min="11522" max="11522" width="7.140625" style="71" customWidth="1"/>
    <col min="11523" max="11523" width="7.28515625" style="71" customWidth="1"/>
    <col min="11524" max="11528" width="7.140625" style="71" customWidth="1"/>
    <col min="11529" max="11529" width="6" style="71" customWidth="1"/>
    <col min="11530" max="11530" width="5.7109375" style="71"/>
    <col min="11531" max="11531" width="6.140625" style="71" customWidth="1"/>
    <col min="11532" max="11532" width="6.28515625" style="71" customWidth="1"/>
    <col min="11533" max="11534" width="6" style="71" customWidth="1"/>
    <col min="11535" max="11535" width="5.7109375" style="71"/>
    <col min="11536" max="11536" width="7.28515625" style="71" customWidth="1"/>
    <col min="11537" max="11537" width="8.140625" style="71" customWidth="1"/>
    <col min="11538" max="11539" width="7.140625" style="71" customWidth="1"/>
    <col min="11540" max="11543" width="5.7109375" style="71"/>
    <col min="11544" max="11544" width="7.140625" style="71" customWidth="1"/>
    <col min="11545" max="11545" width="8.140625" style="71" customWidth="1"/>
    <col min="11546" max="11547" width="7.140625" style="71" customWidth="1"/>
    <col min="11548" max="11549" width="5.7109375" style="71"/>
    <col min="11550" max="11550" width="7.42578125" style="71" customWidth="1"/>
    <col min="11551" max="11551" width="4.140625" style="71" customWidth="1"/>
    <col min="11552" max="11777" width="5.7109375" style="71"/>
    <col min="11778" max="11778" width="7.140625" style="71" customWidth="1"/>
    <col min="11779" max="11779" width="7.28515625" style="71" customWidth="1"/>
    <col min="11780" max="11784" width="7.140625" style="71" customWidth="1"/>
    <col min="11785" max="11785" width="6" style="71" customWidth="1"/>
    <col min="11786" max="11786" width="5.7109375" style="71"/>
    <col min="11787" max="11787" width="6.140625" style="71" customWidth="1"/>
    <col min="11788" max="11788" width="6.28515625" style="71" customWidth="1"/>
    <col min="11789" max="11790" width="6" style="71" customWidth="1"/>
    <col min="11791" max="11791" width="5.7109375" style="71"/>
    <col min="11792" max="11792" width="7.28515625" style="71" customWidth="1"/>
    <col min="11793" max="11793" width="8.140625" style="71" customWidth="1"/>
    <col min="11794" max="11795" width="7.140625" style="71" customWidth="1"/>
    <col min="11796" max="11799" width="5.7109375" style="71"/>
    <col min="11800" max="11800" width="7.140625" style="71" customWidth="1"/>
    <col min="11801" max="11801" width="8.140625" style="71" customWidth="1"/>
    <col min="11802" max="11803" width="7.140625" style="71" customWidth="1"/>
    <col min="11804" max="11805" width="5.7109375" style="71"/>
    <col min="11806" max="11806" width="7.42578125" style="71" customWidth="1"/>
    <col min="11807" max="11807" width="4.140625" style="71" customWidth="1"/>
    <col min="11808" max="12033" width="5.7109375" style="71"/>
    <col min="12034" max="12034" width="7.140625" style="71" customWidth="1"/>
    <col min="12035" max="12035" width="7.28515625" style="71" customWidth="1"/>
    <col min="12036" max="12040" width="7.140625" style="71" customWidth="1"/>
    <col min="12041" max="12041" width="6" style="71" customWidth="1"/>
    <col min="12042" max="12042" width="5.7109375" style="71"/>
    <col min="12043" max="12043" width="6.140625" style="71" customWidth="1"/>
    <col min="12044" max="12044" width="6.28515625" style="71" customWidth="1"/>
    <col min="12045" max="12046" width="6" style="71" customWidth="1"/>
    <col min="12047" max="12047" width="5.7109375" style="71"/>
    <col min="12048" max="12048" width="7.28515625" style="71" customWidth="1"/>
    <col min="12049" max="12049" width="8.140625" style="71" customWidth="1"/>
    <col min="12050" max="12051" width="7.140625" style="71" customWidth="1"/>
    <col min="12052" max="12055" width="5.7109375" style="71"/>
    <col min="12056" max="12056" width="7.140625" style="71" customWidth="1"/>
    <col min="12057" max="12057" width="8.140625" style="71" customWidth="1"/>
    <col min="12058" max="12059" width="7.140625" style="71" customWidth="1"/>
    <col min="12060" max="12061" width="5.7109375" style="71"/>
    <col min="12062" max="12062" width="7.42578125" style="71" customWidth="1"/>
    <col min="12063" max="12063" width="4.140625" style="71" customWidth="1"/>
    <col min="12064" max="12289" width="5.7109375" style="71"/>
    <col min="12290" max="12290" width="7.140625" style="71" customWidth="1"/>
    <col min="12291" max="12291" width="7.28515625" style="71" customWidth="1"/>
    <col min="12292" max="12296" width="7.140625" style="71" customWidth="1"/>
    <col min="12297" max="12297" width="6" style="71" customWidth="1"/>
    <col min="12298" max="12298" width="5.7109375" style="71"/>
    <col min="12299" max="12299" width="6.140625" style="71" customWidth="1"/>
    <col min="12300" max="12300" width="6.28515625" style="71" customWidth="1"/>
    <col min="12301" max="12302" width="6" style="71" customWidth="1"/>
    <col min="12303" max="12303" width="5.7109375" style="71"/>
    <col min="12304" max="12304" width="7.28515625" style="71" customWidth="1"/>
    <col min="12305" max="12305" width="8.140625" style="71" customWidth="1"/>
    <col min="12306" max="12307" width="7.140625" style="71" customWidth="1"/>
    <col min="12308" max="12311" width="5.7109375" style="71"/>
    <col min="12312" max="12312" width="7.140625" style="71" customWidth="1"/>
    <col min="12313" max="12313" width="8.140625" style="71" customWidth="1"/>
    <col min="12314" max="12315" width="7.140625" style="71" customWidth="1"/>
    <col min="12316" max="12317" width="5.7109375" style="71"/>
    <col min="12318" max="12318" width="7.42578125" style="71" customWidth="1"/>
    <col min="12319" max="12319" width="4.140625" style="71" customWidth="1"/>
    <col min="12320" max="12545" width="5.7109375" style="71"/>
    <col min="12546" max="12546" width="7.140625" style="71" customWidth="1"/>
    <col min="12547" max="12547" width="7.28515625" style="71" customWidth="1"/>
    <col min="12548" max="12552" width="7.140625" style="71" customWidth="1"/>
    <col min="12553" max="12553" width="6" style="71" customWidth="1"/>
    <col min="12554" max="12554" width="5.7109375" style="71"/>
    <col min="12555" max="12555" width="6.140625" style="71" customWidth="1"/>
    <col min="12556" max="12556" width="6.28515625" style="71" customWidth="1"/>
    <col min="12557" max="12558" width="6" style="71" customWidth="1"/>
    <col min="12559" max="12559" width="5.7109375" style="71"/>
    <col min="12560" max="12560" width="7.28515625" style="71" customWidth="1"/>
    <col min="12561" max="12561" width="8.140625" style="71" customWidth="1"/>
    <col min="12562" max="12563" width="7.140625" style="71" customWidth="1"/>
    <col min="12564" max="12567" width="5.7109375" style="71"/>
    <col min="12568" max="12568" width="7.140625" style="71" customWidth="1"/>
    <col min="12569" max="12569" width="8.140625" style="71" customWidth="1"/>
    <col min="12570" max="12571" width="7.140625" style="71" customWidth="1"/>
    <col min="12572" max="12573" width="5.7109375" style="71"/>
    <col min="12574" max="12574" width="7.42578125" style="71" customWidth="1"/>
    <col min="12575" max="12575" width="4.140625" style="71" customWidth="1"/>
    <col min="12576" max="12801" width="5.7109375" style="71"/>
    <col min="12802" max="12802" width="7.140625" style="71" customWidth="1"/>
    <col min="12803" max="12803" width="7.28515625" style="71" customWidth="1"/>
    <col min="12804" max="12808" width="7.140625" style="71" customWidth="1"/>
    <col min="12809" max="12809" width="6" style="71" customWidth="1"/>
    <col min="12810" max="12810" width="5.7109375" style="71"/>
    <col min="12811" max="12811" width="6.140625" style="71" customWidth="1"/>
    <col min="12812" max="12812" width="6.28515625" style="71" customWidth="1"/>
    <col min="12813" max="12814" width="6" style="71" customWidth="1"/>
    <col min="12815" max="12815" width="5.7109375" style="71"/>
    <col min="12816" max="12816" width="7.28515625" style="71" customWidth="1"/>
    <col min="12817" max="12817" width="8.140625" style="71" customWidth="1"/>
    <col min="12818" max="12819" width="7.140625" style="71" customWidth="1"/>
    <col min="12820" max="12823" width="5.7109375" style="71"/>
    <col min="12824" max="12824" width="7.140625" style="71" customWidth="1"/>
    <col min="12825" max="12825" width="8.140625" style="71" customWidth="1"/>
    <col min="12826" max="12827" width="7.140625" style="71" customWidth="1"/>
    <col min="12828" max="12829" width="5.7109375" style="71"/>
    <col min="12830" max="12830" width="7.42578125" style="71" customWidth="1"/>
    <col min="12831" max="12831" width="4.140625" style="71" customWidth="1"/>
    <col min="12832" max="13057" width="5.7109375" style="71"/>
    <col min="13058" max="13058" width="7.140625" style="71" customWidth="1"/>
    <col min="13059" max="13059" width="7.28515625" style="71" customWidth="1"/>
    <col min="13060" max="13064" width="7.140625" style="71" customWidth="1"/>
    <col min="13065" max="13065" width="6" style="71" customWidth="1"/>
    <col min="13066" max="13066" width="5.7109375" style="71"/>
    <col min="13067" max="13067" width="6.140625" style="71" customWidth="1"/>
    <col min="13068" max="13068" width="6.28515625" style="71" customWidth="1"/>
    <col min="13069" max="13070" width="6" style="71" customWidth="1"/>
    <col min="13071" max="13071" width="5.7109375" style="71"/>
    <col min="13072" max="13072" width="7.28515625" style="71" customWidth="1"/>
    <col min="13073" max="13073" width="8.140625" style="71" customWidth="1"/>
    <col min="13074" max="13075" width="7.140625" style="71" customWidth="1"/>
    <col min="13076" max="13079" width="5.7109375" style="71"/>
    <col min="13080" max="13080" width="7.140625" style="71" customWidth="1"/>
    <col min="13081" max="13081" width="8.140625" style="71" customWidth="1"/>
    <col min="13082" max="13083" width="7.140625" style="71" customWidth="1"/>
    <col min="13084" max="13085" width="5.7109375" style="71"/>
    <col min="13086" max="13086" width="7.42578125" style="71" customWidth="1"/>
    <col min="13087" max="13087" width="4.140625" style="71" customWidth="1"/>
    <col min="13088" max="13313" width="5.7109375" style="71"/>
    <col min="13314" max="13314" width="7.140625" style="71" customWidth="1"/>
    <col min="13315" max="13315" width="7.28515625" style="71" customWidth="1"/>
    <col min="13316" max="13320" width="7.140625" style="71" customWidth="1"/>
    <col min="13321" max="13321" width="6" style="71" customWidth="1"/>
    <col min="13322" max="13322" width="5.7109375" style="71"/>
    <col min="13323" max="13323" width="6.140625" style="71" customWidth="1"/>
    <col min="13324" max="13324" width="6.28515625" style="71" customWidth="1"/>
    <col min="13325" max="13326" width="6" style="71" customWidth="1"/>
    <col min="13327" max="13327" width="5.7109375" style="71"/>
    <col min="13328" max="13328" width="7.28515625" style="71" customWidth="1"/>
    <col min="13329" max="13329" width="8.140625" style="71" customWidth="1"/>
    <col min="13330" max="13331" width="7.140625" style="71" customWidth="1"/>
    <col min="13332" max="13335" width="5.7109375" style="71"/>
    <col min="13336" max="13336" width="7.140625" style="71" customWidth="1"/>
    <col min="13337" max="13337" width="8.140625" style="71" customWidth="1"/>
    <col min="13338" max="13339" width="7.140625" style="71" customWidth="1"/>
    <col min="13340" max="13341" width="5.7109375" style="71"/>
    <col min="13342" max="13342" width="7.42578125" style="71" customWidth="1"/>
    <col min="13343" max="13343" width="4.140625" style="71" customWidth="1"/>
    <col min="13344" max="13569" width="5.7109375" style="71"/>
    <col min="13570" max="13570" width="7.140625" style="71" customWidth="1"/>
    <col min="13571" max="13571" width="7.28515625" style="71" customWidth="1"/>
    <col min="13572" max="13576" width="7.140625" style="71" customWidth="1"/>
    <col min="13577" max="13577" width="6" style="71" customWidth="1"/>
    <col min="13578" max="13578" width="5.7109375" style="71"/>
    <col min="13579" max="13579" width="6.140625" style="71" customWidth="1"/>
    <col min="13580" max="13580" width="6.28515625" style="71" customWidth="1"/>
    <col min="13581" max="13582" width="6" style="71" customWidth="1"/>
    <col min="13583" max="13583" width="5.7109375" style="71"/>
    <col min="13584" max="13584" width="7.28515625" style="71" customWidth="1"/>
    <col min="13585" max="13585" width="8.140625" style="71" customWidth="1"/>
    <col min="13586" max="13587" width="7.140625" style="71" customWidth="1"/>
    <col min="13588" max="13591" width="5.7109375" style="71"/>
    <col min="13592" max="13592" width="7.140625" style="71" customWidth="1"/>
    <col min="13593" max="13593" width="8.140625" style="71" customWidth="1"/>
    <col min="13594" max="13595" width="7.140625" style="71" customWidth="1"/>
    <col min="13596" max="13597" width="5.7109375" style="71"/>
    <col min="13598" max="13598" width="7.42578125" style="71" customWidth="1"/>
    <col min="13599" max="13599" width="4.140625" style="71" customWidth="1"/>
    <col min="13600" max="13825" width="5.7109375" style="71"/>
    <col min="13826" max="13826" width="7.140625" style="71" customWidth="1"/>
    <col min="13827" max="13827" width="7.28515625" style="71" customWidth="1"/>
    <col min="13828" max="13832" width="7.140625" style="71" customWidth="1"/>
    <col min="13833" max="13833" width="6" style="71" customWidth="1"/>
    <col min="13834" max="13834" width="5.7109375" style="71"/>
    <col min="13835" max="13835" width="6.140625" style="71" customWidth="1"/>
    <col min="13836" max="13836" width="6.28515625" style="71" customWidth="1"/>
    <col min="13837" max="13838" width="6" style="71" customWidth="1"/>
    <col min="13839" max="13839" width="5.7109375" style="71"/>
    <col min="13840" max="13840" width="7.28515625" style="71" customWidth="1"/>
    <col min="13841" max="13841" width="8.140625" style="71" customWidth="1"/>
    <col min="13842" max="13843" width="7.140625" style="71" customWidth="1"/>
    <col min="13844" max="13847" width="5.7109375" style="71"/>
    <col min="13848" max="13848" width="7.140625" style="71" customWidth="1"/>
    <col min="13849" max="13849" width="8.140625" style="71" customWidth="1"/>
    <col min="13850" max="13851" width="7.140625" style="71" customWidth="1"/>
    <col min="13852" max="13853" width="5.7109375" style="71"/>
    <col min="13854" max="13854" width="7.42578125" style="71" customWidth="1"/>
    <col min="13855" max="13855" width="4.140625" style="71" customWidth="1"/>
    <col min="13856" max="14081" width="5.7109375" style="71"/>
    <col min="14082" max="14082" width="7.140625" style="71" customWidth="1"/>
    <col min="14083" max="14083" width="7.28515625" style="71" customWidth="1"/>
    <col min="14084" max="14088" width="7.140625" style="71" customWidth="1"/>
    <col min="14089" max="14089" width="6" style="71" customWidth="1"/>
    <col min="14090" max="14090" width="5.7109375" style="71"/>
    <col min="14091" max="14091" width="6.140625" style="71" customWidth="1"/>
    <col min="14092" max="14092" width="6.28515625" style="71" customWidth="1"/>
    <col min="14093" max="14094" width="6" style="71" customWidth="1"/>
    <col min="14095" max="14095" width="5.7109375" style="71"/>
    <col min="14096" max="14096" width="7.28515625" style="71" customWidth="1"/>
    <col min="14097" max="14097" width="8.140625" style="71" customWidth="1"/>
    <col min="14098" max="14099" width="7.140625" style="71" customWidth="1"/>
    <col min="14100" max="14103" width="5.7109375" style="71"/>
    <col min="14104" max="14104" width="7.140625" style="71" customWidth="1"/>
    <col min="14105" max="14105" width="8.140625" style="71" customWidth="1"/>
    <col min="14106" max="14107" width="7.140625" style="71" customWidth="1"/>
    <col min="14108" max="14109" width="5.7109375" style="71"/>
    <col min="14110" max="14110" width="7.42578125" style="71" customWidth="1"/>
    <col min="14111" max="14111" width="4.140625" style="71" customWidth="1"/>
    <col min="14112" max="14337" width="5.7109375" style="71"/>
    <col min="14338" max="14338" width="7.140625" style="71" customWidth="1"/>
    <col min="14339" max="14339" width="7.28515625" style="71" customWidth="1"/>
    <col min="14340" max="14344" width="7.140625" style="71" customWidth="1"/>
    <col min="14345" max="14345" width="6" style="71" customWidth="1"/>
    <col min="14346" max="14346" width="5.7109375" style="71"/>
    <col min="14347" max="14347" width="6.140625" style="71" customWidth="1"/>
    <col min="14348" max="14348" width="6.28515625" style="71" customWidth="1"/>
    <col min="14349" max="14350" width="6" style="71" customWidth="1"/>
    <col min="14351" max="14351" width="5.7109375" style="71"/>
    <col min="14352" max="14352" width="7.28515625" style="71" customWidth="1"/>
    <col min="14353" max="14353" width="8.140625" style="71" customWidth="1"/>
    <col min="14354" max="14355" width="7.140625" style="71" customWidth="1"/>
    <col min="14356" max="14359" width="5.7109375" style="71"/>
    <col min="14360" max="14360" width="7.140625" style="71" customWidth="1"/>
    <col min="14361" max="14361" width="8.140625" style="71" customWidth="1"/>
    <col min="14362" max="14363" width="7.140625" style="71" customWidth="1"/>
    <col min="14364" max="14365" width="5.7109375" style="71"/>
    <col min="14366" max="14366" width="7.42578125" style="71" customWidth="1"/>
    <col min="14367" max="14367" width="4.140625" style="71" customWidth="1"/>
    <col min="14368" max="14593" width="5.7109375" style="71"/>
    <col min="14594" max="14594" width="7.140625" style="71" customWidth="1"/>
    <col min="14595" max="14595" width="7.28515625" style="71" customWidth="1"/>
    <col min="14596" max="14600" width="7.140625" style="71" customWidth="1"/>
    <col min="14601" max="14601" width="6" style="71" customWidth="1"/>
    <col min="14602" max="14602" width="5.7109375" style="71"/>
    <col min="14603" max="14603" width="6.140625" style="71" customWidth="1"/>
    <col min="14604" max="14604" width="6.28515625" style="71" customWidth="1"/>
    <col min="14605" max="14606" width="6" style="71" customWidth="1"/>
    <col min="14607" max="14607" width="5.7109375" style="71"/>
    <col min="14608" max="14608" width="7.28515625" style="71" customWidth="1"/>
    <col min="14609" max="14609" width="8.140625" style="71" customWidth="1"/>
    <col min="14610" max="14611" width="7.140625" style="71" customWidth="1"/>
    <col min="14612" max="14615" width="5.7109375" style="71"/>
    <col min="14616" max="14616" width="7.140625" style="71" customWidth="1"/>
    <col min="14617" max="14617" width="8.140625" style="71" customWidth="1"/>
    <col min="14618" max="14619" width="7.140625" style="71" customWidth="1"/>
    <col min="14620" max="14621" width="5.7109375" style="71"/>
    <col min="14622" max="14622" width="7.42578125" style="71" customWidth="1"/>
    <col min="14623" max="14623" width="4.140625" style="71" customWidth="1"/>
    <col min="14624" max="14849" width="5.7109375" style="71"/>
    <col min="14850" max="14850" width="7.140625" style="71" customWidth="1"/>
    <col min="14851" max="14851" width="7.28515625" style="71" customWidth="1"/>
    <col min="14852" max="14856" width="7.140625" style="71" customWidth="1"/>
    <col min="14857" max="14857" width="6" style="71" customWidth="1"/>
    <col min="14858" max="14858" width="5.7109375" style="71"/>
    <col min="14859" max="14859" width="6.140625" style="71" customWidth="1"/>
    <col min="14860" max="14860" width="6.28515625" style="71" customWidth="1"/>
    <col min="14861" max="14862" width="6" style="71" customWidth="1"/>
    <col min="14863" max="14863" width="5.7109375" style="71"/>
    <col min="14864" max="14864" width="7.28515625" style="71" customWidth="1"/>
    <col min="14865" max="14865" width="8.140625" style="71" customWidth="1"/>
    <col min="14866" max="14867" width="7.140625" style="71" customWidth="1"/>
    <col min="14868" max="14871" width="5.7109375" style="71"/>
    <col min="14872" max="14872" width="7.140625" style="71" customWidth="1"/>
    <col min="14873" max="14873" width="8.140625" style="71" customWidth="1"/>
    <col min="14874" max="14875" width="7.140625" style="71" customWidth="1"/>
    <col min="14876" max="14877" width="5.7109375" style="71"/>
    <col min="14878" max="14878" width="7.42578125" style="71" customWidth="1"/>
    <col min="14879" max="14879" width="4.140625" style="71" customWidth="1"/>
    <col min="14880" max="15105" width="5.7109375" style="71"/>
    <col min="15106" max="15106" width="7.140625" style="71" customWidth="1"/>
    <col min="15107" max="15107" width="7.28515625" style="71" customWidth="1"/>
    <col min="15108" max="15112" width="7.140625" style="71" customWidth="1"/>
    <col min="15113" max="15113" width="6" style="71" customWidth="1"/>
    <col min="15114" max="15114" width="5.7109375" style="71"/>
    <col min="15115" max="15115" width="6.140625" style="71" customWidth="1"/>
    <col min="15116" max="15116" width="6.28515625" style="71" customWidth="1"/>
    <col min="15117" max="15118" width="6" style="71" customWidth="1"/>
    <col min="15119" max="15119" width="5.7109375" style="71"/>
    <col min="15120" max="15120" width="7.28515625" style="71" customWidth="1"/>
    <col min="15121" max="15121" width="8.140625" style="71" customWidth="1"/>
    <col min="15122" max="15123" width="7.140625" style="71" customWidth="1"/>
    <col min="15124" max="15127" width="5.7109375" style="71"/>
    <col min="15128" max="15128" width="7.140625" style="71" customWidth="1"/>
    <col min="15129" max="15129" width="8.140625" style="71" customWidth="1"/>
    <col min="15130" max="15131" width="7.140625" style="71" customWidth="1"/>
    <col min="15132" max="15133" width="5.7109375" style="71"/>
    <col min="15134" max="15134" width="7.42578125" style="71" customWidth="1"/>
    <col min="15135" max="15135" width="4.140625" style="71" customWidth="1"/>
    <col min="15136" max="15361" width="5.7109375" style="71"/>
    <col min="15362" max="15362" width="7.140625" style="71" customWidth="1"/>
    <col min="15363" max="15363" width="7.28515625" style="71" customWidth="1"/>
    <col min="15364" max="15368" width="7.140625" style="71" customWidth="1"/>
    <col min="15369" max="15369" width="6" style="71" customWidth="1"/>
    <col min="15370" max="15370" width="5.7109375" style="71"/>
    <col min="15371" max="15371" width="6.140625" style="71" customWidth="1"/>
    <col min="15372" max="15372" width="6.28515625" style="71" customWidth="1"/>
    <col min="15373" max="15374" width="6" style="71" customWidth="1"/>
    <col min="15375" max="15375" width="5.7109375" style="71"/>
    <col min="15376" max="15376" width="7.28515625" style="71" customWidth="1"/>
    <col min="15377" max="15377" width="8.140625" style="71" customWidth="1"/>
    <col min="15378" max="15379" width="7.140625" style="71" customWidth="1"/>
    <col min="15380" max="15383" width="5.7109375" style="71"/>
    <col min="15384" max="15384" width="7.140625" style="71" customWidth="1"/>
    <col min="15385" max="15385" width="8.140625" style="71" customWidth="1"/>
    <col min="15386" max="15387" width="7.140625" style="71" customWidth="1"/>
    <col min="15388" max="15389" width="5.7109375" style="71"/>
    <col min="15390" max="15390" width="7.42578125" style="71" customWidth="1"/>
    <col min="15391" max="15391" width="4.140625" style="71" customWidth="1"/>
    <col min="15392" max="15617" width="5.7109375" style="71"/>
    <col min="15618" max="15618" width="7.140625" style="71" customWidth="1"/>
    <col min="15619" max="15619" width="7.28515625" style="71" customWidth="1"/>
    <col min="15620" max="15624" width="7.140625" style="71" customWidth="1"/>
    <col min="15625" max="15625" width="6" style="71" customWidth="1"/>
    <col min="15626" max="15626" width="5.7109375" style="71"/>
    <col min="15627" max="15627" width="6.140625" style="71" customWidth="1"/>
    <col min="15628" max="15628" width="6.28515625" style="71" customWidth="1"/>
    <col min="15629" max="15630" width="6" style="71" customWidth="1"/>
    <col min="15631" max="15631" width="5.7109375" style="71"/>
    <col min="15632" max="15632" width="7.28515625" style="71" customWidth="1"/>
    <col min="15633" max="15633" width="8.140625" style="71" customWidth="1"/>
    <col min="15634" max="15635" width="7.140625" style="71" customWidth="1"/>
    <col min="15636" max="15639" width="5.7109375" style="71"/>
    <col min="15640" max="15640" width="7.140625" style="71" customWidth="1"/>
    <col min="15641" max="15641" width="8.140625" style="71" customWidth="1"/>
    <col min="15642" max="15643" width="7.140625" style="71" customWidth="1"/>
    <col min="15644" max="15645" width="5.7109375" style="71"/>
    <col min="15646" max="15646" width="7.42578125" style="71" customWidth="1"/>
    <col min="15647" max="15647" width="4.140625" style="71" customWidth="1"/>
    <col min="15648" max="15873" width="5.7109375" style="71"/>
    <col min="15874" max="15874" width="7.140625" style="71" customWidth="1"/>
    <col min="15875" max="15875" width="7.28515625" style="71" customWidth="1"/>
    <col min="15876" max="15880" width="7.140625" style="71" customWidth="1"/>
    <col min="15881" max="15881" width="6" style="71" customWidth="1"/>
    <col min="15882" max="15882" width="5.7109375" style="71"/>
    <col min="15883" max="15883" width="6.140625" style="71" customWidth="1"/>
    <col min="15884" max="15884" width="6.28515625" style="71" customWidth="1"/>
    <col min="15885" max="15886" width="6" style="71" customWidth="1"/>
    <col min="15887" max="15887" width="5.7109375" style="71"/>
    <col min="15888" max="15888" width="7.28515625" style="71" customWidth="1"/>
    <col min="15889" max="15889" width="8.140625" style="71" customWidth="1"/>
    <col min="15890" max="15891" width="7.140625" style="71" customWidth="1"/>
    <col min="15892" max="15895" width="5.7109375" style="71"/>
    <col min="15896" max="15896" width="7.140625" style="71" customWidth="1"/>
    <col min="15897" max="15897" width="8.140625" style="71" customWidth="1"/>
    <col min="15898" max="15899" width="7.140625" style="71" customWidth="1"/>
    <col min="15900" max="15901" width="5.7109375" style="71"/>
    <col min="15902" max="15902" width="7.42578125" style="71" customWidth="1"/>
    <col min="15903" max="15903" width="4.140625" style="71" customWidth="1"/>
    <col min="15904" max="16129" width="5.7109375" style="71"/>
    <col min="16130" max="16130" width="7.140625" style="71" customWidth="1"/>
    <col min="16131" max="16131" width="7.28515625" style="71" customWidth="1"/>
    <col min="16132" max="16136" width="7.140625" style="71" customWidth="1"/>
    <col min="16137" max="16137" width="6" style="71" customWidth="1"/>
    <col min="16138" max="16138" width="5.7109375" style="71"/>
    <col min="16139" max="16139" width="6.140625" style="71" customWidth="1"/>
    <col min="16140" max="16140" width="6.28515625" style="71" customWidth="1"/>
    <col min="16141" max="16142" width="6" style="71" customWidth="1"/>
    <col min="16143" max="16143" width="5.7109375" style="71"/>
    <col min="16144" max="16144" width="7.28515625" style="71" customWidth="1"/>
    <col min="16145" max="16145" width="8.140625" style="71" customWidth="1"/>
    <col min="16146" max="16147" width="7.140625" style="71" customWidth="1"/>
    <col min="16148" max="16151" width="5.7109375" style="71"/>
    <col min="16152" max="16152" width="7.140625" style="71" customWidth="1"/>
    <col min="16153" max="16153" width="8.140625" style="71" customWidth="1"/>
    <col min="16154" max="16155" width="7.140625" style="71" customWidth="1"/>
    <col min="16156" max="16157" width="5.7109375" style="71"/>
    <col min="16158" max="16158" width="7.42578125" style="71" customWidth="1"/>
    <col min="16159" max="16159" width="4.140625" style="71" customWidth="1"/>
    <col min="16160" max="16384" width="5.7109375" style="71"/>
  </cols>
  <sheetData>
    <row r="1" spans="1:31" x14ac:dyDescent="0.2">
      <c r="A1" s="1564" t="s">
        <v>295</v>
      </c>
      <c r="B1" s="1565"/>
      <c r="C1" s="1565"/>
      <c r="D1" s="1565"/>
      <c r="E1" s="1565"/>
      <c r="F1" s="1565"/>
      <c r="G1" s="1565"/>
      <c r="H1" s="1565"/>
      <c r="I1" s="1565"/>
      <c r="J1" s="1565"/>
      <c r="K1" s="1565"/>
      <c r="L1" s="1565"/>
      <c r="M1" s="1574"/>
      <c r="O1" s="72"/>
    </row>
    <row r="2" spans="1:31" x14ac:dyDescent="0.2">
      <c r="A2" s="1571" t="s">
        <v>296</v>
      </c>
      <c r="B2" s="1575" t="s">
        <v>155</v>
      </c>
      <c r="C2" s="1576" t="s">
        <v>297</v>
      </c>
      <c r="D2" s="1576" t="s">
        <v>298</v>
      </c>
      <c r="E2" s="1575" t="s">
        <v>299</v>
      </c>
      <c r="F2" s="1576" t="s">
        <v>300</v>
      </c>
      <c r="G2" s="1575" t="s">
        <v>301</v>
      </c>
      <c r="H2" s="1576" t="s">
        <v>302</v>
      </c>
      <c r="I2" s="1571" t="s">
        <v>303</v>
      </c>
      <c r="J2" s="1571"/>
      <c r="K2" s="1567" t="s">
        <v>304</v>
      </c>
      <c r="L2" s="1577"/>
      <c r="M2" s="1568"/>
      <c r="O2" s="1564" t="s">
        <v>305</v>
      </c>
      <c r="P2" s="1565"/>
      <c r="Q2" s="1565"/>
      <c r="R2" s="1565"/>
      <c r="S2" s="1565"/>
      <c r="T2" s="1565"/>
      <c r="U2" s="1565"/>
      <c r="V2" s="73"/>
      <c r="W2" s="1566" t="s">
        <v>306</v>
      </c>
      <c r="X2" s="1565"/>
      <c r="Y2" s="1565"/>
      <c r="Z2" s="1565"/>
      <c r="AA2" s="1565"/>
      <c r="AB2" s="1565"/>
      <c r="AC2" s="1565"/>
      <c r="AD2" s="74" t="s">
        <v>307</v>
      </c>
    </row>
    <row r="3" spans="1:31" x14ac:dyDescent="0.2">
      <c r="A3" s="1571"/>
      <c r="B3" s="1575"/>
      <c r="C3" s="1576"/>
      <c r="D3" s="1576"/>
      <c r="E3" s="1575"/>
      <c r="F3" s="1576"/>
      <c r="G3" s="1575"/>
      <c r="H3" s="1576"/>
      <c r="I3" s="1571"/>
      <c r="J3" s="1571"/>
      <c r="K3" s="75" t="s">
        <v>308</v>
      </c>
      <c r="L3" s="1567" t="s">
        <v>309</v>
      </c>
      <c r="M3" s="1568"/>
      <c r="O3" s="76" t="s">
        <v>296</v>
      </c>
      <c r="P3" s="77" t="s">
        <v>155</v>
      </c>
      <c r="Q3" s="78" t="s">
        <v>149</v>
      </c>
      <c r="R3" s="78" t="s">
        <v>275</v>
      </c>
      <c r="S3" s="78" t="s">
        <v>211</v>
      </c>
      <c r="T3" s="1569" t="s">
        <v>303</v>
      </c>
      <c r="U3" s="1570"/>
      <c r="V3" s="79"/>
      <c r="W3" s="80" t="s">
        <v>296</v>
      </c>
      <c r="X3" s="77" t="s">
        <v>155</v>
      </c>
      <c r="Y3" s="78" t="s">
        <v>149</v>
      </c>
      <c r="Z3" s="78" t="s">
        <v>275</v>
      </c>
      <c r="AA3" s="78" t="s">
        <v>211</v>
      </c>
      <c r="AB3" s="1571" t="s">
        <v>303</v>
      </c>
      <c r="AC3" s="1571"/>
      <c r="AD3" s="81" t="s">
        <v>310</v>
      </c>
    </row>
    <row r="4" spans="1:31" s="87" customFormat="1" ht="15" x14ac:dyDescent="0.25">
      <c r="A4" s="82" t="s">
        <v>311</v>
      </c>
      <c r="B4" s="446">
        <f>Sheet2!AB73</f>
        <v>120</v>
      </c>
      <c r="C4" s="439">
        <f>IF(B4=0,0,D$15+B4)</f>
        <v>510</v>
      </c>
      <c r="D4" s="83">
        <f>IF(B4=0, 0, N$15/2)</f>
        <v>1.5</v>
      </c>
      <c r="E4" s="441">
        <f>IF(B4=0,0,D$15+B4)</f>
        <v>510</v>
      </c>
      <c r="F4" s="83">
        <f>IF(B4=0, 0, 1.5*N$15)</f>
        <v>4.5</v>
      </c>
      <c r="G4" s="443">
        <f>IF(B4=0,0,D$15+B4)</f>
        <v>510</v>
      </c>
      <c r="H4" s="84">
        <f t="shared" ref="H4:H12" si="0">IF(B4=0, 0, 2.5*N$15)</f>
        <v>7.5</v>
      </c>
      <c r="I4" s="477">
        <f>Sheet2!F83/2</f>
        <v>26.25</v>
      </c>
      <c r="J4" s="118" t="s">
        <v>312</v>
      </c>
      <c r="K4" s="86">
        <f t="shared" ref="K4:K12" si="1">2*I4/$Q$16*$N$16</f>
        <v>219.13043478260866</v>
      </c>
      <c r="L4" s="1556">
        <f>K4/3</f>
        <v>73.043478260869549</v>
      </c>
      <c r="M4" s="1557"/>
      <c r="O4" s="88" t="s">
        <v>311</v>
      </c>
      <c r="P4" s="445">
        <f t="shared" ref="P4:P12" si="2">B4</f>
        <v>120</v>
      </c>
      <c r="Q4" s="439">
        <f t="shared" ref="Q4:Q12" si="3">P4+R4</f>
        <v>630</v>
      </c>
      <c r="R4" s="439">
        <f>IF(B4=0,0,D15+B4)</f>
        <v>510</v>
      </c>
      <c r="S4" s="439">
        <f t="shared" ref="S4:S12" si="4">R4-P4</f>
        <v>390</v>
      </c>
      <c r="T4" s="543">
        <f t="shared" ref="T4:T12" si="5">I4</f>
        <v>26.25</v>
      </c>
      <c r="U4" s="90" t="s">
        <v>313</v>
      </c>
      <c r="V4" s="91"/>
      <c r="W4" s="92" t="s">
        <v>311</v>
      </c>
      <c r="X4" s="445">
        <f t="shared" ref="X4:X12" si="6">B4</f>
        <v>120</v>
      </c>
      <c r="Y4" s="439">
        <f>IF(B4=0, 0, 2*K$15+B4)</f>
        <v>1006</v>
      </c>
      <c r="Z4" s="439">
        <f t="shared" ref="Z4:Z12" si="7">IF(B4=0, 0, K$15)</f>
        <v>443</v>
      </c>
      <c r="AA4" s="439">
        <f t="shared" ref="AA4:AA12" si="8">(Z4-X4)</f>
        <v>323</v>
      </c>
      <c r="AB4" s="543">
        <f t="shared" ref="AB4:AB12" si="9">I4</f>
        <v>26.25</v>
      </c>
      <c r="AC4" s="93" t="s">
        <v>313</v>
      </c>
      <c r="AD4" s="434">
        <f>Sheet2!AA88</f>
        <v>153.85420940400002</v>
      </c>
    </row>
    <row r="5" spans="1:31" s="87" customFormat="1" x14ac:dyDescent="0.25">
      <c r="A5" s="82" t="s">
        <v>314</v>
      </c>
      <c r="B5" s="446">
        <f>Sheet2!AB74</f>
        <v>110</v>
      </c>
      <c r="C5" s="439">
        <f t="shared" ref="C5:C11" si="10">IF(B5=0,0,C$4-2*Q$15)</f>
        <v>500</v>
      </c>
      <c r="D5" s="83">
        <f t="shared" ref="D5:D12" si="11">IF(B5=0, 0, N$15/2)</f>
        <v>1.5</v>
      </c>
      <c r="E5" s="441">
        <f t="shared" ref="E5:E12" si="12">IF(B5=0,0,E$4-2*Q$15)</f>
        <v>500</v>
      </c>
      <c r="F5" s="83">
        <f t="shared" ref="F5:F12" si="13">IF(B5=0, 0, 1.5*N$15)</f>
        <v>4.5</v>
      </c>
      <c r="G5" s="443">
        <f t="shared" ref="G5:G12" si="14">IF(B5=0,0,G$4-2*Q$15)</f>
        <v>500</v>
      </c>
      <c r="H5" s="84">
        <f t="shared" si="0"/>
        <v>7.5</v>
      </c>
      <c r="I5" s="477">
        <f>Sheet2!F84/2</f>
        <v>9</v>
      </c>
      <c r="J5" s="85" t="s">
        <v>312</v>
      </c>
      <c r="K5" s="86">
        <f t="shared" si="1"/>
        <v>75.130434782608688</v>
      </c>
      <c r="L5" s="1556">
        <f t="shared" ref="L5:L11" si="15">K5/3</f>
        <v>25.043478260869563</v>
      </c>
      <c r="M5" s="1557"/>
      <c r="O5" s="88" t="s">
        <v>314</v>
      </c>
      <c r="P5" s="445">
        <f t="shared" si="2"/>
        <v>110</v>
      </c>
      <c r="Q5" s="439">
        <f t="shared" si="3"/>
        <v>610</v>
      </c>
      <c r="R5" s="439">
        <f t="shared" ref="R5:R12" si="16">IF(B5=0,0,C$4-2*Q$15)</f>
        <v>500</v>
      </c>
      <c r="S5" s="439">
        <f t="shared" si="4"/>
        <v>390</v>
      </c>
      <c r="T5" s="543">
        <f t="shared" si="5"/>
        <v>9</v>
      </c>
      <c r="U5" s="90" t="s">
        <v>313</v>
      </c>
      <c r="V5" s="91"/>
      <c r="W5" s="92" t="s">
        <v>314</v>
      </c>
      <c r="X5" s="445">
        <f t="shared" si="6"/>
        <v>110</v>
      </c>
      <c r="Y5" s="439">
        <f t="shared" ref="Y5:Y12" si="17">IF(B5=0, 0, 2*K$15+B5)</f>
        <v>996</v>
      </c>
      <c r="Z5" s="439">
        <f t="shared" si="7"/>
        <v>443</v>
      </c>
      <c r="AA5" s="439">
        <f t="shared" si="8"/>
        <v>333</v>
      </c>
      <c r="AB5" s="543">
        <f t="shared" si="9"/>
        <v>9</v>
      </c>
      <c r="AC5" s="93" t="s">
        <v>313</v>
      </c>
      <c r="AD5" s="434">
        <f>Sheet2!AA89</f>
        <v>47.9141404704</v>
      </c>
    </row>
    <row r="6" spans="1:31" s="87" customFormat="1" x14ac:dyDescent="0.25">
      <c r="A6" s="82" t="s">
        <v>315</v>
      </c>
      <c r="B6" s="446">
        <f>Sheet2!AB75</f>
        <v>100</v>
      </c>
      <c r="C6" s="440">
        <f t="shared" si="10"/>
        <v>500</v>
      </c>
      <c r="D6" s="94">
        <f t="shared" si="11"/>
        <v>1.5</v>
      </c>
      <c r="E6" s="442">
        <f t="shared" si="12"/>
        <v>500</v>
      </c>
      <c r="F6" s="94">
        <f t="shared" si="13"/>
        <v>4.5</v>
      </c>
      <c r="G6" s="444">
        <f t="shared" si="14"/>
        <v>500</v>
      </c>
      <c r="H6" s="95">
        <f t="shared" si="0"/>
        <v>7.5</v>
      </c>
      <c r="I6" s="477">
        <f>Sheet2!F85/2</f>
        <v>8.5</v>
      </c>
      <c r="J6" s="85" t="s">
        <v>312</v>
      </c>
      <c r="K6" s="96">
        <f t="shared" si="1"/>
        <v>70.956521739130423</v>
      </c>
      <c r="L6" s="1572">
        <f t="shared" si="15"/>
        <v>23.652173913043473</v>
      </c>
      <c r="M6" s="1573"/>
      <c r="N6" s="97"/>
      <c r="O6" s="98" t="s">
        <v>315</v>
      </c>
      <c r="P6" s="445">
        <f t="shared" si="2"/>
        <v>100</v>
      </c>
      <c r="Q6" s="440">
        <f t="shared" si="3"/>
        <v>600</v>
      </c>
      <c r="R6" s="440">
        <f t="shared" si="16"/>
        <v>500</v>
      </c>
      <c r="S6" s="440">
        <f t="shared" si="4"/>
        <v>400</v>
      </c>
      <c r="T6" s="543">
        <f t="shared" si="5"/>
        <v>8.5</v>
      </c>
      <c r="U6" s="90" t="s">
        <v>313</v>
      </c>
      <c r="V6" s="99"/>
      <c r="W6" s="100" t="s">
        <v>315</v>
      </c>
      <c r="X6" s="445">
        <f t="shared" si="6"/>
        <v>100</v>
      </c>
      <c r="Y6" s="440">
        <f t="shared" si="17"/>
        <v>986</v>
      </c>
      <c r="Z6" s="440">
        <f t="shared" si="7"/>
        <v>443</v>
      </c>
      <c r="AA6" s="440">
        <f t="shared" si="8"/>
        <v>343</v>
      </c>
      <c r="AB6" s="543">
        <f t="shared" si="9"/>
        <v>8.5</v>
      </c>
      <c r="AC6" s="93" t="s">
        <v>313</v>
      </c>
      <c r="AD6" s="434">
        <f>Sheet2!AA90</f>
        <v>40.760687159999996</v>
      </c>
    </row>
    <row r="7" spans="1:31" s="87" customFormat="1" x14ac:dyDescent="0.25">
      <c r="A7" s="82" t="s">
        <v>316</v>
      </c>
      <c r="B7" s="446">
        <f>Sheet2!AB76</f>
        <v>90</v>
      </c>
      <c r="C7" s="439">
        <f t="shared" si="10"/>
        <v>500</v>
      </c>
      <c r="D7" s="83">
        <f t="shared" si="11"/>
        <v>1.5</v>
      </c>
      <c r="E7" s="441">
        <f t="shared" si="12"/>
        <v>500</v>
      </c>
      <c r="F7" s="83">
        <f t="shared" si="13"/>
        <v>4.5</v>
      </c>
      <c r="G7" s="443">
        <f t="shared" si="14"/>
        <v>500</v>
      </c>
      <c r="H7" s="84">
        <f t="shared" si="0"/>
        <v>7.5</v>
      </c>
      <c r="I7" s="477">
        <f>Sheet2!F86/2</f>
        <v>6.5</v>
      </c>
      <c r="J7" s="85" t="s">
        <v>312</v>
      </c>
      <c r="K7" s="86">
        <f t="shared" si="1"/>
        <v>54.260869565217391</v>
      </c>
      <c r="L7" s="1556">
        <f t="shared" si="15"/>
        <v>18.086956521739129</v>
      </c>
      <c r="M7" s="1557"/>
      <c r="O7" s="88" t="s">
        <v>316</v>
      </c>
      <c r="P7" s="445">
        <f t="shared" si="2"/>
        <v>90</v>
      </c>
      <c r="Q7" s="439">
        <f t="shared" si="3"/>
        <v>590</v>
      </c>
      <c r="R7" s="439">
        <f t="shared" si="16"/>
        <v>500</v>
      </c>
      <c r="S7" s="439">
        <f t="shared" si="4"/>
        <v>410</v>
      </c>
      <c r="T7" s="543">
        <f t="shared" si="5"/>
        <v>6.5</v>
      </c>
      <c r="U7" s="90" t="s">
        <v>313</v>
      </c>
      <c r="V7" s="91"/>
      <c r="W7" s="92" t="s">
        <v>316</v>
      </c>
      <c r="X7" s="445">
        <f t="shared" si="6"/>
        <v>90</v>
      </c>
      <c r="Y7" s="439">
        <f t="shared" si="17"/>
        <v>976</v>
      </c>
      <c r="Z7" s="439">
        <f t="shared" si="7"/>
        <v>443</v>
      </c>
      <c r="AA7" s="439">
        <f t="shared" si="8"/>
        <v>353</v>
      </c>
      <c r="AB7" s="543">
        <f t="shared" si="9"/>
        <v>6.5</v>
      </c>
      <c r="AC7" s="93" t="s">
        <v>313</v>
      </c>
      <c r="AD7" s="434">
        <f>Sheet2!AA91</f>
        <v>27.793073505599999</v>
      </c>
    </row>
    <row r="8" spans="1:31" s="87" customFormat="1" x14ac:dyDescent="0.25">
      <c r="A8" s="82" t="s">
        <v>317</v>
      </c>
      <c r="B8" s="446">
        <f>Sheet2!AB77</f>
        <v>60</v>
      </c>
      <c r="C8" s="440">
        <f t="shared" si="10"/>
        <v>500</v>
      </c>
      <c r="D8" s="83">
        <f t="shared" si="11"/>
        <v>1.5</v>
      </c>
      <c r="E8" s="442">
        <f t="shared" si="12"/>
        <v>500</v>
      </c>
      <c r="F8" s="83">
        <f t="shared" si="13"/>
        <v>4.5</v>
      </c>
      <c r="G8" s="444">
        <f t="shared" si="14"/>
        <v>500</v>
      </c>
      <c r="H8" s="84">
        <f t="shared" si="0"/>
        <v>7.5</v>
      </c>
      <c r="I8" s="477">
        <f>Sheet2!F87/2</f>
        <v>12</v>
      </c>
      <c r="J8" s="85" t="s">
        <v>312</v>
      </c>
      <c r="K8" s="96">
        <f t="shared" si="1"/>
        <v>100.17391304347825</v>
      </c>
      <c r="L8" s="1572">
        <f t="shared" si="15"/>
        <v>33.391304347826086</v>
      </c>
      <c r="M8" s="1573"/>
      <c r="N8" s="97"/>
      <c r="O8" s="98" t="s">
        <v>317</v>
      </c>
      <c r="P8" s="445">
        <f t="shared" si="2"/>
        <v>60</v>
      </c>
      <c r="Q8" s="440">
        <f t="shared" si="3"/>
        <v>560</v>
      </c>
      <c r="R8" s="439">
        <f t="shared" si="16"/>
        <v>500</v>
      </c>
      <c r="S8" s="440">
        <f t="shared" si="4"/>
        <v>440</v>
      </c>
      <c r="T8" s="543">
        <f t="shared" si="5"/>
        <v>12</v>
      </c>
      <c r="U8" s="90" t="s">
        <v>313</v>
      </c>
      <c r="V8" s="99"/>
      <c r="W8" s="100" t="s">
        <v>317</v>
      </c>
      <c r="X8" s="445">
        <f t="shared" si="6"/>
        <v>60</v>
      </c>
      <c r="Y8" s="440">
        <f t="shared" si="17"/>
        <v>946</v>
      </c>
      <c r="Z8" s="440">
        <f t="shared" si="7"/>
        <v>443</v>
      </c>
      <c r="AA8" s="440">
        <f t="shared" si="8"/>
        <v>383</v>
      </c>
      <c r="AB8" s="543">
        <f t="shared" si="9"/>
        <v>12</v>
      </c>
      <c r="AC8" s="93" t="s">
        <v>313</v>
      </c>
      <c r="AD8" s="434">
        <f>Sheet2!AA92</f>
        <v>33.2485264512</v>
      </c>
    </row>
    <row r="9" spans="1:31" s="87" customFormat="1" x14ac:dyDescent="0.25">
      <c r="A9" s="82" t="s">
        <v>318</v>
      </c>
      <c r="B9" s="446">
        <f>Sheet2!AB78</f>
        <v>0</v>
      </c>
      <c r="C9" s="439">
        <f t="shared" si="10"/>
        <v>0</v>
      </c>
      <c r="D9" s="83">
        <f t="shared" si="11"/>
        <v>0</v>
      </c>
      <c r="E9" s="441">
        <f>IF(B9=0,0,E$4-2*Q$15)</f>
        <v>0</v>
      </c>
      <c r="F9" s="83">
        <f t="shared" si="13"/>
        <v>0</v>
      </c>
      <c r="G9" s="443">
        <f t="shared" si="14"/>
        <v>0</v>
      </c>
      <c r="H9" s="84">
        <f t="shared" si="0"/>
        <v>0</v>
      </c>
      <c r="I9" s="477">
        <f>Sheet2!F88/2</f>
        <v>0</v>
      </c>
      <c r="J9" s="85" t="s">
        <v>312</v>
      </c>
      <c r="K9" s="86">
        <f t="shared" si="1"/>
        <v>0</v>
      </c>
      <c r="L9" s="1556">
        <f t="shared" si="15"/>
        <v>0</v>
      </c>
      <c r="M9" s="1557"/>
      <c r="O9" s="88" t="s">
        <v>318</v>
      </c>
      <c r="P9" s="445">
        <f t="shared" si="2"/>
        <v>0</v>
      </c>
      <c r="Q9" s="439">
        <f t="shared" si="3"/>
        <v>0</v>
      </c>
      <c r="R9" s="439">
        <f t="shared" si="16"/>
        <v>0</v>
      </c>
      <c r="S9" s="439">
        <f t="shared" si="4"/>
        <v>0</v>
      </c>
      <c r="T9" s="543">
        <f t="shared" si="5"/>
        <v>0</v>
      </c>
      <c r="U9" s="90" t="s">
        <v>313</v>
      </c>
      <c r="V9" s="91"/>
      <c r="W9" s="92" t="s">
        <v>318</v>
      </c>
      <c r="X9" s="445">
        <f t="shared" si="6"/>
        <v>0</v>
      </c>
      <c r="Y9" s="439">
        <f t="shared" si="17"/>
        <v>0</v>
      </c>
      <c r="Z9" s="439">
        <f t="shared" si="7"/>
        <v>0</v>
      </c>
      <c r="AA9" s="439">
        <f t="shared" si="8"/>
        <v>0</v>
      </c>
      <c r="AB9" s="543">
        <f t="shared" si="9"/>
        <v>0</v>
      </c>
      <c r="AC9" s="93" t="s">
        <v>313</v>
      </c>
      <c r="AD9" s="434">
        <f>Sheet2!AA93</f>
        <v>0</v>
      </c>
    </row>
    <row r="10" spans="1:31" s="87" customFormat="1" x14ac:dyDescent="0.25">
      <c r="A10" s="82" t="s">
        <v>319</v>
      </c>
      <c r="B10" s="446">
        <f>Sheet2!AB79</f>
        <v>0</v>
      </c>
      <c r="C10" s="439">
        <f>IF(B10=0,0,C$4-2*Q$15)</f>
        <v>0</v>
      </c>
      <c r="D10" s="83">
        <f t="shared" si="11"/>
        <v>0</v>
      </c>
      <c r="E10" s="439">
        <f t="shared" si="12"/>
        <v>0</v>
      </c>
      <c r="F10" s="83">
        <f t="shared" si="13"/>
        <v>0</v>
      </c>
      <c r="G10" s="443">
        <f t="shared" si="14"/>
        <v>0</v>
      </c>
      <c r="H10" s="84">
        <f t="shared" si="0"/>
        <v>0</v>
      </c>
      <c r="I10" s="477">
        <f>Sheet2!F89/2</f>
        <v>0</v>
      </c>
      <c r="J10" s="85" t="s">
        <v>312</v>
      </c>
      <c r="K10" s="86">
        <f>2*I10/$Q$16*$N$16</f>
        <v>0</v>
      </c>
      <c r="L10" s="1556">
        <f t="shared" si="15"/>
        <v>0</v>
      </c>
      <c r="M10" s="1557"/>
      <c r="O10" s="88" t="s">
        <v>319</v>
      </c>
      <c r="P10" s="445">
        <f t="shared" si="2"/>
        <v>0</v>
      </c>
      <c r="Q10" s="439">
        <f t="shared" si="3"/>
        <v>0</v>
      </c>
      <c r="R10" s="439">
        <f t="shared" si="16"/>
        <v>0</v>
      </c>
      <c r="S10" s="439">
        <f t="shared" si="4"/>
        <v>0</v>
      </c>
      <c r="T10" s="543">
        <f t="shared" si="5"/>
        <v>0</v>
      </c>
      <c r="U10" s="90" t="s">
        <v>313</v>
      </c>
      <c r="V10" s="91"/>
      <c r="W10" s="92" t="s">
        <v>319</v>
      </c>
      <c r="X10" s="445">
        <f t="shared" si="6"/>
        <v>0</v>
      </c>
      <c r="Y10" s="439">
        <f t="shared" si="17"/>
        <v>0</v>
      </c>
      <c r="Z10" s="439">
        <f t="shared" si="7"/>
        <v>0</v>
      </c>
      <c r="AA10" s="439">
        <f t="shared" si="8"/>
        <v>0</v>
      </c>
      <c r="AB10" s="543">
        <f t="shared" si="9"/>
        <v>0</v>
      </c>
      <c r="AC10" s="93" t="s">
        <v>313</v>
      </c>
      <c r="AD10" s="434">
        <f>Sheet2!AA94</f>
        <v>0</v>
      </c>
    </row>
    <row r="11" spans="1:31" s="87" customFormat="1" x14ac:dyDescent="0.25">
      <c r="A11" s="82" t="s">
        <v>320</v>
      </c>
      <c r="B11" s="446">
        <f>Sheet2!AB80</f>
        <v>0</v>
      </c>
      <c r="C11" s="439">
        <f t="shared" si="10"/>
        <v>0</v>
      </c>
      <c r="D11" s="83">
        <f t="shared" si="11"/>
        <v>0</v>
      </c>
      <c r="E11" s="439">
        <f t="shared" si="12"/>
        <v>0</v>
      </c>
      <c r="F11" s="83">
        <f t="shared" si="13"/>
        <v>0</v>
      </c>
      <c r="G11" s="443">
        <f t="shared" si="14"/>
        <v>0</v>
      </c>
      <c r="H11" s="84">
        <f t="shared" si="0"/>
        <v>0</v>
      </c>
      <c r="I11" s="477">
        <f>Sheet2!F90/2</f>
        <v>0</v>
      </c>
      <c r="J11" s="85" t="s">
        <v>312</v>
      </c>
      <c r="K11" s="86">
        <f>2*I11/$Q$16*$N$16</f>
        <v>0</v>
      </c>
      <c r="L11" s="1556">
        <f t="shared" si="15"/>
        <v>0</v>
      </c>
      <c r="M11" s="1557"/>
      <c r="O11" s="88" t="s">
        <v>320</v>
      </c>
      <c r="P11" s="445">
        <f t="shared" si="2"/>
        <v>0</v>
      </c>
      <c r="Q11" s="439">
        <f t="shared" si="3"/>
        <v>0</v>
      </c>
      <c r="R11" s="439">
        <f t="shared" si="16"/>
        <v>0</v>
      </c>
      <c r="S11" s="439">
        <f t="shared" si="4"/>
        <v>0</v>
      </c>
      <c r="T11" s="543">
        <f t="shared" si="5"/>
        <v>0</v>
      </c>
      <c r="U11" s="90" t="s">
        <v>313</v>
      </c>
      <c r="V11" s="101"/>
      <c r="W11" s="92" t="s">
        <v>320</v>
      </c>
      <c r="X11" s="445">
        <f t="shared" si="6"/>
        <v>0</v>
      </c>
      <c r="Y11" s="439">
        <f t="shared" si="17"/>
        <v>0</v>
      </c>
      <c r="Z11" s="439">
        <f t="shared" si="7"/>
        <v>0</v>
      </c>
      <c r="AA11" s="439">
        <f t="shared" si="8"/>
        <v>0</v>
      </c>
      <c r="AB11" s="543">
        <f>I11</f>
        <v>0</v>
      </c>
      <c r="AC11" s="90" t="s">
        <v>313</v>
      </c>
      <c r="AD11" s="434">
        <f>Sheet2!AA95</f>
        <v>0</v>
      </c>
    </row>
    <row r="12" spans="1:31" s="87" customFormat="1" x14ac:dyDescent="0.25">
      <c r="A12" s="82" t="s">
        <v>321</v>
      </c>
      <c r="B12" s="446">
        <f>Sheet2!AB81</f>
        <v>0</v>
      </c>
      <c r="C12" s="439">
        <f>IF(B12=0,0,C$4-2*Q$15)</f>
        <v>0</v>
      </c>
      <c r="D12" s="83">
        <f t="shared" si="11"/>
        <v>0</v>
      </c>
      <c r="E12" s="439">
        <f t="shared" si="12"/>
        <v>0</v>
      </c>
      <c r="F12" s="83">
        <f t="shared" si="13"/>
        <v>0</v>
      </c>
      <c r="G12" s="443">
        <f t="shared" si="14"/>
        <v>0</v>
      </c>
      <c r="H12" s="84">
        <f t="shared" si="0"/>
        <v>0</v>
      </c>
      <c r="I12" s="477">
        <v>0</v>
      </c>
      <c r="J12" s="85" t="s">
        <v>312</v>
      </c>
      <c r="K12" s="86">
        <f t="shared" si="1"/>
        <v>0</v>
      </c>
      <c r="L12" s="1556">
        <f>K12/3</f>
        <v>0</v>
      </c>
      <c r="M12" s="1557"/>
      <c r="O12" s="88" t="s">
        <v>321</v>
      </c>
      <c r="P12" s="445">
        <f t="shared" si="2"/>
        <v>0</v>
      </c>
      <c r="Q12" s="439">
        <f t="shared" si="3"/>
        <v>0</v>
      </c>
      <c r="R12" s="439">
        <f t="shared" si="16"/>
        <v>0</v>
      </c>
      <c r="S12" s="439">
        <f t="shared" si="4"/>
        <v>0</v>
      </c>
      <c r="T12" s="89">
        <f t="shared" si="5"/>
        <v>0</v>
      </c>
      <c r="U12" s="90" t="s">
        <v>313</v>
      </c>
      <c r="V12" s="101"/>
      <c r="W12" s="92" t="s">
        <v>321</v>
      </c>
      <c r="X12" s="445">
        <f t="shared" si="6"/>
        <v>0</v>
      </c>
      <c r="Y12" s="439">
        <f t="shared" si="17"/>
        <v>0</v>
      </c>
      <c r="Z12" s="439">
        <f t="shared" si="7"/>
        <v>0</v>
      </c>
      <c r="AA12" s="439">
        <f t="shared" si="8"/>
        <v>0</v>
      </c>
      <c r="AB12" s="89">
        <f t="shared" si="9"/>
        <v>0</v>
      </c>
      <c r="AC12" s="90" t="s">
        <v>313</v>
      </c>
      <c r="AD12" s="434">
        <f>Sheet2!AA96</f>
        <v>0</v>
      </c>
    </row>
    <row r="13" spans="1:31" x14ac:dyDescent="0.2">
      <c r="A13" s="82" t="s">
        <v>947</v>
      </c>
      <c r="B13" s="446">
        <f>Sheet2!AB82</f>
        <v>0</v>
      </c>
      <c r="C13" s="439">
        <f>IF(B13=0,0,C$4-2*Q$15)</f>
        <v>0</v>
      </c>
      <c r="D13" s="83">
        <f>IF(B13=0, 0, N$15/2)</f>
        <v>0</v>
      </c>
      <c r="E13" s="439">
        <f>IF(B13=0,0,E$4-2*Q$15)</f>
        <v>0</v>
      </c>
      <c r="F13" s="83">
        <f>IF(B13=0, 0, 1.5*N$15)</f>
        <v>0</v>
      </c>
      <c r="G13" s="443">
        <f>IF(B13=0,0,G$4-2*Q$15)</f>
        <v>0</v>
      </c>
      <c r="H13" s="84">
        <f>IF(B13=0, 0, 2.5*N$15)</f>
        <v>0</v>
      </c>
      <c r="I13" s="477">
        <v>0</v>
      </c>
      <c r="J13" s="85" t="s">
        <v>312</v>
      </c>
      <c r="K13" s="86">
        <f>2*I13/$Q$16*$N$16</f>
        <v>0</v>
      </c>
      <c r="L13" s="1556">
        <f>K13/3</f>
        <v>0</v>
      </c>
      <c r="M13" s="1557"/>
      <c r="N13" s="87"/>
      <c r="O13" s="88" t="s">
        <v>947</v>
      </c>
      <c r="P13" s="445">
        <f>B13</f>
        <v>0</v>
      </c>
      <c r="Q13" s="439">
        <f>P13+R13</f>
        <v>0</v>
      </c>
      <c r="R13" s="439">
        <f>IF(B13=0,0,C$4-2*Q$15)</f>
        <v>0</v>
      </c>
      <c r="S13" s="439">
        <f>R13-P13</f>
        <v>0</v>
      </c>
      <c r="T13" s="89">
        <f>I13</f>
        <v>0</v>
      </c>
      <c r="U13" s="90" t="s">
        <v>313</v>
      </c>
      <c r="V13" s="101"/>
      <c r="W13" s="92" t="s">
        <v>947</v>
      </c>
      <c r="X13" s="445">
        <f>B13</f>
        <v>0</v>
      </c>
      <c r="Y13" s="439">
        <f>IF(B13=0, 0, 2*K$15+B13)</f>
        <v>0</v>
      </c>
      <c r="Z13" s="439">
        <f>IF(B13=0, 0, K$15)</f>
        <v>0</v>
      </c>
      <c r="AA13" s="439">
        <f>(Z13-X13)</f>
        <v>0</v>
      </c>
      <c r="AB13" s="89">
        <f>I13</f>
        <v>0</v>
      </c>
      <c r="AC13" s="90" t="s">
        <v>313</v>
      </c>
      <c r="AD13" s="434">
        <f>Sheet2!AA97</f>
        <v>0</v>
      </c>
      <c r="AE13" s="208"/>
    </row>
    <row r="14" spans="1:31" x14ac:dyDescent="0.2">
      <c r="A14" s="71" t="s">
        <v>323</v>
      </c>
      <c r="I14" s="544">
        <f>Sheet2!H93</f>
        <v>124.5</v>
      </c>
      <c r="N14" s="103"/>
      <c r="AB14" s="1558" t="s">
        <v>322</v>
      </c>
      <c r="AC14" s="1559"/>
      <c r="AD14" s="207">
        <f>SUM(AD4:AD12)</f>
        <v>303.57063699120005</v>
      </c>
    </row>
    <row r="15" spans="1:31" x14ac:dyDescent="0.2">
      <c r="A15" s="1560" t="s">
        <v>324</v>
      </c>
      <c r="B15" s="1560"/>
      <c r="C15" s="1561"/>
      <c r="D15" s="104">
        <f>Sheet2!B74</f>
        <v>390</v>
      </c>
      <c r="E15" s="71" t="s">
        <v>560</v>
      </c>
      <c r="F15" s="1562" t="s">
        <v>325</v>
      </c>
      <c r="G15" s="1562"/>
      <c r="H15" s="1562"/>
      <c r="I15" s="1562"/>
      <c r="J15" s="1561"/>
      <c r="K15" s="104">
        <f>Sheet2!B37</f>
        <v>443</v>
      </c>
      <c r="L15" s="71" t="s">
        <v>560</v>
      </c>
      <c r="M15" s="105" t="s">
        <v>326</v>
      </c>
      <c r="N15" s="106">
        <v>3</v>
      </c>
      <c r="O15" s="1563" t="s">
        <v>327</v>
      </c>
      <c r="P15" s="1555"/>
      <c r="Q15" s="956">
        <f>(B4-B5)/2</f>
        <v>5</v>
      </c>
      <c r="S15" s="71">
        <v>7.5</v>
      </c>
    </row>
    <row r="16" spans="1:31" x14ac:dyDescent="0.2">
      <c r="A16" s="1554" t="s">
        <v>328</v>
      </c>
      <c r="B16" s="1554"/>
      <c r="C16" s="1555"/>
      <c r="D16" s="108">
        <v>0</v>
      </c>
      <c r="E16" s="71" t="s">
        <v>310</v>
      </c>
      <c r="F16" s="1554" t="s">
        <v>329</v>
      </c>
      <c r="G16" s="1554"/>
      <c r="H16" s="1554"/>
      <c r="I16" s="1554"/>
      <c r="J16" s="1555"/>
      <c r="K16" s="108">
        <v>0</v>
      </c>
      <c r="L16" s="71" t="s">
        <v>310</v>
      </c>
      <c r="M16" s="109" t="s">
        <v>330</v>
      </c>
      <c r="N16" s="110">
        <v>0.96</v>
      </c>
      <c r="O16" s="111" t="s">
        <v>331</v>
      </c>
      <c r="P16" s="112"/>
      <c r="Q16" s="107">
        <v>0.23</v>
      </c>
    </row>
    <row r="18" spans="1:25" x14ac:dyDescent="0.2">
      <c r="A18" s="71" t="s">
        <v>332</v>
      </c>
    </row>
    <row r="19" spans="1:25" x14ac:dyDescent="0.2">
      <c r="A19" s="71" t="s">
        <v>333</v>
      </c>
    </row>
    <row r="21" spans="1:25" x14ac:dyDescent="0.2">
      <c r="D21" s="113"/>
      <c r="S21" s="125" t="s">
        <v>354</v>
      </c>
    </row>
    <row r="22" spans="1:25" x14ac:dyDescent="0.2">
      <c r="D22" s="102"/>
    </row>
    <row r="23" spans="1:25" x14ac:dyDescent="0.2">
      <c r="D23" s="102"/>
    </row>
    <row r="26" spans="1:25" x14ac:dyDescent="0.2">
      <c r="B26" s="114"/>
      <c r="C26" s="114" t="s">
        <v>355</v>
      </c>
      <c r="D26" s="103">
        <f>Sheet2!G83</f>
        <v>26.25</v>
      </c>
      <c r="E26" s="115"/>
      <c r="F26" s="116" t="s">
        <v>343</v>
      </c>
      <c r="G26" s="123">
        <f>B4</f>
        <v>120</v>
      </c>
      <c r="H26" s="116"/>
      <c r="I26" s="116" t="s">
        <v>397</v>
      </c>
      <c r="J26" s="124">
        <f>S4+15</f>
        <v>405</v>
      </c>
      <c r="L26" s="116" t="s">
        <v>405</v>
      </c>
      <c r="M26" s="103">
        <f>Q4+15</f>
        <v>645</v>
      </c>
      <c r="O26" s="71" t="s">
        <v>413</v>
      </c>
      <c r="P26" s="103">
        <f>Y4+15</f>
        <v>1021</v>
      </c>
      <c r="R26" s="71" t="s">
        <v>421</v>
      </c>
      <c r="S26" s="103">
        <f>AA4+7.5</f>
        <v>330.5</v>
      </c>
      <c r="U26" s="71" t="s">
        <v>437</v>
      </c>
      <c r="V26" s="71">
        <f>Z4*2+15</f>
        <v>901</v>
      </c>
      <c r="X26" s="71" t="s">
        <v>429</v>
      </c>
      <c r="Y26" s="103">
        <f t="shared" ref="Y26:Y33" si="18">C4</f>
        <v>510</v>
      </c>
    </row>
    <row r="27" spans="1:25" x14ac:dyDescent="0.2">
      <c r="B27" s="103"/>
      <c r="C27" s="120" t="s">
        <v>356</v>
      </c>
      <c r="D27" s="103">
        <f>Sheet2!G84</f>
        <v>9</v>
      </c>
      <c r="E27" s="72"/>
      <c r="F27" s="116" t="s">
        <v>344</v>
      </c>
      <c r="G27" s="123">
        <f t="shared" ref="G27:G35" si="19">B5</f>
        <v>110</v>
      </c>
      <c r="H27" s="72"/>
      <c r="I27" s="116" t="s">
        <v>398</v>
      </c>
      <c r="J27" s="124">
        <f t="shared" ref="J27:J33" si="20">S5+15</f>
        <v>405</v>
      </c>
      <c r="L27" s="116" t="s">
        <v>407</v>
      </c>
      <c r="M27" s="103">
        <f t="shared" ref="M27:M33" si="21">Q5+15</f>
        <v>625</v>
      </c>
      <c r="O27" s="71" t="s">
        <v>414</v>
      </c>
      <c r="P27" s="103">
        <f t="shared" ref="P27:P33" si="22">Y5+15</f>
        <v>1011</v>
      </c>
      <c r="R27" s="71" t="s">
        <v>422</v>
      </c>
      <c r="S27" s="103">
        <f t="shared" ref="S27:S32" si="23">AA5+7.5</f>
        <v>340.5</v>
      </c>
      <c r="X27" s="71" t="s">
        <v>430</v>
      </c>
      <c r="Y27" s="103">
        <f t="shared" si="18"/>
        <v>500</v>
      </c>
    </row>
    <row r="28" spans="1:25" x14ac:dyDescent="0.2">
      <c r="B28" s="103"/>
      <c r="C28" s="120" t="s">
        <v>357</v>
      </c>
      <c r="D28" s="71">
        <f>Sheet2!G85</f>
        <v>8.5</v>
      </c>
      <c r="E28" s="72"/>
      <c r="F28" s="116" t="s">
        <v>345</v>
      </c>
      <c r="G28" s="123">
        <f t="shared" si="19"/>
        <v>100</v>
      </c>
      <c r="H28" s="72"/>
      <c r="I28" s="116" t="s">
        <v>399</v>
      </c>
      <c r="J28" s="124">
        <f t="shared" si="20"/>
        <v>415</v>
      </c>
      <c r="L28" s="116" t="s">
        <v>406</v>
      </c>
      <c r="M28" s="103">
        <f t="shared" si="21"/>
        <v>615</v>
      </c>
      <c r="O28" s="71" t="s">
        <v>415</v>
      </c>
      <c r="P28" s="103">
        <f t="shared" si="22"/>
        <v>1001</v>
      </c>
      <c r="R28" s="71" t="s">
        <v>423</v>
      </c>
      <c r="S28" s="103">
        <f t="shared" si="23"/>
        <v>350.5</v>
      </c>
      <c r="X28" s="71" t="s">
        <v>431</v>
      </c>
      <c r="Y28" s="103">
        <f t="shared" si="18"/>
        <v>500</v>
      </c>
    </row>
    <row r="29" spans="1:25" x14ac:dyDescent="0.2">
      <c r="B29" s="103"/>
      <c r="C29" s="120" t="s">
        <v>358</v>
      </c>
      <c r="D29" s="71">
        <f>Sheet2!G86</f>
        <v>6.5</v>
      </c>
      <c r="E29" s="72"/>
      <c r="F29" s="116" t="s">
        <v>346</v>
      </c>
      <c r="G29" s="123">
        <f t="shared" si="19"/>
        <v>90</v>
      </c>
      <c r="H29" s="72"/>
      <c r="I29" s="116" t="s">
        <v>400</v>
      </c>
      <c r="J29" s="124">
        <f t="shared" si="20"/>
        <v>425</v>
      </c>
      <c r="L29" s="116" t="s">
        <v>408</v>
      </c>
      <c r="M29" s="103">
        <f t="shared" si="21"/>
        <v>605</v>
      </c>
      <c r="O29" s="71" t="s">
        <v>416</v>
      </c>
      <c r="P29" s="103">
        <f t="shared" si="22"/>
        <v>991</v>
      </c>
      <c r="R29" s="71" t="s">
        <v>424</v>
      </c>
      <c r="S29" s="103">
        <f t="shared" si="23"/>
        <v>360.5</v>
      </c>
      <c r="X29" s="71" t="s">
        <v>432</v>
      </c>
      <c r="Y29" s="103">
        <f t="shared" si="18"/>
        <v>500</v>
      </c>
    </row>
    <row r="30" spans="1:25" x14ac:dyDescent="0.2">
      <c r="B30" s="103"/>
      <c r="C30" s="120" t="s">
        <v>359</v>
      </c>
      <c r="D30" s="71">
        <f>Sheet2!G87</f>
        <v>12</v>
      </c>
      <c r="E30" s="72"/>
      <c r="F30" s="116" t="s">
        <v>347</v>
      </c>
      <c r="G30" s="123">
        <f t="shared" si="19"/>
        <v>60</v>
      </c>
      <c r="H30" s="72"/>
      <c r="I30" s="116" t="s">
        <v>401</v>
      </c>
      <c r="J30" s="124">
        <f t="shared" si="20"/>
        <v>455</v>
      </c>
      <c r="L30" s="116" t="s">
        <v>409</v>
      </c>
      <c r="M30" s="103">
        <f t="shared" si="21"/>
        <v>575</v>
      </c>
      <c r="O30" s="71" t="s">
        <v>417</v>
      </c>
      <c r="P30" s="103">
        <f t="shared" si="22"/>
        <v>961</v>
      </c>
      <c r="R30" s="71" t="s">
        <v>425</v>
      </c>
      <c r="S30" s="103">
        <f t="shared" si="23"/>
        <v>390.5</v>
      </c>
      <c r="X30" s="71" t="s">
        <v>433</v>
      </c>
      <c r="Y30" s="103">
        <f t="shared" si="18"/>
        <v>500</v>
      </c>
    </row>
    <row r="31" spans="1:25" x14ac:dyDescent="0.2">
      <c r="B31" s="103"/>
      <c r="C31" s="120" t="s">
        <v>360</v>
      </c>
      <c r="D31" s="71">
        <f>Sheet2!G88</f>
        <v>0</v>
      </c>
      <c r="E31" s="72"/>
      <c r="F31" s="116" t="s">
        <v>348</v>
      </c>
      <c r="G31" s="123">
        <f t="shared" si="19"/>
        <v>0</v>
      </c>
      <c r="H31" s="72"/>
      <c r="I31" s="116" t="s">
        <v>402</v>
      </c>
      <c r="J31" s="124">
        <f t="shared" si="20"/>
        <v>15</v>
      </c>
      <c r="L31" s="116" t="s">
        <v>410</v>
      </c>
      <c r="M31" s="103">
        <f t="shared" si="21"/>
        <v>15</v>
      </c>
      <c r="O31" s="71" t="s">
        <v>418</v>
      </c>
      <c r="P31" s="103">
        <f t="shared" si="22"/>
        <v>15</v>
      </c>
      <c r="R31" s="71" t="s">
        <v>426</v>
      </c>
      <c r="S31" s="103">
        <f t="shared" si="23"/>
        <v>7.5</v>
      </c>
      <c r="X31" s="71" t="s">
        <v>434</v>
      </c>
      <c r="Y31" s="103">
        <f t="shared" si="18"/>
        <v>0</v>
      </c>
    </row>
    <row r="32" spans="1:25" x14ac:dyDescent="0.2">
      <c r="B32" s="103"/>
      <c r="C32" s="120" t="s">
        <v>361</v>
      </c>
      <c r="D32" s="71">
        <f>Sheet2!G89</f>
        <v>0</v>
      </c>
      <c r="F32" s="116" t="s">
        <v>349</v>
      </c>
      <c r="G32" s="123">
        <f t="shared" si="19"/>
        <v>0</v>
      </c>
      <c r="I32" s="116" t="s">
        <v>403</v>
      </c>
      <c r="J32" s="124">
        <f t="shared" si="20"/>
        <v>15</v>
      </c>
      <c r="L32" s="116" t="s">
        <v>411</v>
      </c>
      <c r="M32" s="103">
        <f t="shared" si="21"/>
        <v>15</v>
      </c>
      <c r="O32" s="71" t="s">
        <v>419</v>
      </c>
      <c r="P32" s="103">
        <f t="shared" si="22"/>
        <v>15</v>
      </c>
      <c r="R32" s="71" t="s">
        <v>427</v>
      </c>
      <c r="S32" s="103">
        <f t="shared" si="23"/>
        <v>7.5</v>
      </c>
      <c r="X32" s="71" t="s">
        <v>435</v>
      </c>
      <c r="Y32" s="103">
        <f t="shared" si="18"/>
        <v>0</v>
      </c>
    </row>
    <row r="33" spans="2:25" x14ac:dyDescent="0.2">
      <c r="B33" s="103"/>
      <c r="C33" s="120" t="s">
        <v>362</v>
      </c>
      <c r="D33" s="103">
        <f>Sheet2!G90</f>
        <v>0</v>
      </c>
      <c r="F33" s="116" t="s">
        <v>350</v>
      </c>
      <c r="G33" s="123">
        <f t="shared" si="19"/>
        <v>0</v>
      </c>
      <c r="I33" s="116" t="s">
        <v>404</v>
      </c>
      <c r="J33" s="124">
        <f t="shared" si="20"/>
        <v>15</v>
      </c>
      <c r="L33" s="116" t="s">
        <v>412</v>
      </c>
      <c r="M33" s="103">
        <f t="shared" si="21"/>
        <v>15</v>
      </c>
      <c r="O33" s="71" t="s">
        <v>420</v>
      </c>
      <c r="P33" s="103">
        <f t="shared" si="22"/>
        <v>15</v>
      </c>
      <c r="R33" s="71" t="s">
        <v>428</v>
      </c>
      <c r="S33" s="103">
        <f>AA11+7.5</f>
        <v>7.5</v>
      </c>
      <c r="X33" s="71" t="s">
        <v>436</v>
      </c>
      <c r="Y33" s="103">
        <f t="shared" si="18"/>
        <v>0</v>
      </c>
    </row>
    <row r="34" spans="2:25" ht="15" x14ac:dyDescent="0.25">
      <c r="B34" s="103"/>
      <c r="C34" s="1" t="s">
        <v>3616</v>
      </c>
      <c r="D34" s="103">
        <f>Sheet2!G91</f>
        <v>0</v>
      </c>
      <c r="F34" s="1" t="s">
        <v>3620</v>
      </c>
      <c r="G34" s="123">
        <f t="shared" si="19"/>
        <v>0</v>
      </c>
      <c r="I34" s="116" t="s">
        <v>3622</v>
      </c>
      <c r="J34" s="124">
        <f>S12+15</f>
        <v>15</v>
      </c>
      <c r="L34" s="116" t="s">
        <v>3624</v>
      </c>
      <c r="M34" s="103">
        <f>Q12+15</f>
        <v>15</v>
      </c>
      <c r="O34" s="71" t="s">
        <v>3626</v>
      </c>
      <c r="P34" s="103">
        <f>Y12+15</f>
        <v>15</v>
      </c>
      <c r="R34" s="71" t="s">
        <v>3628</v>
      </c>
      <c r="S34" s="103">
        <f>AA12+7.5</f>
        <v>7.5</v>
      </c>
      <c r="X34" s="71" t="s">
        <v>3629</v>
      </c>
      <c r="Y34" s="103">
        <f>C12</f>
        <v>0</v>
      </c>
    </row>
    <row r="35" spans="2:25" ht="15" x14ac:dyDescent="0.25">
      <c r="B35" s="103"/>
      <c r="C35" s="1" t="s">
        <v>3617</v>
      </c>
      <c r="D35" s="103">
        <f>Sheet2!G92</f>
        <v>0</v>
      </c>
      <c r="F35" s="1" t="s">
        <v>3621</v>
      </c>
      <c r="G35" s="123">
        <f t="shared" si="19"/>
        <v>0</v>
      </c>
      <c r="I35" s="116" t="s">
        <v>3623</v>
      </c>
      <c r="J35" s="124">
        <f>S13+15</f>
        <v>15</v>
      </c>
      <c r="L35" s="116" t="s">
        <v>3625</v>
      </c>
      <c r="M35" s="103">
        <f>Q13+15</f>
        <v>15</v>
      </c>
      <c r="N35" s="103"/>
      <c r="O35" s="71" t="s">
        <v>3627</v>
      </c>
      <c r="P35" s="103">
        <f>Y13+15</f>
        <v>15</v>
      </c>
      <c r="Q35" s="72"/>
      <c r="R35" s="71" t="s">
        <v>3631</v>
      </c>
      <c r="S35" s="103">
        <f>AA13+7.5</f>
        <v>7.5</v>
      </c>
      <c r="X35" s="71" t="s">
        <v>3630</v>
      </c>
      <c r="Y35" s="103">
        <f>C13</f>
        <v>0</v>
      </c>
    </row>
    <row r="36" spans="2:25" x14ac:dyDescent="0.2">
      <c r="O36" s="72"/>
      <c r="P36" s="72"/>
      <c r="Q36" s="72"/>
    </row>
    <row r="37" spans="2:25" x14ac:dyDescent="0.2">
      <c r="O37" s="72"/>
      <c r="P37" s="72"/>
      <c r="Q37" s="72"/>
    </row>
    <row r="38" spans="2:25" x14ac:dyDescent="0.2">
      <c r="O38" s="72"/>
      <c r="P38" s="72"/>
      <c r="Q38" s="72"/>
    </row>
    <row r="42" spans="2:25" ht="15" x14ac:dyDescent="0.25">
      <c r="C42" s="1" t="s">
        <v>389</v>
      </c>
      <c r="D42" s="71">
        <f>Sheet2!H83</f>
        <v>26.25</v>
      </c>
    </row>
    <row r="43" spans="2:25" ht="15" x14ac:dyDescent="0.25">
      <c r="C43" s="1" t="s">
        <v>390</v>
      </c>
      <c r="D43" s="71">
        <f>Sheet2!H84</f>
        <v>9</v>
      </c>
      <c r="E43" s="117"/>
      <c r="I43" s="117"/>
      <c r="J43" s="117" t="s">
        <v>622</v>
      </c>
    </row>
    <row r="44" spans="2:25" ht="15" x14ac:dyDescent="0.25">
      <c r="C44" s="1" t="s">
        <v>391</v>
      </c>
      <c r="D44" s="71">
        <f>Sheet2!H85</f>
        <v>8.5</v>
      </c>
      <c r="J44" s="71" t="s">
        <v>623</v>
      </c>
      <c r="K44" s="115"/>
    </row>
    <row r="45" spans="2:25" ht="15" x14ac:dyDescent="0.25">
      <c r="C45" s="1" t="s">
        <v>392</v>
      </c>
      <c r="D45" s="71">
        <f>Sheet2!H86</f>
        <v>6.5</v>
      </c>
      <c r="J45" s="71" t="s">
        <v>624</v>
      </c>
    </row>
    <row r="46" spans="2:25" ht="15" x14ac:dyDescent="0.25">
      <c r="C46" s="1" t="s">
        <v>393</v>
      </c>
      <c r="D46" s="71">
        <f>Sheet2!H87</f>
        <v>12</v>
      </c>
      <c r="J46" s="71" t="s">
        <v>625</v>
      </c>
    </row>
    <row r="47" spans="2:25" ht="15" x14ac:dyDescent="0.25">
      <c r="C47" s="1" t="s">
        <v>394</v>
      </c>
      <c r="D47" s="71">
        <f>Sheet2!H88</f>
        <v>0</v>
      </c>
      <c r="J47" s="71" t="s">
        <v>626</v>
      </c>
      <c r="M47" s="117"/>
      <c r="N47" s="117"/>
      <c r="O47" s="117"/>
    </row>
    <row r="48" spans="2:25" ht="15" x14ac:dyDescent="0.25">
      <c r="C48" s="1" t="s">
        <v>395</v>
      </c>
      <c r="D48" s="71">
        <f>Sheet2!H89</f>
        <v>0</v>
      </c>
      <c r="J48" s="71" t="s">
        <v>627</v>
      </c>
    </row>
    <row r="49" spans="1:11" ht="15" x14ac:dyDescent="0.25">
      <c r="C49" s="1" t="s">
        <v>396</v>
      </c>
      <c r="D49" s="103">
        <f>Sheet2!H90</f>
        <v>0</v>
      </c>
      <c r="J49" s="71" t="s">
        <v>628</v>
      </c>
    </row>
    <row r="50" spans="1:11" ht="15" x14ac:dyDescent="0.25">
      <c r="A50" s="114"/>
      <c r="B50" s="114"/>
      <c r="C50" s="1" t="s">
        <v>3618</v>
      </c>
      <c r="D50" s="103">
        <f>Sheet2!H91</f>
        <v>0</v>
      </c>
      <c r="J50" s="71" t="s">
        <v>629</v>
      </c>
    </row>
    <row r="51" spans="1:11" ht="15" x14ac:dyDescent="0.25">
      <c r="A51" s="114"/>
      <c r="B51" s="114"/>
      <c r="C51" s="1" t="s">
        <v>3619</v>
      </c>
      <c r="D51" s="103">
        <f>Sheet2!H92</f>
        <v>0</v>
      </c>
      <c r="F51" s="117">
        <f>SUM(D42:D49)</f>
        <v>62.25</v>
      </c>
    </row>
    <row r="53" spans="1:11" x14ac:dyDescent="0.2">
      <c r="K53" s="117"/>
    </row>
  </sheetData>
  <mergeCells count="32">
    <mergeCell ref="A1:M1"/>
    <mergeCell ref="A2:A3"/>
    <mergeCell ref="B2:B3"/>
    <mergeCell ref="C2:C3"/>
    <mergeCell ref="D2:D3"/>
    <mergeCell ref="E2:E3"/>
    <mergeCell ref="F2:F3"/>
    <mergeCell ref="G2:G3"/>
    <mergeCell ref="H2:H3"/>
    <mergeCell ref="I2:J3"/>
    <mergeCell ref="K2:M2"/>
    <mergeCell ref="L4:M4"/>
    <mergeCell ref="L5:M5"/>
    <mergeCell ref="L6:M6"/>
    <mergeCell ref="L7:M7"/>
    <mergeCell ref="L8:M8"/>
    <mergeCell ref="O2:U2"/>
    <mergeCell ref="W2:AC2"/>
    <mergeCell ref="L3:M3"/>
    <mergeCell ref="T3:U3"/>
    <mergeCell ref="AB3:AC3"/>
    <mergeCell ref="AB14:AC14"/>
    <mergeCell ref="A15:C15"/>
    <mergeCell ref="F15:J15"/>
    <mergeCell ref="O15:P15"/>
    <mergeCell ref="L9:M9"/>
    <mergeCell ref="A16:C16"/>
    <mergeCell ref="F16:J16"/>
    <mergeCell ref="L10:M10"/>
    <mergeCell ref="L11:M11"/>
    <mergeCell ref="L12:M12"/>
    <mergeCell ref="L13:M13"/>
  </mergeCells>
  <pageMargins left="0.7" right="0.7" top="0.75" bottom="0.75" header="0.3" footer="0.3"/>
  <pageSetup paperSize="9" orientation="portrait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64"/>
  <sheetViews>
    <sheetView workbookViewId="0">
      <selection activeCell="M29" sqref="M29"/>
    </sheetView>
  </sheetViews>
  <sheetFormatPr defaultRowHeight="15" x14ac:dyDescent="0.25"/>
  <cols>
    <col min="1" max="1" width="6.7109375" customWidth="1"/>
    <col min="2" max="2" width="15.7109375" customWidth="1"/>
    <col min="3" max="3" width="15.28515625" style="46" customWidth="1"/>
    <col min="4" max="4" width="8.7109375" customWidth="1"/>
    <col min="5" max="5" width="23.85546875" customWidth="1"/>
    <col min="7" max="7" width="15.7109375" customWidth="1"/>
    <col min="8" max="8" width="10.7109375" customWidth="1"/>
    <col min="9" max="9" width="8.7109375" customWidth="1"/>
    <col min="13" max="13" width="30.28515625" customWidth="1"/>
    <col min="14" max="14" width="22.140625" customWidth="1"/>
    <col min="15" max="15" width="10.140625" customWidth="1"/>
    <col min="16" max="16" width="18" customWidth="1"/>
    <col min="17" max="17" width="19.140625" customWidth="1"/>
  </cols>
  <sheetData>
    <row r="1" spans="1:18" ht="45.75" customHeight="1" x14ac:dyDescent="0.25"/>
    <row r="2" spans="1:18" x14ac:dyDescent="0.25">
      <c r="A2" s="46"/>
      <c r="C2"/>
    </row>
    <row r="3" spans="1:18" x14ac:dyDescent="0.25">
      <c r="A3" s="46"/>
      <c r="C3"/>
    </row>
    <row r="4" spans="1:18" x14ac:dyDescent="0.25">
      <c r="G4" t="s">
        <v>797</v>
      </c>
      <c r="I4" t="s">
        <v>799</v>
      </c>
      <c r="K4" s="905" t="s">
        <v>4334</v>
      </c>
    </row>
    <row r="5" spans="1:18" x14ac:dyDescent="0.25">
      <c r="K5" t="s">
        <v>798</v>
      </c>
    </row>
    <row r="6" spans="1:18" x14ac:dyDescent="0.25">
      <c r="E6" t="s">
        <v>800</v>
      </c>
      <c r="F6" t="str">
        <f>IF(Sheet5!F35=2,K5,IF(AND(Sheet5!F35=1,Sheet5!B4&lt;180,Sheet5!B5&lt;180),K5,K4))</f>
        <v xml:space="preserve">không </v>
      </c>
    </row>
    <row r="7" spans="1:18" x14ac:dyDescent="0.25">
      <c r="E7" t="s">
        <v>801</v>
      </c>
      <c r="F7" t="str">
        <f>IF(Sheet5!F35=2,K5,IF(AND(Sheet5!F35=1,Sheet5!B7&lt;180,Sheet5!B8&lt;180),K5,K4))</f>
        <v xml:space="preserve">không </v>
      </c>
    </row>
    <row r="8" spans="1:18" ht="15.75" thickBot="1" x14ac:dyDescent="0.3"/>
    <row r="9" spans="1:18" ht="16.5" thickTop="1" thickBot="1" x14ac:dyDescent="0.3">
      <c r="E9" s="47" t="s">
        <v>212</v>
      </c>
      <c r="F9" s="34" t="s">
        <v>141</v>
      </c>
      <c r="G9" s="35" t="s">
        <v>142</v>
      </c>
      <c r="H9" s="35" t="s">
        <v>143</v>
      </c>
      <c r="I9" s="36" t="s">
        <v>144</v>
      </c>
      <c r="J9" s="37" t="s">
        <v>145</v>
      </c>
      <c r="M9" s="34" t="s">
        <v>141</v>
      </c>
      <c r="N9" s="35" t="s">
        <v>142</v>
      </c>
      <c r="O9" s="34" t="s">
        <v>143</v>
      </c>
      <c r="P9" s="36" t="s">
        <v>1035</v>
      </c>
      <c r="Q9" s="36" t="s">
        <v>1036</v>
      </c>
      <c r="R9" s="36" t="s">
        <v>145</v>
      </c>
    </row>
    <row r="10" spans="1:18" ht="16.5" thickTop="1" thickBot="1" x14ac:dyDescent="0.3">
      <c r="F10" s="38" t="s">
        <v>146</v>
      </c>
      <c r="G10" s="36" t="s">
        <v>147</v>
      </c>
      <c r="H10" s="36">
        <f>Sheet2!T71</f>
        <v>11</v>
      </c>
      <c r="I10" s="36">
        <f>Sheet2!S71</f>
        <v>30</v>
      </c>
      <c r="J10" s="39" t="s">
        <v>148</v>
      </c>
      <c r="M10" s="38" t="s">
        <v>146</v>
      </c>
      <c r="N10" s="36" t="s">
        <v>147</v>
      </c>
      <c r="O10" s="38">
        <f>H10</f>
        <v>11</v>
      </c>
      <c r="P10" s="36">
        <f>I10</f>
        <v>30</v>
      </c>
      <c r="Q10" s="202">
        <f>P10</f>
        <v>30</v>
      </c>
      <c r="R10" s="36" t="s">
        <v>148</v>
      </c>
    </row>
    <row r="11" spans="1:18" ht="16.5" thickTop="1" thickBot="1" x14ac:dyDescent="0.3">
      <c r="F11" s="36" t="s">
        <v>149</v>
      </c>
      <c r="G11" s="40" t="s">
        <v>146</v>
      </c>
      <c r="H11" s="40">
        <f>Sheet2!T70</f>
        <v>520</v>
      </c>
      <c r="I11" s="40">
        <f>Sheet2!S70</f>
        <v>1401</v>
      </c>
      <c r="J11" s="41" t="s">
        <v>150</v>
      </c>
      <c r="M11" s="36" t="s">
        <v>149</v>
      </c>
      <c r="N11" s="40" t="s">
        <v>146</v>
      </c>
      <c r="O11" s="38">
        <f>H11</f>
        <v>520</v>
      </c>
      <c r="P11" s="36">
        <f>I11</f>
        <v>1401</v>
      </c>
      <c r="Q11" s="202">
        <f>P11</f>
        <v>1401</v>
      </c>
      <c r="R11" s="36" t="s">
        <v>150</v>
      </c>
    </row>
    <row r="12" spans="1:18" ht="16.5" thickTop="1" thickBot="1" x14ac:dyDescent="0.3">
      <c r="F12" s="36" t="s">
        <v>151</v>
      </c>
      <c r="G12" s="36" t="s">
        <v>152</v>
      </c>
      <c r="H12" s="36">
        <f>Sheet2!B9</f>
        <v>380</v>
      </c>
      <c r="I12" s="36">
        <f>Sheet2!B10</f>
        <v>380</v>
      </c>
      <c r="J12" s="39" t="s">
        <v>150</v>
      </c>
      <c r="M12" s="36" t="s">
        <v>151</v>
      </c>
      <c r="N12" s="36" t="s">
        <v>152</v>
      </c>
      <c r="O12" s="618">
        <f>Sheet5!B4</f>
        <v>380</v>
      </c>
      <c r="P12" s="205">
        <f>Sheet5!C5</f>
        <v>380</v>
      </c>
      <c r="Q12" s="203">
        <f>Sheet5!B5</f>
        <v>380</v>
      </c>
      <c r="R12" s="36" t="s">
        <v>150</v>
      </c>
    </row>
    <row r="13" spans="1:18" ht="16.5" thickTop="1" thickBot="1" x14ac:dyDescent="0.3">
      <c r="F13" s="42" t="s">
        <v>153</v>
      </c>
      <c r="G13" s="40" t="s">
        <v>154</v>
      </c>
      <c r="H13" s="603">
        <f>Sheet5!C9</f>
        <v>45</v>
      </c>
      <c r="I13" s="603">
        <f>Sheet5!B9</f>
        <v>45</v>
      </c>
      <c r="J13" s="41" t="s">
        <v>150</v>
      </c>
      <c r="M13" s="42" t="s">
        <v>153</v>
      </c>
      <c r="N13" s="40" t="s">
        <v>154</v>
      </c>
      <c r="O13" s="616">
        <f>Sheet5!C9</f>
        <v>45</v>
      </c>
      <c r="P13" s="205">
        <f>Sheet5!B9</f>
        <v>45</v>
      </c>
      <c r="Q13" s="205">
        <f>P13</f>
        <v>45</v>
      </c>
      <c r="R13" s="36" t="s">
        <v>150</v>
      </c>
    </row>
    <row r="14" spans="1:18" ht="16.5" thickTop="1" thickBot="1" x14ac:dyDescent="0.3">
      <c r="F14" s="38" t="s">
        <v>155</v>
      </c>
      <c r="G14" s="36" t="s">
        <v>156</v>
      </c>
      <c r="H14" s="36">
        <f>Sheet2!T72</f>
        <v>35</v>
      </c>
      <c r="I14" s="36">
        <f>Sheet2!S72</f>
        <v>48</v>
      </c>
      <c r="J14" s="39" t="s">
        <v>150</v>
      </c>
      <c r="M14" s="38" t="s">
        <v>155</v>
      </c>
      <c r="N14" s="36" t="s">
        <v>156</v>
      </c>
      <c r="O14" s="38">
        <f t="shared" ref="O14:P16" si="0">H14</f>
        <v>35</v>
      </c>
      <c r="P14" s="36">
        <f t="shared" si="0"/>
        <v>48</v>
      </c>
      <c r="Q14" s="36">
        <f>P14</f>
        <v>48</v>
      </c>
      <c r="R14" s="36" t="s">
        <v>150</v>
      </c>
    </row>
    <row r="15" spans="1:18" ht="16.5" thickTop="1" thickBot="1" x14ac:dyDescent="0.3">
      <c r="F15" s="43" t="s">
        <v>157</v>
      </c>
      <c r="G15" s="44" t="s">
        <v>158</v>
      </c>
      <c r="H15" s="44">
        <f>Sheet2!T72</f>
        <v>35</v>
      </c>
      <c r="I15" s="44">
        <f>Sheet2!S72</f>
        <v>48</v>
      </c>
      <c r="J15" s="45" t="s">
        <v>150</v>
      </c>
      <c r="M15" s="43" t="s">
        <v>157</v>
      </c>
      <c r="N15" s="44" t="s">
        <v>158</v>
      </c>
      <c r="O15" s="38">
        <f t="shared" si="0"/>
        <v>35</v>
      </c>
      <c r="P15" s="36">
        <f t="shared" si="0"/>
        <v>48</v>
      </c>
      <c r="Q15" s="36">
        <f>P15</f>
        <v>48</v>
      </c>
      <c r="R15" s="36" t="s">
        <v>150</v>
      </c>
    </row>
    <row r="16" spans="1:18" ht="16.5" thickTop="1" thickBot="1" x14ac:dyDescent="0.3">
      <c r="F16" s="42" t="s">
        <v>146</v>
      </c>
      <c r="G16" s="40" t="s">
        <v>159</v>
      </c>
      <c r="H16" s="40">
        <f>Sheet2!B11</f>
        <v>600</v>
      </c>
      <c r="I16" s="40">
        <f>Sheet2!B11</f>
        <v>600</v>
      </c>
      <c r="J16" s="41" t="s">
        <v>150</v>
      </c>
      <c r="M16" s="42" t="s">
        <v>146</v>
      </c>
      <c r="N16" s="40" t="s">
        <v>159</v>
      </c>
      <c r="O16" s="42">
        <f t="shared" si="0"/>
        <v>600</v>
      </c>
      <c r="P16" s="36">
        <f t="shared" si="0"/>
        <v>600</v>
      </c>
      <c r="Q16" s="36">
        <f>P16</f>
        <v>600</v>
      </c>
      <c r="R16" s="36" t="s">
        <v>150</v>
      </c>
    </row>
    <row r="17" spans="5:18" ht="16.5" thickTop="1" thickBot="1" x14ac:dyDescent="0.3">
      <c r="F17" s="34" t="s">
        <v>146</v>
      </c>
      <c r="G17" s="35" t="s">
        <v>160</v>
      </c>
      <c r="H17" s="35">
        <v>1.2</v>
      </c>
      <c r="I17" s="35">
        <v>1.2</v>
      </c>
      <c r="J17" s="37" t="s">
        <v>150</v>
      </c>
      <c r="M17" s="34" t="s">
        <v>146</v>
      </c>
      <c r="N17" s="35" t="s">
        <v>160</v>
      </c>
      <c r="O17" s="34">
        <v>1.2</v>
      </c>
      <c r="P17" s="36">
        <v>1.2</v>
      </c>
      <c r="Q17" s="36">
        <v>1.2</v>
      </c>
      <c r="R17" s="36" t="s">
        <v>150</v>
      </c>
    </row>
    <row r="18" spans="5:18" ht="16.5" thickTop="1" thickBot="1" x14ac:dyDescent="0.3">
      <c r="F18" s="457" t="s">
        <v>146</v>
      </c>
      <c r="G18" s="458" t="s">
        <v>161</v>
      </c>
      <c r="H18" s="458">
        <v>2</v>
      </c>
      <c r="I18" s="458">
        <v>2</v>
      </c>
      <c r="J18" s="459" t="s">
        <v>148</v>
      </c>
      <c r="M18" s="457" t="s">
        <v>146</v>
      </c>
      <c r="N18" s="458" t="s">
        <v>161</v>
      </c>
      <c r="O18" s="617">
        <v>2</v>
      </c>
      <c r="P18" s="36">
        <v>1</v>
      </c>
      <c r="Q18" s="36">
        <v>1</v>
      </c>
      <c r="R18" s="36" t="s">
        <v>148</v>
      </c>
    </row>
    <row r="19" spans="5:18" ht="16.5" thickTop="1" thickBot="1" x14ac:dyDescent="0.3">
      <c r="F19" s="460" t="str">
        <f>G4&amp;F6&amp;I4</f>
        <v>Chú ý cánh không hàn đính gân</v>
      </c>
      <c r="G19" s="461"/>
      <c r="H19" s="461"/>
      <c r="I19" s="461"/>
      <c r="J19" s="462"/>
      <c r="M19" s="202" t="str">
        <f>F19</f>
        <v>Chú ý cánh không hàn đính gân</v>
      </c>
      <c r="N19" s="202"/>
      <c r="O19" s="202"/>
      <c r="P19" s="202"/>
      <c r="Q19" s="202"/>
      <c r="R19" s="202"/>
    </row>
    <row r="21" spans="5:18" x14ac:dyDescent="0.25">
      <c r="N21" s="121" t="s">
        <v>352</v>
      </c>
    </row>
    <row r="22" spans="5:18" x14ac:dyDescent="0.25">
      <c r="I22" s="545"/>
      <c r="J22" s="545"/>
      <c r="K22" s="545"/>
      <c r="N22" t="s">
        <v>351</v>
      </c>
    </row>
    <row r="23" spans="5:18" ht="15.75" thickBot="1" x14ac:dyDescent="0.3">
      <c r="N23" s="122" t="s">
        <v>353</v>
      </c>
    </row>
    <row r="24" spans="5:18" ht="16.5" thickTop="1" thickBot="1" x14ac:dyDescent="0.3">
      <c r="E24" s="47" t="s">
        <v>213</v>
      </c>
      <c r="F24" s="34" t="s">
        <v>141</v>
      </c>
      <c r="G24" s="35" t="s">
        <v>142</v>
      </c>
      <c r="H24" s="35" t="s">
        <v>143</v>
      </c>
      <c r="I24" s="36" t="s">
        <v>144</v>
      </c>
      <c r="J24" s="37" t="s">
        <v>145</v>
      </c>
    </row>
    <row r="25" spans="5:18" ht="16.5" thickTop="1" thickBot="1" x14ac:dyDescent="0.3">
      <c r="F25" s="38" t="s">
        <v>146</v>
      </c>
      <c r="G25" s="36" t="s">
        <v>147</v>
      </c>
      <c r="H25" s="36">
        <f>Sheet2!T75</f>
        <v>27</v>
      </c>
      <c r="I25" s="36">
        <f>Sheet2!T76</f>
        <v>30</v>
      </c>
      <c r="J25" s="39" t="s">
        <v>148</v>
      </c>
    </row>
    <row r="26" spans="5:18" ht="16.5" thickTop="1" thickBot="1" x14ac:dyDescent="0.3">
      <c r="F26" s="36" t="s">
        <v>149</v>
      </c>
      <c r="G26" s="40" t="s">
        <v>146</v>
      </c>
      <c r="H26" s="40">
        <f>Sheet2!T74</f>
        <v>1274</v>
      </c>
      <c r="I26" s="40">
        <f>(I25-1)*I28+I29*2</f>
        <v>1305</v>
      </c>
      <c r="J26" s="41" t="s">
        <v>150</v>
      </c>
      <c r="N26" s="210" t="s">
        <v>590</v>
      </c>
    </row>
    <row r="27" spans="5:18" ht="16.5" thickTop="1" thickBot="1" x14ac:dyDescent="0.3">
      <c r="F27" s="36" t="s">
        <v>151</v>
      </c>
      <c r="G27" s="36" t="s">
        <v>152</v>
      </c>
      <c r="H27" s="205">
        <f>Sheet2!T77</f>
        <v>380</v>
      </c>
      <c r="I27" s="205">
        <f>Sheet2!T78</f>
        <v>380</v>
      </c>
      <c r="J27" s="39" t="s">
        <v>150</v>
      </c>
      <c r="M27" s="211" t="s">
        <v>563</v>
      </c>
      <c r="N27" s="202" t="s">
        <v>591</v>
      </c>
      <c r="O27" s="202"/>
    </row>
    <row r="28" spans="5:18" ht="16.5" thickTop="1" thickBot="1" x14ac:dyDescent="0.3">
      <c r="F28" s="42" t="s">
        <v>153</v>
      </c>
      <c r="G28" s="40" t="s">
        <v>154</v>
      </c>
      <c r="H28" s="603">
        <f>Sheet5!C9</f>
        <v>45</v>
      </c>
      <c r="I28" s="603">
        <f>Sheet5!B9</f>
        <v>45</v>
      </c>
      <c r="J28" s="41" t="s">
        <v>150</v>
      </c>
      <c r="M28" s="202"/>
      <c r="N28" s="202" t="s">
        <v>4355</v>
      </c>
      <c r="O28" s="202">
        <v>0</v>
      </c>
    </row>
    <row r="29" spans="5:18" ht="16.5" thickTop="1" thickBot="1" x14ac:dyDescent="0.3">
      <c r="F29" s="38" t="s">
        <v>155</v>
      </c>
      <c r="G29" s="36" t="s">
        <v>156</v>
      </c>
      <c r="H29" s="36">
        <f>H26-(H25-1)*H28-H30</f>
        <v>52</v>
      </c>
      <c r="I29" s="36">
        <v>0</v>
      </c>
      <c r="J29" s="39" t="s">
        <v>150</v>
      </c>
      <c r="M29" s="202"/>
      <c r="N29" s="202" t="s">
        <v>4360</v>
      </c>
      <c r="O29" s="202">
        <v>1</v>
      </c>
    </row>
    <row r="30" spans="5:18" ht="16.5" thickTop="1" thickBot="1" x14ac:dyDescent="0.3">
      <c r="F30" s="43" t="s">
        <v>157</v>
      </c>
      <c r="G30" s="44" t="s">
        <v>158</v>
      </c>
      <c r="H30" s="44">
        <f>Sheet2!T80</f>
        <v>52</v>
      </c>
      <c r="I30" s="44">
        <v>0</v>
      </c>
      <c r="J30" s="45" t="s">
        <v>150</v>
      </c>
      <c r="M30" s="202"/>
      <c r="N30" s="202" t="s">
        <v>4361</v>
      </c>
      <c r="O30" s="202">
        <v>2</v>
      </c>
    </row>
    <row r="31" spans="5:18" ht="16.5" thickTop="1" thickBot="1" x14ac:dyDescent="0.3">
      <c r="F31" s="42" t="s">
        <v>146</v>
      </c>
      <c r="G31" s="40" t="s">
        <v>159</v>
      </c>
      <c r="H31" s="40">
        <f>Sheet2!B11</f>
        <v>600</v>
      </c>
      <c r="I31" s="40">
        <f>Sheet2!B11</f>
        <v>600</v>
      </c>
      <c r="J31" s="41" t="s">
        <v>150</v>
      </c>
    </row>
    <row r="32" spans="5:18" ht="16.5" thickTop="1" thickBot="1" x14ac:dyDescent="0.3">
      <c r="F32" s="38" t="s">
        <v>146</v>
      </c>
      <c r="G32" s="36" t="s">
        <v>160</v>
      </c>
      <c r="H32" s="36">
        <v>1.2</v>
      </c>
      <c r="I32" s="36">
        <v>1.2</v>
      </c>
      <c r="J32" s="39" t="s">
        <v>150</v>
      </c>
      <c r="M32" s="211" t="s">
        <v>565</v>
      </c>
      <c r="N32" s="202" t="s">
        <v>591</v>
      </c>
      <c r="O32" s="202"/>
    </row>
    <row r="33" spans="5:15" ht="16.5" thickTop="1" thickBot="1" x14ac:dyDescent="0.3">
      <c r="F33" s="42" t="s">
        <v>146</v>
      </c>
      <c r="G33" s="40" t="s">
        <v>161</v>
      </c>
      <c r="H33" s="40">
        <v>2</v>
      </c>
      <c r="I33" s="40">
        <v>2</v>
      </c>
      <c r="J33" s="41" t="s">
        <v>148</v>
      </c>
      <c r="M33" s="202"/>
      <c r="N33" s="202" t="s">
        <v>4362</v>
      </c>
      <c r="O33" s="202">
        <v>0</v>
      </c>
    </row>
    <row r="34" spans="5:15" ht="16.5" thickTop="1" thickBot="1" x14ac:dyDescent="0.3">
      <c r="F34" s="463" t="str">
        <f>G4&amp;F6&amp;I4</f>
        <v>Chú ý cánh không hàn đính gân</v>
      </c>
      <c r="G34" s="464"/>
      <c r="H34" s="464"/>
      <c r="I34" s="464"/>
      <c r="J34" s="465"/>
      <c r="M34" s="202"/>
      <c r="N34" s="202" t="s">
        <v>4363</v>
      </c>
      <c r="O34" s="202">
        <v>1</v>
      </c>
    </row>
    <row r="35" spans="5:15" ht="16.5" thickTop="1" thickBot="1" x14ac:dyDescent="0.3">
      <c r="M35" s="202"/>
      <c r="N35" s="202" t="s">
        <v>4364</v>
      </c>
      <c r="O35" s="202">
        <v>2</v>
      </c>
    </row>
    <row r="36" spans="5:15" ht="16.5" thickTop="1" thickBot="1" x14ac:dyDescent="0.3">
      <c r="E36" s="204" t="s">
        <v>561</v>
      </c>
      <c r="F36" s="34" t="s">
        <v>141</v>
      </c>
      <c r="G36" s="35" t="s">
        <v>142</v>
      </c>
      <c r="H36" s="36" t="str">
        <f>M41</f>
        <v>CÁNH NGẮN</v>
      </c>
      <c r="I36" s="36" t="str">
        <f>N41</f>
        <v>CÁNH DÀI</v>
      </c>
      <c r="J36" s="37" t="s">
        <v>145</v>
      </c>
    </row>
    <row r="37" spans="5:15" ht="16.5" thickTop="1" thickBot="1" x14ac:dyDescent="0.3">
      <c r="F37" s="38" t="s">
        <v>146</v>
      </c>
      <c r="G37" s="36" t="s">
        <v>147</v>
      </c>
      <c r="H37" s="202">
        <f>IF(Sheet5!$B$8=Sheet5!$B$7,0,I37)</f>
        <v>0</v>
      </c>
      <c r="I37" s="202">
        <f>Sheet2!S71</f>
        <v>30</v>
      </c>
      <c r="J37" s="39" t="s">
        <v>148</v>
      </c>
    </row>
    <row r="38" spans="5:15" ht="16.5" thickTop="1" thickBot="1" x14ac:dyDescent="0.3">
      <c r="F38" s="36" t="s">
        <v>149</v>
      </c>
      <c r="G38" s="40" t="s">
        <v>146</v>
      </c>
      <c r="H38" s="202">
        <f>IF(Sheet5!$B$8=Sheet5!$B$7,0,I38)</f>
        <v>0</v>
      </c>
      <c r="I38" s="203">
        <f>Sheet2!B20</f>
        <v>1390</v>
      </c>
      <c r="J38" s="41" t="s">
        <v>150</v>
      </c>
      <c r="M38" s="36" t="s">
        <v>143</v>
      </c>
      <c r="N38" s="36" t="s">
        <v>144</v>
      </c>
    </row>
    <row r="39" spans="5:15" ht="16.5" thickTop="1" thickBot="1" x14ac:dyDescent="0.3">
      <c r="F39" s="36" t="s">
        <v>151</v>
      </c>
      <c r="G39" s="36" t="s">
        <v>152</v>
      </c>
      <c r="H39" s="202">
        <f>IF(Sheet5!$B$8=Sheet5!$B$7,0,Sheet5!B7)</f>
        <v>0</v>
      </c>
      <c r="I39" s="203">
        <f>Sheet5!B8</f>
        <v>380</v>
      </c>
      <c r="J39" s="39" t="s">
        <v>150</v>
      </c>
      <c r="M39" s="46" t="s">
        <v>1035</v>
      </c>
      <c r="N39" s="46" t="s">
        <v>1036</v>
      </c>
    </row>
    <row r="40" spans="5:15" ht="16.5" thickTop="1" thickBot="1" x14ac:dyDescent="0.3">
      <c r="F40" s="42" t="s">
        <v>153</v>
      </c>
      <c r="G40" s="40" t="s">
        <v>154</v>
      </c>
      <c r="H40" s="202">
        <f>IF(Sheet5!$B$8=Sheet5!$B$7,0,I40)</f>
        <v>0</v>
      </c>
      <c r="I40" s="203">
        <f>Sheet5!B9</f>
        <v>45</v>
      </c>
      <c r="J40" s="41" t="s">
        <v>150</v>
      </c>
    </row>
    <row r="41" spans="5:15" ht="16.5" thickTop="1" thickBot="1" x14ac:dyDescent="0.3">
      <c r="F41" s="38" t="s">
        <v>155</v>
      </c>
      <c r="G41" s="36" t="s">
        <v>156</v>
      </c>
      <c r="H41" s="202">
        <f>IF(Sheet5!$B$8=Sheet5!$B$7,0,I41)</f>
        <v>0</v>
      </c>
      <c r="I41" s="202">
        <f>Sheet2!S72</f>
        <v>48</v>
      </c>
      <c r="J41" s="39" t="s">
        <v>150</v>
      </c>
      <c r="M41" t="str">
        <f>IF(Sheet5!B8=Sheet5!B7,Sheet4!M38,Sheet4!M39)</f>
        <v>CÁNH NGẮN</v>
      </c>
      <c r="N41" t="str">
        <f>IF(Sheet5!B8=Sheet5!B7,Sheet4!N38,Sheet4!N39)</f>
        <v>CÁNH DÀI</v>
      </c>
    </row>
    <row r="42" spans="5:15" ht="16.5" thickTop="1" thickBot="1" x14ac:dyDescent="0.3">
      <c r="F42" s="43" t="s">
        <v>157</v>
      </c>
      <c r="G42" s="44" t="s">
        <v>158</v>
      </c>
      <c r="H42" s="202">
        <f>IF(Sheet5!$B$8=Sheet5!$B$7,0,I42)</f>
        <v>0</v>
      </c>
      <c r="I42" s="202">
        <f>I41</f>
        <v>48</v>
      </c>
      <c r="J42" s="45" t="s">
        <v>150</v>
      </c>
    </row>
    <row r="43" spans="5:15" ht="16.5" thickTop="1" thickBot="1" x14ac:dyDescent="0.3">
      <c r="F43" s="42" t="s">
        <v>146</v>
      </c>
      <c r="G43" s="40" t="s">
        <v>159</v>
      </c>
      <c r="H43" s="202">
        <f>IF(Sheet5!$B$8=Sheet5!$B$7,0,I43)</f>
        <v>0</v>
      </c>
      <c r="I43" s="203">
        <f>Sheet2!B11</f>
        <v>600</v>
      </c>
      <c r="J43" s="41" t="s">
        <v>150</v>
      </c>
    </row>
    <row r="44" spans="5:15" ht="16.5" thickTop="1" thickBot="1" x14ac:dyDescent="0.3">
      <c r="F44" s="38" t="s">
        <v>146</v>
      </c>
      <c r="G44" s="36" t="s">
        <v>160</v>
      </c>
      <c r="H44" s="202">
        <f>IF(Sheet5!$B$8=Sheet5!$B$7,0,I44)</f>
        <v>0</v>
      </c>
      <c r="I44" s="202">
        <v>1.2</v>
      </c>
      <c r="J44" s="39" t="s">
        <v>150</v>
      </c>
    </row>
    <row r="45" spans="5:15" ht="16.5" thickTop="1" thickBot="1" x14ac:dyDescent="0.3">
      <c r="F45" s="42" t="s">
        <v>146</v>
      </c>
      <c r="G45" s="40" t="s">
        <v>161</v>
      </c>
      <c r="H45" s="202">
        <f>IF(Sheet5!$B$8=Sheet5!$B$7,0,I45)</f>
        <v>0</v>
      </c>
      <c r="I45" s="466">
        <f>IF(Sheet5!B8=Sheet5!B7,2,1)</f>
        <v>2</v>
      </c>
      <c r="J45" s="41" t="s">
        <v>148</v>
      </c>
    </row>
    <row r="46" spans="5:15" ht="16.5" thickTop="1" thickBot="1" x14ac:dyDescent="0.3">
      <c r="F46" s="463" t="str">
        <f>G4&amp;F7&amp;I4</f>
        <v>Chú ý cánh không hàn đính gân</v>
      </c>
      <c r="G46" s="464"/>
      <c r="H46" s="464"/>
      <c r="I46" s="464"/>
      <c r="J46" s="465"/>
    </row>
    <row r="53" spans="2:6" x14ac:dyDescent="0.25">
      <c r="B53" t="s">
        <v>3922</v>
      </c>
    </row>
    <row r="55" spans="2:6" x14ac:dyDescent="0.25">
      <c r="C55" s="597" t="s">
        <v>668</v>
      </c>
      <c r="D55" s="362" t="s">
        <v>3749</v>
      </c>
      <c r="E55" s="362" t="s">
        <v>3923</v>
      </c>
      <c r="F55" s="362" t="s">
        <v>3923</v>
      </c>
    </row>
    <row r="56" spans="2:6" x14ac:dyDescent="0.25">
      <c r="C56" s="597"/>
      <c r="D56" s="362"/>
      <c r="E56" s="362" t="s">
        <v>3924</v>
      </c>
      <c r="F56" s="362" t="s">
        <v>3925</v>
      </c>
    </row>
    <row r="57" spans="2:6" x14ac:dyDescent="0.25">
      <c r="C57" s="597" t="s">
        <v>157</v>
      </c>
      <c r="D57" s="362" t="s">
        <v>859</v>
      </c>
      <c r="E57" s="362"/>
      <c r="F57" s="362"/>
    </row>
    <row r="58" spans="2:6" x14ac:dyDescent="0.25">
      <c r="C58" s="597" t="s">
        <v>3926</v>
      </c>
      <c r="D58" s="362" t="s">
        <v>859</v>
      </c>
      <c r="E58" s="362"/>
      <c r="F58" s="362"/>
    </row>
    <row r="59" spans="2:6" x14ac:dyDescent="0.25">
      <c r="C59" s="597" t="s">
        <v>3927</v>
      </c>
      <c r="D59" s="362" t="s">
        <v>859</v>
      </c>
      <c r="E59" s="362"/>
      <c r="F59" s="362"/>
    </row>
    <row r="60" spans="2:6" x14ac:dyDescent="0.25">
      <c r="C60" s="597" t="s">
        <v>275</v>
      </c>
      <c r="D60" s="362" t="s">
        <v>859</v>
      </c>
      <c r="E60" s="362"/>
      <c r="F60" s="362"/>
    </row>
    <row r="61" spans="2:6" x14ac:dyDescent="0.25">
      <c r="C61" s="597" t="s">
        <v>99</v>
      </c>
      <c r="D61" s="362" t="s">
        <v>859</v>
      </c>
      <c r="E61" s="362"/>
      <c r="F61" s="362"/>
    </row>
    <row r="62" spans="2:6" x14ac:dyDescent="0.25">
      <c r="C62" s="597" t="s">
        <v>3928</v>
      </c>
      <c r="D62" s="362" t="s">
        <v>1938</v>
      </c>
      <c r="E62" s="362"/>
      <c r="F62" s="362"/>
    </row>
    <row r="63" spans="2:6" x14ac:dyDescent="0.25">
      <c r="C63" s="597" t="s">
        <v>3929</v>
      </c>
      <c r="D63" s="362" t="s">
        <v>1019</v>
      </c>
      <c r="E63" s="362"/>
      <c r="F63" s="362"/>
    </row>
    <row r="64" spans="2:6" x14ac:dyDescent="0.25">
      <c r="C64" s="597" t="s">
        <v>331</v>
      </c>
      <c r="D64" s="362"/>
      <c r="E64" s="362"/>
      <c r="F64" s="362"/>
    </row>
  </sheetData>
  <sheetProtection formatCells="0" formatColumns="0" formatRows="0" insertColumns="0" insertRows="0" insertHyperlinks="0" deleteColumns="0" deleteRows="0" sort="0" autoFilter="0" pivotTables="0"/>
  <dataConsolidate/>
  <pageMargins left="0.7" right="0.7" top="0.75" bottom="0.75" header="0.3" footer="0.3"/>
  <pageSetup paperSize="9" orientation="portrait" verticalDpi="1200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41"/>
  <sheetViews>
    <sheetView workbookViewId="0">
      <selection activeCell="N4" sqref="N4"/>
    </sheetView>
  </sheetViews>
  <sheetFormatPr defaultColWidth="8.85546875" defaultRowHeight="15" x14ac:dyDescent="0.25"/>
  <cols>
    <col min="1" max="1" width="27.140625" style="1" customWidth="1"/>
    <col min="2" max="2" width="12.5703125" style="1" customWidth="1"/>
    <col min="3" max="8" width="8.85546875" style="1"/>
    <col min="9" max="9" width="12.5703125" style="1" customWidth="1"/>
    <col min="10" max="10" width="12.7109375" style="1" customWidth="1"/>
    <col min="11" max="16384" width="8.85546875" style="1"/>
  </cols>
  <sheetData>
    <row r="1" spans="1:26" ht="43.5" customHeight="1" x14ac:dyDescent="0.25">
      <c r="A1" s="57" t="s">
        <v>100</v>
      </c>
      <c r="B1" s="58" t="s">
        <v>99</v>
      </c>
      <c r="C1" s="925">
        <f>Sheet2!B21-Sheet2!L22</f>
        <v>505</v>
      </c>
      <c r="D1" s="925">
        <f>Sheet2!B20</f>
        <v>1390</v>
      </c>
      <c r="E1" s="59"/>
      <c r="F1" s="59"/>
      <c r="G1" s="59"/>
      <c r="H1" s="63"/>
    </row>
    <row r="2" spans="1:26" x14ac:dyDescent="0.25">
      <c r="A2" s="60" t="s">
        <v>98</v>
      </c>
      <c r="B2" s="61" t="s">
        <v>97</v>
      </c>
      <c r="C2" s="61">
        <f>Sheet2!I22</f>
        <v>35</v>
      </c>
      <c r="D2" s="61"/>
      <c r="E2" s="31"/>
      <c r="F2" s="31"/>
      <c r="G2" s="31"/>
      <c r="H2" s="64"/>
    </row>
    <row r="3" spans="1:26" x14ac:dyDescent="0.25">
      <c r="A3" s="60" t="s">
        <v>96</v>
      </c>
      <c r="B3" s="61" t="s">
        <v>101</v>
      </c>
      <c r="C3" s="61">
        <f>IF(OR(Sheet2!B26&lt;180,Sheet5!F35=2),P15,D30)</f>
        <v>6</v>
      </c>
      <c r="D3" s="61">
        <f>D8</f>
        <v>18</v>
      </c>
      <c r="E3" s="31"/>
      <c r="F3" s="31"/>
      <c r="G3" s="31">
        <f>INT((C1+2*C2)/G5)</f>
        <v>7</v>
      </c>
      <c r="H3" s="64">
        <f>INT((D1+2*C2)/H5)</f>
        <v>18</v>
      </c>
    </row>
    <row r="4" spans="1:26" x14ac:dyDescent="0.25">
      <c r="A4" s="60" t="s">
        <v>95</v>
      </c>
      <c r="B4" s="61" t="s">
        <v>102</v>
      </c>
      <c r="C4" s="61">
        <f>((C1+2*C2)-(C3-1)*C5)/2</f>
        <v>85</v>
      </c>
      <c r="D4" s="61">
        <f>((D1+C2*2)-(D3-1)*D5)/2</f>
        <v>50</v>
      </c>
      <c r="E4" s="31"/>
      <c r="F4" s="31"/>
      <c r="G4" s="31">
        <f>((C1+2*C2)-(G3-1)*G5)/2</f>
        <v>62.5</v>
      </c>
      <c r="H4" s="70">
        <f>((D1+C2*2)-(H3-1)*H5)/2</f>
        <v>50</v>
      </c>
    </row>
    <row r="5" spans="1:26" x14ac:dyDescent="0.25">
      <c r="A5" s="60" t="s">
        <v>94</v>
      </c>
      <c r="B5" s="61" t="s">
        <v>484</v>
      </c>
      <c r="C5" s="61">
        <f>C6</f>
        <v>81</v>
      </c>
      <c r="D5" s="61">
        <v>80</v>
      </c>
      <c r="E5" s="31"/>
      <c r="F5" s="31"/>
      <c r="G5" s="31">
        <v>75</v>
      </c>
      <c r="H5" s="70">
        <v>80</v>
      </c>
    </row>
    <row r="6" spans="1:26" x14ac:dyDescent="0.25">
      <c r="A6" s="62"/>
      <c r="B6" s="31"/>
      <c r="C6" s="31">
        <f>IF(OR(Sheet2!B26&lt;180,Sheet5!F35=2),P14,'Lo vanh vs nap'!D29)</f>
        <v>81</v>
      </c>
      <c r="D6" s="31"/>
      <c r="E6" s="31"/>
      <c r="F6" s="31"/>
      <c r="G6" s="31"/>
      <c r="H6" s="64"/>
    </row>
    <row r="7" spans="1:26" x14ac:dyDescent="0.25">
      <c r="A7" s="62"/>
      <c r="B7" s="31"/>
      <c r="C7" s="31">
        <f>IF(Sheet2!B26&gt;=180,IF(((INT((C1+2*C2)/80)-1)/2*80+25)&lt;(Sheet2!O60/2-112),80,IF(AND((((INT((C1+2*C2)/80)-1)/2-1)*80+25)&lt;(Sheet2!O60/2-112),((INT((C1+2*C2)/80)-1)/2-1)*80&gt;=80*2),80,IF(((INT((C1+2*C2)/75)-1)/2*75+25)&lt;(Sheet2!O60/2-112),75,IF(AND((((INT((C1+2*C2)/75)-1)/2-1)*75+25)&lt;(Sheet2!O60/2-112),((INT((C1+2*C2)/75)-1)/2-1)*75&gt;=75*2),75,80)))),80)</f>
        <v>80</v>
      </c>
      <c r="D7" s="31"/>
      <c r="E7" s="31"/>
      <c r="F7" s="31"/>
      <c r="G7" s="31"/>
      <c r="H7" s="64"/>
    </row>
    <row r="8" spans="1:26" x14ac:dyDescent="0.25">
      <c r="A8" s="62"/>
      <c r="B8" s="31"/>
      <c r="C8" s="31"/>
      <c r="D8" s="31">
        <f>IF(AND(40&lt;=(D1+C2*2-(INT((D1+C2*2)/D5)-1)*D5)/2,(D1+C2*2-(INT((D1+C2*2)/D5)-1)*D5)/2&lt;=45),INT((D1+C2*2)/D5)-1,INT((D1+C2*2)/D5))</f>
        <v>18</v>
      </c>
      <c r="E8" s="31"/>
      <c r="F8" s="31"/>
      <c r="G8" s="31"/>
      <c r="H8" s="64"/>
    </row>
    <row r="9" spans="1:26" x14ac:dyDescent="0.25">
      <c r="A9" s="62"/>
      <c r="C9" s="31"/>
      <c r="D9" s="31"/>
      <c r="E9" s="31"/>
      <c r="F9" s="31"/>
      <c r="G9" s="31"/>
      <c r="H9" s="64"/>
    </row>
    <row r="10" spans="1:26" x14ac:dyDescent="0.25">
      <c r="A10" s="62"/>
      <c r="B10" s="31"/>
      <c r="C10" s="31">
        <f>((C1+2*C2)-(INT((C1+2*C2)/C5)-1)*C5)/2</f>
        <v>44.5</v>
      </c>
      <c r="D10" s="31"/>
      <c r="E10" s="31"/>
      <c r="F10" s="31"/>
      <c r="G10" s="31">
        <f>(C1+2*C2-(INT((C1+2*C2)/G5)-1)*G5)/2</f>
        <v>62.5</v>
      </c>
      <c r="H10" s="64"/>
      <c r="J10" s="1" t="s">
        <v>519</v>
      </c>
      <c r="K10" s="1">
        <f>Sheet2!O60/2-112</f>
        <v>338</v>
      </c>
      <c r="O10" s="1" t="s">
        <v>617</v>
      </c>
      <c r="P10" s="1">
        <f>IF(Sheet2!B26&gt;=180,IF(AND((C3-1)/2*C5&gt;=2*C5,(C3-1)/2*C5+25&lt;Sheet2!O60/2-112),(C3-1)/2*C5,IF(AND(((C3-1)/2-1)*C5&gt;=C5*2,((C3-1)/2-1)*C5+25&lt;Sheet2!O60/2-112),((C3-1)/2-1)*C5,IF(AND(((C3-1)/2-2)*C5&gt;=C5*2,((C3-1)/2-2)*C5+25&lt;Sheet2!O60/2-112),((C3-1)/2-2)*C5,IF(AND(((C3-1)/2-3)*C5&gt;=C5*2,((C3-1)/2-3)*C5+25&lt;Sheet2!O60/2-112),((C3-1)/2-3)*C5,IF(AND(((C3-1)/2-4)*C5&gt;=C5*2,((C3-1)/2-4)*C5+25&lt;Sheet2!O60/2-112),((C3-1)/2-4)*C5,IF(AND(((C3-1)/2-5)*C5&gt;=C5*2,((C3-1)/2-5)*C5+25&lt;Sheet2!O60/2-112),((C3-1)/2-5)*C5,IF(AND(((C3-1)/2-6)*C5&gt;=C5*2,((C3-1)/2-6)*C5+25&lt;Sheet2!O60/2-112),((C3-1)/2-6)*C5,IF(AND(((C3-1)/2-7)*C5&gt;=C5*2,((C3-1)/2-7)*C5+25&lt;Sheet2!O60/2-112),((C3-1)/2-7)*C5,"HẠT CHỐNG ẨM")))))))),(C3-1)/2*C5)</f>
        <v>202.5</v>
      </c>
    </row>
    <row r="11" spans="1:26" x14ac:dyDescent="0.25">
      <c r="A11" s="62"/>
      <c r="B11" s="31"/>
      <c r="C11" s="31"/>
      <c r="D11" s="31"/>
      <c r="E11" s="31"/>
      <c r="F11" s="31"/>
      <c r="G11" s="31"/>
      <c r="H11" s="64"/>
    </row>
    <row r="12" spans="1:26" x14ac:dyDescent="0.25">
      <c r="A12" s="62"/>
      <c r="B12" s="31"/>
      <c r="C12" s="31"/>
      <c r="D12" s="31"/>
      <c r="E12" s="31">
        <f>(D1+C2*2-(INT((D1+C2*2)/D5)-1)*D5)/2</f>
        <v>50</v>
      </c>
      <c r="F12" s="31"/>
      <c r="G12" s="31"/>
      <c r="H12" s="64"/>
    </row>
    <row r="13" spans="1:26" x14ac:dyDescent="0.25">
      <c r="A13" s="62"/>
      <c r="B13" s="31"/>
      <c r="C13" s="31"/>
      <c r="D13" s="31"/>
      <c r="E13" s="31"/>
      <c r="F13" s="31"/>
      <c r="G13" s="31"/>
      <c r="H13" s="64"/>
      <c r="O13" s="1" t="s">
        <v>525</v>
      </c>
      <c r="P13" s="953">
        <v>50</v>
      </c>
    </row>
    <row r="14" spans="1:26" ht="15.75" thickBot="1" x14ac:dyDescent="0.3">
      <c r="A14" s="65"/>
      <c r="B14" s="66"/>
      <c r="C14" s="66"/>
      <c r="D14" s="66"/>
      <c r="E14" s="66"/>
      <c r="F14" s="66"/>
      <c r="G14" s="66"/>
      <c r="H14" s="67"/>
      <c r="O14" s="1" t="s">
        <v>526</v>
      </c>
      <c r="P14" s="1">
        <f>IF(I25&gt;=P13,I19,Q14)</f>
        <v>81</v>
      </c>
      <c r="Q14" s="1">
        <f>IF(J25&gt;=P13,J19,R14)</f>
        <v>81</v>
      </c>
      <c r="R14" s="1">
        <f>IF(K25&gt;=P13,K19,S14)</f>
        <v>82</v>
      </c>
      <c r="S14" s="1">
        <f>IF(L25&gt;=P13,L19,T14)</f>
        <v>83</v>
      </c>
      <c r="T14" s="1">
        <f>IF(M25&gt;=P13,M19,U14)</f>
        <v>84</v>
      </c>
      <c r="U14" s="1">
        <f>IF(N25&gt;=P13,N19,V14)</f>
        <v>85</v>
      </c>
      <c r="V14" s="1">
        <f>IF(D25&gt;=P13,D19,W14)</f>
        <v>75</v>
      </c>
      <c r="W14" s="1">
        <f>IF(E25&gt;=P13,E19,X14)</f>
        <v>76</v>
      </c>
      <c r="X14" s="1">
        <f>IF(F25&gt;=P13,F19,Y14)</f>
        <v>77</v>
      </c>
      <c r="Y14" s="1">
        <f>IF(G25&gt;=P13,G19,Z14)</f>
        <v>78</v>
      </c>
      <c r="Z14" s="1">
        <f>IF(H25&gt;=P13,H19,"sai")</f>
        <v>79</v>
      </c>
    </row>
    <row r="15" spans="1:26" ht="15.75" thickTop="1" x14ac:dyDescent="0.25">
      <c r="A15" s="1" t="s">
        <v>274</v>
      </c>
      <c r="O15" s="1" t="s">
        <v>521</v>
      </c>
      <c r="P15" s="1">
        <f>HLOOKUP(P14,D19:N26,6,FALSE)</f>
        <v>6</v>
      </c>
    </row>
    <row r="16" spans="1:26" x14ac:dyDescent="0.25">
      <c r="O16" s="1" t="s">
        <v>522</v>
      </c>
      <c r="P16" s="1">
        <f>HLOOKUP(P14,D19:N26,7,FALSE)</f>
        <v>85</v>
      </c>
    </row>
    <row r="19" spans="2:14" ht="15.75" thickBot="1" x14ac:dyDescent="0.3">
      <c r="C19" s="1" t="s">
        <v>520</v>
      </c>
      <c r="D19" s="1">
        <v>75</v>
      </c>
      <c r="E19" s="1">
        <v>76</v>
      </c>
      <c r="F19" s="1">
        <v>77</v>
      </c>
      <c r="G19" s="1">
        <v>78</v>
      </c>
      <c r="H19" s="1">
        <v>79</v>
      </c>
      <c r="I19" s="1">
        <v>80</v>
      </c>
      <c r="J19" s="1">
        <v>81</v>
      </c>
      <c r="K19" s="1">
        <v>82</v>
      </c>
      <c r="L19" s="1">
        <v>83</v>
      </c>
      <c r="M19" s="1">
        <v>84</v>
      </c>
      <c r="N19" s="1">
        <v>85</v>
      </c>
    </row>
    <row r="20" spans="2:14" x14ac:dyDescent="0.25">
      <c r="B20" s="180"/>
      <c r="C20" s="59" t="s">
        <v>521</v>
      </c>
      <c r="D20" s="59">
        <f t="shared" ref="D20:N20" si="0">INT(($C$1+2*$C$2)/D19)</f>
        <v>7</v>
      </c>
      <c r="E20" s="59">
        <f t="shared" si="0"/>
        <v>7</v>
      </c>
      <c r="F20" s="59">
        <f t="shared" si="0"/>
        <v>7</v>
      </c>
      <c r="G20" s="59">
        <f t="shared" si="0"/>
        <v>7</v>
      </c>
      <c r="H20" s="59">
        <f t="shared" si="0"/>
        <v>7</v>
      </c>
      <c r="I20" s="59">
        <f t="shared" si="0"/>
        <v>7</v>
      </c>
      <c r="J20" s="59">
        <f t="shared" si="0"/>
        <v>7</v>
      </c>
      <c r="K20" s="59">
        <f t="shared" si="0"/>
        <v>7</v>
      </c>
      <c r="L20" s="59">
        <f t="shared" si="0"/>
        <v>6</v>
      </c>
      <c r="M20" s="59">
        <f t="shared" si="0"/>
        <v>6</v>
      </c>
      <c r="N20" s="181">
        <f t="shared" si="0"/>
        <v>6</v>
      </c>
    </row>
    <row r="21" spans="2:14" x14ac:dyDescent="0.25">
      <c r="B21" s="62"/>
      <c r="C21" s="31" t="s">
        <v>522</v>
      </c>
      <c r="D21" s="31">
        <f t="shared" ref="D21:N21" si="1">(($C$1+2*$C$2)-(D20-1)*D19)/2</f>
        <v>62.5</v>
      </c>
      <c r="E21" s="31">
        <f t="shared" si="1"/>
        <v>59.5</v>
      </c>
      <c r="F21" s="31">
        <f t="shared" si="1"/>
        <v>56.5</v>
      </c>
      <c r="G21" s="31">
        <f t="shared" si="1"/>
        <v>53.5</v>
      </c>
      <c r="H21" s="31">
        <f t="shared" si="1"/>
        <v>50.5</v>
      </c>
      <c r="I21" s="31">
        <f t="shared" si="1"/>
        <v>47.5</v>
      </c>
      <c r="J21" s="31">
        <f t="shared" si="1"/>
        <v>44.5</v>
      </c>
      <c r="K21" s="31">
        <f t="shared" si="1"/>
        <v>41.5</v>
      </c>
      <c r="L21" s="31">
        <f t="shared" si="1"/>
        <v>80</v>
      </c>
      <c r="M21" s="31">
        <f t="shared" si="1"/>
        <v>77.5</v>
      </c>
      <c r="N21" s="182">
        <f t="shared" si="1"/>
        <v>75</v>
      </c>
    </row>
    <row r="22" spans="2:14" ht="15.75" thickBot="1" x14ac:dyDescent="0.3">
      <c r="B22" s="183" t="s">
        <v>523</v>
      </c>
      <c r="C22" s="184"/>
      <c r="D22" s="184">
        <f t="shared" ref="D22:N22" si="2">(D20-1)/2*D19+25</f>
        <v>250</v>
      </c>
      <c r="E22" s="184">
        <f t="shared" si="2"/>
        <v>253</v>
      </c>
      <c r="F22" s="184">
        <f t="shared" si="2"/>
        <v>256</v>
      </c>
      <c r="G22" s="184">
        <f t="shared" si="2"/>
        <v>259</v>
      </c>
      <c r="H22" s="184">
        <f t="shared" si="2"/>
        <v>262</v>
      </c>
      <c r="I22" s="184">
        <f t="shared" si="2"/>
        <v>265</v>
      </c>
      <c r="J22" s="184">
        <f t="shared" si="2"/>
        <v>268</v>
      </c>
      <c r="K22" s="184">
        <f t="shared" si="2"/>
        <v>271</v>
      </c>
      <c r="L22" s="184">
        <f t="shared" si="2"/>
        <v>232.5</v>
      </c>
      <c r="M22" s="184">
        <f t="shared" si="2"/>
        <v>235</v>
      </c>
      <c r="N22" s="185">
        <f t="shared" si="2"/>
        <v>237.5</v>
      </c>
    </row>
    <row r="24" spans="2:14" x14ac:dyDescent="0.25">
      <c r="B24" s="186"/>
      <c r="C24" s="186" t="s">
        <v>524</v>
      </c>
      <c r="D24" s="186">
        <f t="shared" ref="D24:M24" si="3">IF(AND((D19/2)&lt;=D21,D21&lt;=(85-D19/2)),D20-1,D20)</f>
        <v>7</v>
      </c>
      <c r="E24" s="186">
        <f t="shared" si="3"/>
        <v>7</v>
      </c>
      <c r="F24" s="186">
        <f t="shared" si="3"/>
        <v>7</v>
      </c>
      <c r="G24" s="186">
        <f t="shared" si="3"/>
        <v>7</v>
      </c>
      <c r="H24" s="186">
        <f t="shared" si="3"/>
        <v>7</v>
      </c>
      <c r="I24" s="186">
        <f t="shared" si="3"/>
        <v>7</v>
      </c>
      <c r="J24" s="186">
        <f t="shared" si="3"/>
        <v>6</v>
      </c>
      <c r="K24" s="186">
        <f t="shared" si="3"/>
        <v>6</v>
      </c>
      <c r="L24" s="186">
        <f t="shared" si="3"/>
        <v>6</v>
      </c>
      <c r="M24" s="186">
        <f t="shared" si="3"/>
        <v>6</v>
      </c>
      <c r="N24" s="186">
        <f>IF(N21=(N19/2),N20-1,N20)</f>
        <v>6</v>
      </c>
    </row>
    <row r="25" spans="2:14" x14ac:dyDescent="0.25">
      <c r="B25" s="186"/>
      <c r="C25" s="186" t="s">
        <v>525</v>
      </c>
      <c r="D25" s="186">
        <f t="shared" ref="D25:N25" si="4">(($C$1+2*$C$2)-(D24-1)*D19)/2</f>
        <v>62.5</v>
      </c>
      <c r="E25" s="186">
        <f t="shared" si="4"/>
        <v>59.5</v>
      </c>
      <c r="F25" s="186">
        <f t="shared" si="4"/>
        <v>56.5</v>
      </c>
      <c r="G25" s="186">
        <f t="shared" si="4"/>
        <v>53.5</v>
      </c>
      <c r="H25" s="186">
        <f t="shared" si="4"/>
        <v>50.5</v>
      </c>
      <c r="I25" s="186">
        <f t="shared" si="4"/>
        <v>47.5</v>
      </c>
      <c r="J25" s="186">
        <f t="shared" si="4"/>
        <v>85</v>
      </c>
      <c r="K25" s="186">
        <f t="shared" si="4"/>
        <v>82.5</v>
      </c>
      <c r="L25" s="186">
        <f t="shared" si="4"/>
        <v>80</v>
      </c>
      <c r="M25" s="186">
        <f t="shared" si="4"/>
        <v>77.5</v>
      </c>
      <c r="N25" s="186">
        <f t="shared" si="4"/>
        <v>75</v>
      </c>
    </row>
    <row r="26" spans="2:14" x14ac:dyDescent="0.25">
      <c r="B26" s="186" t="s">
        <v>523</v>
      </c>
      <c r="C26" s="186"/>
      <c r="D26" s="186">
        <f t="shared" ref="D26:N26" si="5">(D24-1)/2*D19+25</f>
        <v>250</v>
      </c>
      <c r="E26" s="186">
        <f t="shared" si="5"/>
        <v>253</v>
      </c>
      <c r="F26" s="186">
        <f t="shared" si="5"/>
        <v>256</v>
      </c>
      <c r="G26" s="186">
        <f t="shared" si="5"/>
        <v>259</v>
      </c>
      <c r="H26" s="186">
        <f t="shared" si="5"/>
        <v>262</v>
      </c>
      <c r="I26" s="186">
        <f t="shared" si="5"/>
        <v>265</v>
      </c>
      <c r="J26" s="186">
        <f t="shared" si="5"/>
        <v>227.5</v>
      </c>
      <c r="K26" s="186">
        <f t="shared" si="5"/>
        <v>230</v>
      </c>
      <c r="L26" s="186">
        <f t="shared" si="5"/>
        <v>232.5</v>
      </c>
      <c r="M26" s="186">
        <f t="shared" si="5"/>
        <v>235</v>
      </c>
      <c r="N26" s="186">
        <f t="shared" si="5"/>
        <v>237.5</v>
      </c>
    </row>
    <row r="29" spans="2:14" x14ac:dyDescent="0.25">
      <c r="C29" s="1" t="s">
        <v>526</v>
      </c>
      <c r="D29" s="179">
        <f t="shared" ref="D29:I29" si="6">IF(AND(I24&gt;=5,I25&gt;=$P$13,I26&lt;$K$10),I19,IF(AND(I24&gt;=7,(I24-3)/2*I19+25&lt;$K$10,I25&gt;=$P$13),I19,IF(OR(AND(I24&gt;=9,(I24-3)/2*I19+25&lt;$K$10,I25&gt;=$P$13),AND(I24&gt;=9,(I24-5)/2*I19+25&lt;$K$10,I25&gt;=$P$13)),I19,IF(OR(AND(I24&gt;=11,(I24-3)/2*I19+25&lt;$K$10,I25&gt;=$P$13),AND(I24&gt;=11,(I24-5)/2*I19+25&lt;$K$10,I25&gt;=$P$13),AND(I24&gt;=11,(I24-7)/2*I19+25&lt;$K$10,I25&gt;=$P$13)),I19,IF(OR(AND(I24&gt;=13,(I24-3)/2*I19+25&lt;$K$10,I25&gt;=$P$13),AND(I24&gt;=13,(I24-5)/2*I19+25&lt;$K$10,I25&gt;=$P$13),AND(I24&gt;=13,(I24-7)/2*I19+25&lt;$K$10,I25&gt;=$P$13),AND(I24&gt;=13,(I24-9)/2*I19+25&lt;$K$10,I25&gt;=$P$13)),I19,IF(OR(AND(I24&gt;=15,(I24-3)/2*I19+25&lt;$K$10,I25&gt;=$P$13),AND(I24&gt;=15,(I24-5)/2*I19+25&lt;$K$10,I25&gt;=$P$13),AND(I24&gt;=15,(I24-7)/2*I19+25&lt;$K$10,I25&gt;=$P$13),AND(I24&gt;=15,(I24-9)/2*I19+25&lt;$K$10,I25&gt;=$P$13),AND(I24&gt;=15,(I24-11)/2*I19+25&lt;$K$10,I25&gt;=$P$13)),I19,IF(OR(AND(I24&gt;=17,(I24-3)/2*I19+25&lt;$K$10,I25&gt;=$P$13),AND(I24&gt;=17,(I24-5)/2*I19+25&lt;$K$10,I25&gt;=$P$13),AND(I24&gt;=17,(I24-7)/2*I19+25&lt;$K$10,I25&gt;=$P$13),AND(I24&gt;=17,(I24-9)/2*I19+25&lt;$K$10,I25&gt;=$P$13),AND(I24&gt;=17,(I24-11)/2*I19+25&lt;$K$10,I25&gt;=$P$13),AND(I24&gt;=17,(I24-13)/2*I19+25&lt;$K$10,I25&gt;=$P$13)),I19,IF(OR(AND(I24&gt;=19,(I24-3)/2*I19+25&lt;$K$10,I25&gt;=$P$13),AND(I24&gt;=19,(I24-5)/2*I19+25&lt;$K$10,I25&gt;=$P$13),AND(I24&gt;=19,(I24-7)/2*I19+25&lt;$K$10,I25&gt;=$P$13),AND(I24&gt;=19,(I24-9)/2*I19+25&lt;$K$10,I25&gt;=$P$13),AND(I24&gt;=19,(I24-11)/2*I19+25&lt;$K$10,I25&gt;=$P$13),AND(I24&gt;=19,(I24-13)/2*I19+25&lt;$K$10,I25&gt;=$P$13),AND(I24&gt;=19,(I24-15)/2*I19+25&lt;$K$10,I25&gt;=$P$13)),I19,E29))))))))</f>
        <v>81</v>
      </c>
      <c r="E29" s="179">
        <f t="shared" si="6"/>
        <v>81</v>
      </c>
      <c r="F29" s="179">
        <f t="shared" si="6"/>
        <v>82</v>
      </c>
      <c r="G29" s="179">
        <f t="shared" si="6"/>
        <v>83</v>
      </c>
      <c r="H29" s="179">
        <f t="shared" si="6"/>
        <v>84</v>
      </c>
      <c r="I29" s="179">
        <f t="shared" si="6"/>
        <v>85</v>
      </c>
      <c r="J29" s="179">
        <f>IF(AND(H24&gt;=5,H25&gt;=$P$13,H26&lt;$K$10),H19,IF(AND(H24&gt;=7,(H24-3)/2*H19+25&lt;$K$10,H25&gt;=$P$13),H19,IF(OR(AND(H24&gt;=9,(H24-3)/2*H19+25&lt;$K$10,H25&gt;=$P$13),AND(H24&gt;=9,(H24-5)/2*H19+25&lt;$K$10,H25&gt;=$P$13)),H19,IF(OR(AND(H24&gt;=11,(H24-3)/2*H19+25&lt;$K$10,H25&gt;=$P$13),AND(H24&gt;=11,(H24-5)/2*H19+25&lt;$K$10,H25&gt;=$P$13),AND(H24&gt;=11,(H24-7)/2*H19+25&lt;$K$10,H25&gt;=$P$13)),H19,IF(OR(AND(H24&gt;=13,(H24-3)/2*H19+25&lt;$K$10,H25&gt;=$P$13),AND(H24&gt;=13,(H24-5)/2*H19+25&lt;$K$10,H25&gt;=$P$13),AND(H24&gt;=13,(H24-7)/2*H19+25&lt;$K$10,H25&gt;=$P$13),AND(H24&gt;=13,(H24-9)/2*H19+25&lt;$K$10,H25&gt;=$P$13)),H19,IF(OR(AND(H24&gt;=15,(H24-3)/2*H19+25&lt;$K$10,H25&gt;=$P$13),AND(H24&gt;=15,(H24-5)/2*H19+25&lt;$K$10,H25&gt;=$P$13),AND(H24&gt;=15,(H24-7)/2*H19+25&lt;$K$10,H25&gt;=$P$13),AND(H24&gt;=15,(H24-9)/2*H19+25&lt;$K$10,H25&gt;=$P$13),AND(H24&gt;=15,(H24-11)/2*H19+25&lt;$K$10,H25&gt;=$P$13)),H19,IF(OR(AND(H24&gt;=17,(H24-3)/2*H19+25&lt;$K$10,H25&gt;=$P$13),AND(H24&gt;=17,(H24-5)/2*H19+25&lt;$K$10,H25&gt;=$P$13),AND(H24&gt;=17,(H24-7)/2*H19+25&lt;$K$10,H25&gt;=$P$13),AND(H24&gt;=17,(H24-9)/2*H19+25&lt;$K$10,H25&gt;=$P$13),AND(H24&gt;=17,(H24-11)/2*H19+25&lt;$K$10,H25&gt;=$P$13),AND(H24&gt;=17,(H24-13)/2*H19+25&lt;$K$10,H25&gt;=$P$13)),H19,IF(OR(AND(H24&gt;=19,(H24-3)/2*H19+25&lt;$K$10,H25&gt;=$P$13),AND(H24&gt;=19,(H24-5)/2*H19+25&lt;$K$10,H25&gt;=$P$13),AND(H24&gt;=19,(H24-7)/2*H19+25&lt;$K$10,H25&gt;=$P$13),AND(H24&gt;=19,(H24-9)/2*H19+25&lt;$K$10,H25&gt;=$P$13),AND(H24&gt;=19,(H24-11)/2*H19+25&lt;$K$10,H25&gt;=$P$13),AND(H24&gt;=19,(H24-13)/2*H19+25&lt;$K$10,H25&gt;=$P$13),AND(H24&gt;=19,(H24-15)/2*H19+25&lt;$K$10,H25&gt;=$P$13)),H19,K29))))))))</f>
        <v>79</v>
      </c>
      <c r="K29" s="179">
        <f>IF(AND(G24&gt;=5,G25&gt;=$P$13,G26&lt;$K$10),G19,IF(AND(G24&gt;=7,(G24-3)/2*G19+25&lt;$K$10,G25&gt;=$P$13),G19,IF(OR(AND(G24&gt;=9,(G24-3)/2*G19+25&lt;$K$10,G25&gt;=$P$13),AND(G24&gt;=9,(G24-5)/2*G19+25&lt;$K$10,G25&gt;=$P$13)),G19,IF(OR(AND(G24&gt;=11,(G24-3)/2*G19+25&lt;$K$10,G25&gt;=$P$13),AND(G24&gt;=11,(G24-5)/2*G19+25&lt;$K$10,G25&gt;=$P$13),AND(G24&gt;=11,(G24-7)/2*G19+25&lt;$K$10,G25&gt;=$P$13)),G19,IF(OR(AND(G24&gt;=13,(G24-3)/2*G19+25&lt;$K$10,G25&gt;=$P$13),AND(G24&gt;=13,(G24-5)/2*G19+25&lt;$K$10,G25&gt;=$P$13),AND(G24&gt;=13,(G24-7)/2*G19+25&lt;$K$10,G25&gt;=$P$13),AND(G24&gt;=13,(G24-9)/2*G19+25&lt;$K$10,G25&gt;=$P$13)),G19,IF(OR(AND(G24&gt;=15,(G24-3)/2*G19+25&lt;$K$10,G25&gt;=$P$13),AND(G24&gt;=15,(G24-5)/2*G19+25&lt;$K$10,G25&gt;=$P$13),AND(G24&gt;=15,(G24-7)/2*G19+25&lt;$K$10,G25&gt;=$P$13),AND(G24&gt;=15,(G24-9)/2*G19+25&lt;$K$10,G25&gt;=$P$13),AND(G24&gt;=15,(G24-11)/2*G19+25&lt;$K$10,G25&gt;=$P$13)),G19,IF(OR(AND(G24&gt;=17,(G24-3)/2*G19+25&lt;$K$10,G25&gt;=$P$13),AND(G24&gt;=17,(G24-5)/2*G19+25&lt;$K$10,G25&gt;=$P$13),AND(G24&gt;=17,(G24-7)/2*G19+25&lt;$K$10,G25&gt;=$P$13),AND(G24&gt;=17,(G24-9)/2*G19+25&lt;$K$10,G25&gt;=$P$13),AND(G24&gt;=17,(G24-11)/2*G19+25&lt;$K$10,G25&gt;=$P$13),AND(G24&gt;=17,(G24-13)/2*G19+25&lt;$K$10,G25&gt;=$P$13)),G19,IF(OR(AND(G24&gt;=19,(G24-3)/2*G19+25&lt;$K$10,G25&gt;=$P$13),AND(G24&gt;=19,(G24-5)/2*G19+25&lt;$K$10,G25&gt;=$P$13),AND(G24&gt;=19,(G24-7)/2*G19+25&lt;$K$10,G25&gt;=$P$13),AND(G24&gt;=19,(G24-9)/2*G19+25&lt;$K$10,G25&gt;=$P$13),AND(G24&gt;=19,(G24-11)/2*G19+25&lt;$K$10,G25&gt;=$P$13),AND(G24&gt;=19,(G24-13)/2*G19+25&lt;$K$10,G25&gt;=$P$13),AND(G24&gt;=19,(G24-15)/2*G19+25&lt;$K$10,G25&gt;=$P$13)),G19,L29))))))))</f>
        <v>78</v>
      </c>
      <c r="L29" s="179">
        <f>IF(AND(F24&gt;=5,F25&gt;=46,F26&lt;$K$10),F19,IF(AND(F24&gt;=7,(F24-3)/2*F19+25&lt;$K$10,F25&gt;=46),F19,IF(OR(AND(F24&gt;=9,(F24-3)/2*F19+25&lt;$K$10,F25&gt;=46),AND(F24&gt;=9,(F24-5)/2*F19+25&lt;$K$10,F25&gt;=$P$13)),F19,IF(OR(AND(F24&gt;=11,(F24-3)/2*F19+25&lt;$K$10,F25&gt;=$P$13),AND(F24&gt;=11,(F24-5)/2*F19+25&lt;$K$10,F25&gt;=$P$13),AND(F24&gt;=11,(F24-7)/2*F19+25&lt;$K$10,F25&gt;=$P$13)),F19,IF(OR(AND(F24&gt;=13,(F24-3)/2*F19+25&lt;$K$10,F25&gt;=$P$13),AND(F24&gt;=13,(F24-5)/2*F19+25&lt;$K$10,F25&gt;=$P$13),AND(F24&gt;=13,(F24-7)/2*F19+25&lt;$K$10,F25&gt;=$P$13),AND(F24&gt;=13,(F24-9)/2*F19+25&lt;$K$10,F25&gt;=$P$13)),F19,IF(OR(AND(F24&gt;=15,(F24-3)/2*F19+25&lt;$K$10,F25&gt;=$P$13),AND(F24&gt;=15,(F24-5)/2*F19+25&lt;$K$10,F25&gt;=$P$13),AND(F24&gt;=15,(F24-7)/2*F19+25&lt;$K$10,F25&gt;=$P$13),AND(F24&gt;=15,(F24-9)/2*F19+25&lt;$K$10,F25&gt;=$P$13),AND(F24&gt;=15,(F24-11)/2*F19+25&lt;$K$10,F25&gt;=$P$13)),F19,IF(OR(AND(F24&gt;=17,(F24-3)/2*F19+25&lt;$K$10,F25&gt;=$P$13),AND(F24&gt;=17,(F24-5)/2*F19+25&lt;$K$10,F25&gt;=$P$13),AND(F24&gt;=17,(F24-7)/2*F19+25&lt;$K$10,F25&gt;=$P$13),AND(F24&gt;=17,(F24-9)/2*F19+25&lt;$K$10,F25&gt;=$P$13),AND(F24&gt;=17,(F24-11)/2*F19+25&lt;$K$10,F25&gt;=$P$13),AND(F24&gt;=17,(F24-13)/2*F19+25&lt;$K$10,F25&gt;=$P$13)),F19,IF(OR(AND(F24&gt;=19,(F24-3)/2*F19+25&lt;$K$10,F25&gt;=$P$13),AND(F24&gt;=19,(F24-5)/2*F19+25&lt;$K$10,F25&gt;=$P$13),AND(F24&gt;=19,(F24-7)/2*F19+25&lt;$K$10,F25&gt;=$P$13),AND(F24&gt;=19,(F24-9)/2*F19+25&lt;$K$10,F25&gt;=$P$13),AND(F24&gt;=19,(F24-11)/2*F19+25&lt;$K$10,F25&gt;=$P$13),AND(F24&gt;=19,(F24-13)/2*F19+25&lt;$K$10,F25&gt;=$P$13),AND(F24&gt;=19,(F24-15)/2*F19+25&lt;$K$10,F25&gt;=$P$13)),F19,M29))))))))</f>
        <v>77</v>
      </c>
      <c r="M29" s="179">
        <f>IF(AND(E24&gt;=5,E25&gt;=$P$13,E26&lt;$K$10),E19,IF(AND(E24&gt;=7,(E24-3)/2*E19+25&lt;$K$10,E25&gt;=$P$13),E19,IF(OR(AND(E24&gt;=9,(E24-3)/2*E19+25&lt;$K$10,E25&gt;=$P$13),AND(E24&gt;=9,(E24-5)/2*E19+25&lt;$K$10,E25&gt;=$P$13)),E19,IF(OR(AND(E24&gt;=11,(E24-3)/2*E19+25&lt;$K$10,E25&gt;=$P$13),AND(E24&gt;=11,(E24-5)/2*E19+25&lt;$K$10,E25&gt;=$P$13),AND(E24&gt;=11,(E24-7)/2*E19+25&lt;$K$10,E25&gt;=$P$13)),E19,IF(OR(AND(E24&gt;=13,(E24-3)/2*E19+25&lt;$K$10,E25&gt;=$P$13),AND(E24&gt;=13,(E24-5)/2*E19+25&lt;$K$10,E25&gt;=$P$13),AND(E24&gt;=13,(E24-7)/2*E19+25&lt;$K$10,E25&gt;=$P$13),AND(E24&gt;=13,(E24-9)/2*E19+25&lt;$K$10,E25&gt;=$P$13)),E19,IF(OR(AND(E24&gt;=15,(E24-3)/2*E19+25&lt;$K$10,E25&gt;=$P$13),AND(E24&gt;=15,(E24-5)/2*E19+25&lt;$K$10,E25&gt;=$P$13),AND(E24&gt;=15,(E24-7)/2*E19+25&lt;$K$10,E25&gt;=$P$13),AND(E24&gt;=15,(E24-9)/2*E19+25&lt;$K$10,E25&gt;=$P$13),AND(E24&gt;=15,(E24-11)/2*E19+25&lt;$K$10,E25&gt;=$P$13)),E19,IF(OR(AND(E24&gt;=17,(E24-3)/2*E19+25&lt;$K$10,E25&gt;=$P$13),AND(E24&gt;=17,(E24-5)/2*E19+25&lt;$K$10,E25&gt;=$P$13),AND(E24&gt;=17,(E24-7)/2*E19+25&lt;$K$10,E25&gt;=$P$13),AND(E24&gt;=17,(E24-9)/2*E19+25&lt;$K$10,E25&gt;=$P$13),AND(E24&gt;=17,(E24-11)/2*E19+25&lt;$K$10,E25&gt;=$P$13),AND(E24&gt;=17,(E24-13)/2*E19+25&lt;$K$10,E25&gt;=$P$13)),E19,IF(OR(AND(E24&gt;=19,(E24-3)/2*E19+25&lt;$K$10,E25&gt;=$P$13),AND(E24&gt;=19,(E24-5)/2*E19+25&lt;$K$10,E25&gt;=$P$13),AND(E24&gt;=19,(E24-7)/2*E19+25&lt;$K$10,E25&gt;=$P$13),AND(E24&gt;=19,(E24-9)/2*E19+25&lt;$K$10,E25&gt;=$P$13),AND(E24&gt;=19,(E24-11)/2*E19+25&lt;$K$10,E25&gt;=$P$13),AND(E24&gt;=19,(E24-13)/2*E19+25&lt;$K$10,E25&gt;=$P$13),AND(E24&gt;=19,(E24-15)/2*E19+25&lt;$K$10,E25&gt;=$P$13)),E19,N29))))))))</f>
        <v>76</v>
      </c>
      <c r="N29" s="179">
        <f>IF(AND(D24&gt;=5,D25&gt;=$P$13,D26&lt;$K$10),D19,IF(AND(D24&gt;=7,(D24-3)/2*D19+25&lt;$K$10,D25&gt;=$P$13),D19,IF(OR(AND(D24&gt;=9,(D24-3)/2*D19+25&lt;$K$10,D25&gt;=$P$13),AND(D24&gt;=9,(D24-5)/2*D19+25&lt;$K$10,D25&gt;=$P$13)),D19,IF(OR(AND(D24&gt;=11,(D24-3)/2*D19+25&lt;$K$10,D25&gt;=$P$13),AND(D24&gt;=11,(D24-5)/2*D19+25&lt;$K$10,D25&gt;=$P$13),AND(D24&gt;=11,(D24-7)/2*D19+25&lt;$K$10,D25&gt;=$P$13)),D19,IF(OR(AND(D24&gt;=13,(D24-3)/2*D19+25&lt;$K$10,D25&gt;=$P$13),AND(D24&gt;=13,(D24-5)/2*D19+25&lt;$K$10,D25&gt;=$P$13),AND(D24&gt;=13,(D24-7)/2*D19+25&lt;$K$10,D25&gt;=$P$13),AND(D24&gt;=13,(D24-9)/2*D19+25&lt;$K$10,D25&gt;=$P$13)),D19,IF(OR(AND(D24&gt;=15,(D24-3)/2*D19+25&lt;$K$10,D25&gt;=$P$13),AND(D24&gt;=15,(D24-5)/2*D19+25&lt;$K$10,D25&gt;=$P$13),AND(D24&gt;=15,(D24-7)/2*D19+25&lt;$K$10,D25&gt;=$P$13),AND(D24&gt;=15,(D24-9)/2*D19+25&lt;$K$10,D25&gt;=$P$13),AND(D24&gt;=15,(D24-11)/2*D19+25&lt;$K$10,D25&gt;=$P$13)),D19,IF(OR(AND(D24&gt;=17,(D24-3)/2*D19+25&lt;$K$10,D25&gt;=$P$13),AND(D24&gt;=17,(D24-5)/2*D19+25&lt;$K$10,D25&gt;=$P$13),AND(D24&gt;=17,(D24-7)/2*D19+25&lt;$K$10,D25&gt;=$P$13),AND(D24&gt;=17,(D24-9)/2*D19+25&lt;$K$10,D25&gt;=$P$13),AND(D24&gt;=17,(D24-11)/2*D19+25&lt;$K$10,D25&gt;=$P$13),AND(D24&gt;=17,(D24-13)/2*D19+25&lt;$K$10,D25&gt;=$P$13)),D19,IF(OR(AND(D24&gt;=19,(D24-3)/2*D19+25&lt;$K$10,D25&gt;=$P$13),AND(D24&gt;=19,(D24-5)/2*D19+25&lt;$K$10,D25&gt;=$P$13),AND(D24&gt;=19,(D24-7)/2*D19+25&lt;$K$10,D25&gt;=$P$13),AND(D24&gt;=19,(D24-9)/2*D19+25&lt;$K$10,D25&gt;=$P$13),AND(D24&gt;=19,(D24-11)/2*D19+25&lt;$K$10,D25&gt;=$P$13),AND(D24&gt;=19,(D24-13)/2*D19+25&lt;$K$10,D25&gt;=$P$13),AND(D24&gt;=19,(D24-15)/2*D19+25&lt;$K$10,D25&gt;=$P$13)),D19,"DHKG"))))))))</f>
        <v>75</v>
      </c>
    </row>
    <row r="30" spans="2:14" x14ac:dyDescent="0.25">
      <c r="C30" s="1" t="s">
        <v>524</v>
      </c>
      <c r="D30" s="179">
        <f>HLOOKUP(D29,D19:N26,6,FALSE)</f>
        <v>6</v>
      </c>
    </row>
    <row r="41" spans="4:4" x14ac:dyDescent="0.25">
      <c r="D41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verticalDpi="120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M50"/>
  <sheetViews>
    <sheetView workbookViewId="0">
      <selection activeCell="L3" sqref="L3"/>
    </sheetView>
  </sheetViews>
  <sheetFormatPr defaultRowHeight="15" x14ac:dyDescent="0.25"/>
  <cols>
    <col min="2" max="2" width="9.140625" customWidth="1"/>
    <col min="4" max="4" width="21.140625" customWidth="1"/>
    <col min="5" max="5" width="14" customWidth="1"/>
    <col min="6" max="6" width="16.140625" customWidth="1"/>
    <col min="13" max="13" width="18.7109375" customWidth="1"/>
  </cols>
  <sheetData>
    <row r="1" spans="4:13" x14ac:dyDescent="0.25">
      <c r="E1" s="46"/>
    </row>
    <row r="2" spans="4:13" ht="15.75" thickBot="1" x14ac:dyDescent="0.3"/>
    <row r="3" spans="4:13" ht="16.5" thickTop="1" thickBot="1" x14ac:dyDescent="0.3">
      <c r="E3" s="46"/>
      <c r="F3" s="206" t="s">
        <v>572</v>
      </c>
    </row>
    <row r="4" spans="4:13" ht="16.5" thickTop="1" thickBot="1" x14ac:dyDescent="0.3">
      <c r="D4" s="206" t="s">
        <v>563</v>
      </c>
      <c r="E4" s="206" t="s">
        <v>564</v>
      </c>
      <c r="F4" s="206">
        <v>140</v>
      </c>
      <c r="G4" s="46"/>
    </row>
    <row r="5" spans="4:13" ht="16.5" thickTop="1" thickBot="1" x14ac:dyDescent="0.3">
      <c r="D5" s="206" t="s">
        <v>565</v>
      </c>
      <c r="E5" s="206" t="s">
        <v>564</v>
      </c>
      <c r="F5" s="206">
        <v>140</v>
      </c>
      <c r="G5" s="46"/>
    </row>
    <row r="6" spans="4:13" ht="16.5" thickTop="1" thickBot="1" x14ac:dyDescent="0.3">
      <c r="D6" s="206" t="s">
        <v>563</v>
      </c>
      <c r="E6" s="206" t="s">
        <v>566</v>
      </c>
      <c r="F6" s="206">
        <v>200</v>
      </c>
      <c r="G6" s="46"/>
    </row>
    <row r="7" spans="4:13" ht="16.5" thickTop="1" thickBot="1" x14ac:dyDescent="0.3">
      <c r="D7" s="206" t="s">
        <v>565</v>
      </c>
      <c r="E7" s="206" t="s">
        <v>566</v>
      </c>
      <c r="F7" s="206">
        <v>230</v>
      </c>
      <c r="G7" s="46"/>
      <c r="K7" t="s">
        <v>573</v>
      </c>
      <c r="M7" s="202">
        <f>IF(M9=1022,2,IF(M9=3522,2,IF(M9=22,1,IF(M9=35,1,FALSE))))</f>
        <v>2</v>
      </c>
    </row>
    <row r="8" spans="4:13" ht="16.5" thickTop="1" thickBot="1" x14ac:dyDescent="0.3">
      <c r="K8" t="s">
        <v>574</v>
      </c>
      <c r="L8" t="str">
        <f>IF(M8=1,"Hở",IF(M8=2,"Kín",FALSE))</f>
        <v>Hở</v>
      </c>
      <c r="M8" s="209">
        <v>1</v>
      </c>
    </row>
    <row r="9" spans="4:13" ht="16.5" thickTop="1" thickBot="1" x14ac:dyDescent="0.3">
      <c r="E9" s="206" t="s">
        <v>567</v>
      </c>
      <c r="F9" s="202"/>
      <c r="G9" s="202"/>
      <c r="K9" t="s">
        <v>575</v>
      </c>
      <c r="M9" s="209">
        <v>3522</v>
      </c>
    </row>
    <row r="10" spans="4:13" ht="16.5" thickTop="1" thickBot="1" x14ac:dyDescent="0.3">
      <c r="E10" s="206" t="s">
        <v>568</v>
      </c>
      <c r="F10" s="202"/>
      <c r="G10" s="202"/>
      <c r="K10" t="s">
        <v>576</v>
      </c>
      <c r="L10" t="str">
        <f>IF(M10=1,"DY",IF(M10=2,"DD",FALSE))</f>
        <v>DY</v>
      </c>
      <c r="M10" s="209">
        <v>1</v>
      </c>
    </row>
    <row r="11" spans="4:13" ht="16.5" thickTop="1" thickBot="1" x14ac:dyDescent="0.3">
      <c r="E11" s="206" t="s">
        <v>569</v>
      </c>
      <c r="F11" s="206">
        <v>140</v>
      </c>
      <c r="G11" s="206" t="s">
        <v>563</v>
      </c>
    </row>
    <row r="12" spans="4:13" ht="16.5" thickTop="1" thickBot="1" x14ac:dyDescent="0.3">
      <c r="D12" s="46"/>
      <c r="E12" s="206"/>
      <c r="F12" s="206">
        <v>140</v>
      </c>
      <c r="G12" s="206" t="s">
        <v>565</v>
      </c>
      <c r="K12" t="s">
        <v>577</v>
      </c>
      <c r="M12">
        <f>IF(OR(AND(M7=1,M8=1),AND(M10=1,M9=1022,M8=1,M7=2)),140,IF(OR(AND(M7=1,M8=2),AND(M10=1,M9=1022,M8=2,M7=2)),140,IF(OR(AND(M7=2,M8=1),AND(M10=2,M9=1022,M8=1,M7=2)),200,IF(OR(AND(M7=2,M8=2),AND(M10=2,M9=1022,M8=2,M7=2)),230,"SAI"))))</f>
        <v>200</v>
      </c>
    </row>
    <row r="13" spans="4:13" ht="16.5" thickTop="1" thickBot="1" x14ac:dyDescent="0.3">
      <c r="D13" s="46"/>
      <c r="E13" s="206" t="s">
        <v>570</v>
      </c>
      <c r="F13" s="206">
        <v>200</v>
      </c>
      <c r="G13" s="206" t="s">
        <v>563</v>
      </c>
    </row>
    <row r="14" spans="4:13" ht="16.5" thickTop="1" thickBot="1" x14ac:dyDescent="0.3">
      <c r="E14" s="206"/>
      <c r="F14" s="206">
        <v>230</v>
      </c>
      <c r="G14" s="206" t="s">
        <v>565</v>
      </c>
    </row>
    <row r="15" spans="4:13" ht="15.75" thickTop="1" x14ac:dyDescent="0.25"/>
    <row r="16" spans="4:13" x14ac:dyDescent="0.25">
      <c r="D16" s="362" t="s">
        <v>600</v>
      </c>
    </row>
    <row r="18" spans="4:6" x14ac:dyDescent="0.25">
      <c r="D18" s="362" t="s">
        <v>672</v>
      </c>
      <c r="E18" s="362" t="s">
        <v>670</v>
      </c>
      <c r="F18" s="1538" t="s">
        <v>674</v>
      </c>
    </row>
    <row r="19" spans="4:6" x14ac:dyDescent="0.25">
      <c r="D19" s="362" t="s">
        <v>673</v>
      </c>
      <c r="E19" s="362" t="s">
        <v>671</v>
      </c>
      <c r="F19" s="1538"/>
    </row>
    <row r="20" spans="4:6" ht="15.75" thickBot="1" x14ac:dyDescent="0.3"/>
    <row r="21" spans="4:6" ht="16.5" thickTop="1" thickBot="1" x14ac:dyDescent="0.3">
      <c r="D21" s="474"/>
      <c r="E21" s="1578" t="s">
        <v>590</v>
      </c>
      <c r="F21" s="1579"/>
    </row>
    <row r="22" spans="4:6" ht="16.5" thickTop="1" thickBot="1" x14ac:dyDescent="0.3">
      <c r="D22" s="211" t="s">
        <v>563</v>
      </c>
      <c r="E22" s="504" t="s">
        <v>591</v>
      </c>
      <c r="F22" s="504"/>
    </row>
    <row r="23" spans="4:6" ht="16.5" thickTop="1" thickBot="1" x14ac:dyDescent="0.3">
      <c r="D23" s="202"/>
      <c r="E23" s="202" t="s">
        <v>593</v>
      </c>
      <c r="F23" s="202">
        <v>0</v>
      </c>
    </row>
    <row r="24" spans="4:6" ht="16.5" thickTop="1" thickBot="1" x14ac:dyDescent="0.3">
      <c r="D24" s="202"/>
      <c r="E24" s="202" t="s">
        <v>592</v>
      </c>
      <c r="F24" s="202">
        <v>1</v>
      </c>
    </row>
    <row r="25" spans="4:6" ht="16.5" thickTop="1" thickBot="1" x14ac:dyDescent="0.3">
      <c r="D25" s="202"/>
      <c r="E25" s="202" t="s">
        <v>594</v>
      </c>
      <c r="F25" s="202">
        <v>2</v>
      </c>
    </row>
    <row r="26" spans="4:6" ht="16.5" thickTop="1" thickBot="1" x14ac:dyDescent="0.3">
      <c r="D26" s="474"/>
      <c r="E26" s="474"/>
      <c r="F26" s="474"/>
    </row>
    <row r="27" spans="4:6" ht="16.5" thickTop="1" thickBot="1" x14ac:dyDescent="0.3">
      <c r="D27" s="211" t="s">
        <v>565</v>
      </c>
      <c r="E27" s="202" t="s">
        <v>591</v>
      </c>
      <c r="F27" s="202"/>
    </row>
    <row r="28" spans="4:6" ht="16.5" thickTop="1" thickBot="1" x14ac:dyDescent="0.3">
      <c r="D28" s="202"/>
      <c r="E28" s="202" t="s">
        <v>593</v>
      </c>
      <c r="F28" s="202">
        <v>0</v>
      </c>
    </row>
    <row r="29" spans="4:6" ht="16.5" thickTop="1" thickBot="1" x14ac:dyDescent="0.3">
      <c r="D29" s="202"/>
      <c r="E29" s="202" t="s">
        <v>595</v>
      </c>
      <c r="F29" s="202">
        <v>1</v>
      </c>
    </row>
    <row r="30" spans="4:6" ht="16.5" thickTop="1" thickBot="1" x14ac:dyDescent="0.3">
      <c r="D30" s="202"/>
      <c r="E30" s="202" t="s">
        <v>596</v>
      </c>
      <c r="F30" s="202">
        <v>2</v>
      </c>
    </row>
    <row r="31" spans="4:6" ht="15.75" thickTop="1" x14ac:dyDescent="0.25"/>
    <row r="34" spans="3:4" ht="15.75" x14ac:dyDescent="0.25">
      <c r="C34" s="429"/>
      <c r="D34" s="620"/>
    </row>
    <row r="35" spans="3:4" ht="15.75" x14ac:dyDescent="0.25">
      <c r="C35" s="429"/>
      <c r="D35" s="620"/>
    </row>
    <row r="36" spans="3:4" ht="15.75" x14ac:dyDescent="0.25">
      <c r="C36" s="337"/>
      <c r="D36" s="621"/>
    </row>
    <row r="37" spans="3:4" ht="15.75" x14ac:dyDescent="0.25">
      <c r="C37" s="429"/>
      <c r="D37" s="620"/>
    </row>
    <row r="38" spans="3:4" ht="15.75" x14ac:dyDescent="0.25">
      <c r="C38" s="337"/>
      <c r="D38" s="622"/>
    </row>
    <row r="39" spans="3:4" ht="15.75" x14ac:dyDescent="0.25">
      <c r="C39" s="337"/>
      <c r="D39" s="622"/>
    </row>
    <row r="40" spans="3:4" ht="15.75" x14ac:dyDescent="0.25">
      <c r="C40" s="337"/>
      <c r="D40" s="622"/>
    </row>
    <row r="41" spans="3:4" ht="15.75" x14ac:dyDescent="0.25">
      <c r="C41" s="337"/>
      <c r="D41" s="622"/>
    </row>
    <row r="42" spans="3:4" ht="15.75" x14ac:dyDescent="0.25">
      <c r="C42" s="337"/>
      <c r="D42" s="622"/>
    </row>
    <row r="43" spans="3:4" ht="15.75" x14ac:dyDescent="0.25">
      <c r="C43" s="337"/>
      <c r="D43" s="622"/>
    </row>
    <row r="44" spans="3:4" ht="15.75" x14ac:dyDescent="0.25">
      <c r="C44" s="429"/>
      <c r="D44" s="620"/>
    </row>
    <row r="45" spans="3:4" ht="15.75" x14ac:dyDescent="0.25">
      <c r="C45" s="429"/>
      <c r="D45" s="622"/>
    </row>
    <row r="46" spans="3:4" ht="15.75" x14ac:dyDescent="0.25">
      <c r="C46" s="429"/>
      <c r="D46" s="620"/>
    </row>
    <row r="47" spans="3:4" ht="15.75" x14ac:dyDescent="0.25">
      <c r="C47" s="758"/>
      <c r="D47" s="620"/>
    </row>
    <row r="48" spans="3:4" ht="15.75" x14ac:dyDescent="0.25">
      <c r="C48" s="429"/>
      <c r="D48" s="620"/>
    </row>
    <row r="49" spans="3:4" ht="15.75" x14ac:dyDescent="0.25">
      <c r="C49" s="429"/>
      <c r="D49" s="620"/>
    </row>
    <row r="50" spans="3:4" ht="15.75" x14ac:dyDescent="0.25">
      <c r="C50" s="429"/>
      <c r="D50" s="620"/>
    </row>
  </sheetData>
  <mergeCells count="2">
    <mergeCell ref="F18:F19"/>
    <mergeCell ref="E21:F21"/>
  </mergeCells>
  <pageMargins left="0.7" right="0.7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10</vt:i4>
      </vt:variant>
    </vt:vector>
  </HeadingPairs>
  <TitlesOfParts>
    <vt:vector size="38" baseType="lpstr">
      <vt:lpstr>Sheet1</vt:lpstr>
      <vt:lpstr>HOME</vt:lpstr>
      <vt:lpstr>Sheet5</vt:lpstr>
      <vt:lpstr>1pha</vt:lpstr>
      <vt:lpstr>Unicore</vt:lpstr>
      <vt:lpstr>Caoha</vt:lpstr>
      <vt:lpstr>Sheet2</vt:lpstr>
      <vt:lpstr>BIA</vt:lpstr>
      <vt:lpstr>DCHT</vt:lpstr>
      <vt:lpstr>Sua R</vt:lpstr>
      <vt:lpstr>TON</vt:lpstr>
      <vt:lpstr>TY</vt:lpstr>
      <vt:lpstr>VatTu</vt:lpstr>
      <vt:lpstr>MaVatTu</vt:lpstr>
      <vt:lpstr>PDH</vt:lpstr>
      <vt:lpstr>DMBV</vt:lpstr>
      <vt:lpstr>PhieuKT</vt:lpstr>
      <vt:lpstr>HDKT</vt:lpstr>
      <vt:lpstr>Phieutrienkhai</vt:lpstr>
      <vt:lpstr>Tra_cuu</vt:lpstr>
      <vt:lpstr>Ma</vt:lpstr>
      <vt:lpstr>Tinh vat tu</vt:lpstr>
      <vt:lpstr>Tên vật tư</vt:lpstr>
      <vt:lpstr>Sheet3</vt:lpstr>
      <vt:lpstr>Sheet6</vt:lpstr>
      <vt:lpstr>Sheet4</vt:lpstr>
      <vt:lpstr>Lo vanh vs nap</vt:lpstr>
      <vt:lpstr>Lưu ý</vt:lpstr>
      <vt:lpstr>BIA!Print_Area</vt:lpstr>
      <vt:lpstr>DCHT!Print_Area</vt:lpstr>
      <vt:lpstr>DMBV!Print_Area</vt:lpstr>
      <vt:lpstr>HDKT!Print_Area</vt:lpstr>
      <vt:lpstr>PDH!Print_Area</vt:lpstr>
      <vt:lpstr>PhieuKT!Print_Area</vt:lpstr>
      <vt:lpstr>Phieutrienkhai!Print_Area</vt:lpstr>
      <vt:lpstr>Sheet1!Print_Area</vt:lpstr>
      <vt:lpstr>TON!Print_Area</vt:lpstr>
      <vt:lpstr>VatTu!Print_Area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Tuân Nguyễn</dc:creator>
  <cp:lastModifiedBy>Kythuat3</cp:lastModifiedBy>
  <cp:lastPrinted>2023-08-16T06:51:08Z</cp:lastPrinted>
  <dcterms:created xsi:type="dcterms:W3CDTF">2018-11-27T07:38:34Z</dcterms:created>
  <dcterms:modified xsi:type="dcterms:W3CDTF">2024-05-07T01:06:48Z</dcterms:modified>
</cp:coreProperties>
</file>